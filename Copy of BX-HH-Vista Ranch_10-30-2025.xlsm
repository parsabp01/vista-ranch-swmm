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4creeksinc-my.sharepoint.com/personal/brendanp_4-creeks_com/Documents/Desktop/PDF/"/>
    </mc:Choice>
  </mc:AlternateContent>
  <xr:revisionPtr revIDLastSave="0" documentId="8_{0322D5BA-FF09-487B-A043-0719B0BC65DC}" xr6:coauthVersionLast="47" xr6:coauthVersionMax="47" xr10:uidLastSave="{00000000-0000-0000-0000-000000000000}"/>
  <bookViews>
    <workbookView xWindow="-120" yWindow="-120" windowWidth="38640" windowHeight="21120" tabRatio="650" activeTab="1" xr2:uid="{00000000-000D-0000-FFFF-FFFF00000000}"/>
  </bookViews>
  <sheets>
    <sheet name="HYDROLOGY" sheetId="1" r:id="rId1"/>
    <sheet name="DI TABLE" sheetId="3" r:id="rId2"/>
    <sheet name="HYDRAULICS" sheetId="4" r:id="rId3"/>
    <sheet name=" " sheetId="216" r:id="rId4"/>
    <sheet name="Reference" sheetId="6" r:id="rId5"/>
    <sheet name="Formluas" sheetId="7" state="hidden" r:id="rId6"/>
    <sheet name="VBA reference" sheetId="231" state="hidden" r:id="rId7"/>
  </sheets>
  <definedNames>
    <definedName name="__123Graph_D" localSheetId="1" hidden="1">'DI TABLE'!#REF!</definedName>
    <definedName name="__123Graph_D" localSheetId="2" hidden="1">HYDRAULICS!#REF!</definedName>
    <definedName name="__123Graph_D" hidden="1">HYDROLOGY!$B$10:$B$10</definedName>
    <definedName name="_Fill" localSheetId="1" hidden="1">'DI TABLE'!#REF!</definedName>
    <definedName name="_Fill" localSheetId="2" hidden="1">HYDRAULICS!#REF!</definedName>
    <definedName name="_Fill" hidden="1">HYDROLOGY!#REF!</definedName>
    <definedName name="_Key1" localSheetId="1" hidden="1">'DI TABLE'!#REF!</definedName>
    <definedName name="_Key1" localSheetId="2" hidden="1">HYDRAULICS!#REF!</definedName>
    <definedName name="_Key1" hidden="1">HYDROLOGY!#REF!</definedName>
    <definedName name="_Order1" hidden="1">255</definedName>
    <definedName name="_Regression_Int" localSheetId="1" hidden="1">1</definedName>
    <definedName name="_Regression_Int" localSheetId="2" hidden="1">1</definedName>
    <definedName name="_Regression_Int" localSheetId="0" hidden="1">1</definedName>
    <definedName name="_Sort" localSheetId="1" hidden="1">'DI TABLE'!#REF!</definedName>
    <definedName name="_Sort" localSheetId="2" hidden="1">HYDRAULICS!#REF!</definedName>
    <definedName name="_Sort" hidden="1">HYDROLOGY!#REF!</definedName>
    <definedName name="_xleta.T" hidden="1" xlm="1">#NAME?</definedName>
    <definedName name="BASIN">HYDROLOGY!#REF!</definedName>
    <definedName name="cell_ALT">HYDROLOGY!$E$5</definedName>
    <definedName name="cell_BASIN">HYDROLOGY!$B$491</definedName>
    <definedName name="cell_DA">HYDROLOGY!$E$4</definedName>
    <definedName name="cell_DATE">HYDROLOGY!$Q$4</definedName>
    <definedName name="cell_E">HYDROLOGY!$AC$5</definedName>
    <definedName name="cell_FF">HYDROLOGY!$X$5</definedName>
    <definedName name="cell_GUTDEP">HYDROLOGY!$X$3</definedName>
    <definedName name="cell_HGL">HYDROLOGY!$AC$2</definedName>
    <definedName name="cell_MINOR">Formluas!$R$33</definedName>
    <definedName name="cell_NAME">HYDROLOGY!$Q$5</definedName>
    <definedName name="cell_NP">HYDROLOGY!$X$4</definedName>
    <definedName name="cell_NRD">HYDROLOGY!$X$2</definedName>
    <definedName name="cell_P">HYDROLOGY!$AC$4</definedName>
    <definedName name="col_CIA_INLETS">HYDROLOGY!$C$10:$C$685</definedName>
    <definedName name="col_CIA_JCTS">HYDROLOGY!$B$11:$B$685</definedName>
    <definedName name="col_DI_A">'DI TABLE'!$C$11:$C$209</definedName>
    <definedName name="col_DI_CA">'DI TABLE'!$D$11:$D$209</definedName>
    <definedName name="col_DI_MCA">'DI TABLE'!$E$11:$E$209</definedName>
    <definedName name="hold_cell_AREA">HYDROLOGY!#REF!</definedName>
    <definedName name="hold_cell_DI">'DI TABLE'!$B$185</definedName>
    <definedName name="hold_cell_JCT">HYDRAULICS!#REF!</definedName>
    <definedName name="hold_cell_TOT">HYDRAULICS!$Q$316</definedName>
    <definedName name="line_CIA_BLANK">Formluas!$D$25:$AF$25</definedName>
    <definedName name="line_CIA_INLET">Formluas!$D$21:$AF$21</definedName>
    <definedName name="line_CIA_JCT">Formluas!$D$23:$AF$23</definedName>
    <definedName name="line_DI">Formluas!$D$11:$N$11</definedName>
    <definedName name="line_DI_BLANK">Formluas!$D$13:$N$13</definedName>
    <definedName name="line_HGL_BLANK">Formluas!$D$35:$Z$35</definedName>
    <definedName name="line_HGL_JCT">Formluas!$D$33:$Z$33</definedName>
    <definedName name="_xlnm.Print_Area" localSheetId="1">'DI TABLE'!$A$1:$T$327</definedName>
    <definedName name="_xlnm.Print_Area" localSheetId="2">HYDRAULICS!$A$1:$Z$709</definedName>
    <definedName name="_xlnm.Print_Area" localSheetId="0">HYDROLOGY!$A$1:$AD$697</definedName>
    <definedName name="print_DI">'DI TABLE'!#REF!</definedName>
    <definedName name="print_HGL">HYDRAULICS!$B$11:$Y$604</definedName>
    <definedName name="_xlnm.Print_Titles" localSheetId="1">'DI TABLE'!$1:$10</definedName>
    <definedName name="_xlnm.Print_Titles" localSheetId="2">HYDRAULICS!$1:$10</definedName>
    <definedName name="_xlnm.Print_Titles" localSheetId="0">HYDROLOGY!$1:$10</definedName>
    <definedName name="table_CIA_INLETS">HYDROLOGY!$C$10:$AF$685</definedName>
    <definedName name="table_CIA_JCTS">HYDROLOGY!$B$11:$AD$685</definedName>
    <definedName name="table_DI">'DI TABLE'!$B$11:$M$308</definedName>
    <definedName name="table_DIA">Formluas!#REF!</definedName>
    <definedName name="table_HGL_JCTS">HYDRAULICS!$C$11:$Y$604</definedName>
    <definedName name="table_MINOR">Formluas!$E$44:$F$214</definedName>
    <definedName name="temp">HYDROLOGY!#REF!</definedName>
    <definedName name="temp_col_MINOR">HYDRAULICS!$P$354:$P$356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16" i="4" l="1"/>
  <c r="U316" i="4"/>
  <c r="I316" i="4"/>
  <c r="G316" i="4"/>
  <c r="X354" i="4"/>
  <c r="U354" i="4"/>
  <c r="I354" i="4"/>
  <c r="G354" i="4"/>
  <c r="X343" i="4"/>
  <c r="U343" i="4"/>
  <c r="I343" i="4"/>
  <c r="G343" i="4"/>
  <c r="X341" i="4"/>
  <c r="U341" i="4"/>
  <c r="I341" i="4"/>
  <c r="G341" i="4"/>
  <c r="X338" i="4"/>
  <c r="U338" i="4"/>
  <c r="I338" i="4"/>
  <c r="G338" i="4"/>
  <c r="X336" i="4"/>
  <c r="U336" i="4"/>
  <c r="I336" i="4"/>
  <c r="G336" i="4"/>
  <c r="X351" i="4"/>
  <c r="U351" i="4"/>
  <c r="I351" i="4"/>
  <c r="G351" i="4"/>
  <c r="X348" i="4"/>
  <c r="U348" i="4"/>
  <c r="I348" i="4"/>
  <c r="G348" i="4"/>
  <c r="X333" i="4"/>
  <c r="U333" i="4"/>
  <c r="I333" i="4"/>
  <c r="G333" i="4"/>
  <c r="X330" i="4"/>
  <c r="U330" i="4"/>
  <c r="I330" i="4"/>
  <c r="G330" i="4"/>
  <c r="X321" i="4"/>
  <c r="U321" i="4"/>
  <c r="I321" i="4"/>
  <c r="G321" i="4"/>
  <c r="X313" i="4"/>
  <c r="U313" i="4"/>
  <c r="I313" i="4"/>
  <c r="G313" i="4"/>
  <c r="X310" i="4"/>
  <c r="U310" i="4"/>
  <c r="I310" i="4"/>
  <c r="G310" i="4"/>
  <c r="X304" i="4"/>
  <c r="U304" i="4"/>
  <c r="I304" i="4"/>
  <c r="G304" i="4"/>
  <c r="X286" i="4"/>
  <c r="U286" i="4"/>
  <c r="I286" i="4"/>
  <c r="G286" i="4"/>
  <c r="X272" i="4"/>
  <c r="U272" i="4"/>
  <c r="I272" i="4"/>
  <c r="G272" i="4"/>
  <c r="X268" i="4"/>
  <c r="U268" i="4"/>
  <c r="I268" i="4"/>
  <c r="G268" i="4"/>
  <c r="D510" i="1"/>
  <c r="F510" i="1"/>
  <c r="G510" i="1"/>
  <c r="I510" i="1"/>
  <c r="K510" i="1"/>
  <c r="L510" i="1"/>
  <c r="M510" i="1"/>
  <c r="N510" i="1"/>
  <c r="N431" i="1"/>
  <c r="L431" i="1"/>
  <c r="K431" i="1"/>
  <c r="M431" i="1" s="1"/>
  <c r="I431" i="1"/>
  <c r="G431" i="1"/>
  <c r="F431" i="1"/>
  <c r="D431" i="1"/>
  <c r="L186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193" i="3"/>
  <c r="G202" i="3"/>
  <c r="G200" i="3"/>
  <c r="G199" i="3"/>
  <c r="H194" i="3"/>
  <c r="G192" i="3"/>
  <c r="G191" i="3"/>
  <c r="G190" i="3"/>
  <c r="G189" i="3"/>
  <c r="G188" i="3"/>
  <c r="G187" i="3"/>
  <c r="G185" i="3"/>
  <c r="G184" i="3"/>
  <c r="G183" i="3"/>
  <c r="G182" i="3"/>
  <c r="G181" i="3"/>
  <c r="G180" i="3"/>
  <c r="J180" i="3" s="1"/>
  <c r="L180" i="3" s="1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4" i="3"/>
  <c r="G165" i="3"/>
  <c r="G163" i="3"/>
  <c r="G162" i="3"/>
  <c r="G161" i="3"/>
  <c r="G159" i="3"/>
  <c r="G156" i="3"/>
  <c r="G155" i="3"/>
  <c r="G154" i="3"/>
  <c r="G153" i="3"/>
  <c r="G152" i="3"/>
  <c r="G151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00" i="3"/>
  <c r="H199" i="3"/>
  <c r="H202" i="3"/>
  <c r="H193" i="3"/>
  <c r="H190" i="3"/>
  <c r="J190" i="3" s="1"/>
  <c r="L190" i="3" s="1"/>
  <c r="H189" i="3"/>
  <c r="H188" i="3"/>
  <c r="H187" i="3"/>
  <c r="H186" i="3"/>
  <c r="H185" i="3"/>
  <c r="H184" i="3"/>
  <c r="H192" i="3"/>
  <c r="J192" i="3" s="1"/>
  <c r="L192" i="3" s="1"/>
  <c r="H191" i="3"/>
  <c r="H183" i="3"/>
  <c r="H182" i="3"/>
  <c r="J182" i="3" s="1"/>
  <c r="L182" i="3" s="1"/>
  <c r="H181" i="3"/>
  <c r="H180" i="3"/>
  <c r="H179" i="3"/>
  <c r="H178" i="3"/>
  <c r="H173" i="3"/>
  <c r="H175" i="3"/>
  <c r="H174" i="3"/>
  <c r="H172" i="3"/>
  <c r="H171" i="3"/>
  <c r="H170" i="3"/>
  <c r="H169" i="3"/>
  <c r="H177" i="3"/>
  <c r="H176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J185" i="3"/>
  <c r="L185" i="3" s="1"/>
  <c r="F185" i="3"/>
  <c r="F186" i="3"/>
  <c r="I413" i="1"/>
  <c r="F182" i="3"/>
  <c r="L402" i="1"/>
  <c r="J183" i="3"/>
  <c r="L183" i="3" s="1"/>
  <c r="F183" i="3"/>
  <c r="J179" i="3"/>
  <c r="L179" i="3" s="1"/>
  <c r="F179" i="3"/>
  <c r="F180" i="3"/>
  <c r="J174" i="3"/>
  <c r="L174" i="3" s="1"/>
  <c r="F174" i="3"/>
  <c r="J175" i="3"/>
  <c r="L175" i="3" s="1"/>
  <c r="F175" i="3"/>
  <c r="I409" i="1"/>
  <c r="L414" i="1"/>
  <c r="G414" i="1"/>
  <c r="D414" i="1"/>
  <c r="N413" i="1"/>
  <c r="L413" i="1"/>
  <c r="F190" i="3"/>
  <c r="J191" i="3"/>
  <c r="L191" i="3" s="1"/>
  <c r="F191" i="3"/>
  <c r="F413" i="1" s="1"/>
  <c r="F192" i="3"/>
  <c r="F414" i="1" s="1"/>
  <c r="D409" i="1"/>
  <c r="G409" i="1"/>
  <c r="L409" i="1"/>
  <c r="G410" i="1"/>
  <c r="L410" i="1"/>
  <c r="N405" i="1"/>
  <c r="L405" i="1"/>
  <c r="I405" i="1"/>
  <c r="G405" i="1"/>
  <c r="D405" i="1"/>
  <c r="N404" i="1"/>
  <c r="L404" i="1"/>
  <c r="I404" i="1"/>
  <c r="G404" i="1"/>
  <c r="D404" i="1"/>
  <c r="N395" i="1"/>
  <c r="I395" i="1"/>
  <c r="D395" i="1"/>
  <c r="N393" i="1"/>
  <c r="L393" i="1"/>
  <c r="I393" i="1"/>
  <c r="D393" i="1"/>
  <c r="N392" i="1"/>
  <c r="L392" i="1"/>
  <c r="I392" i="1"/>
  <c r="G392" i="1"/>
  <c r="D392" i="1"/>
  <c r="N389" i="1"/>
  <c r="L389" i="1"/>
  <c r="I389" i="1"/>
  <c r="G389" i="1"/>
  <c r="D389" i="1"/>
  <c r="N378" i="1"/>
  <c r="L378" i="1"/>
  <c r="I378" i="1"/>
  <c r="G378" i="1"/>
  <c r="D378" i="1"/>
  <c r="L377" i="1"/>
  <c r="G377" i="1"/>
  <c r="D377" i="1"/>
  <c r="N368" i="1"/>
  <c r="L368" i="1"/>
  <c r="I368" i="1"/>
  <c r="G368" i="1"/>
  <c r="D368" i="1"/>
  <c r="N525" i="1"/>
  <c r="I525" i="1"/>
  <c r="G525" i="1"/>
  <c r="D525" i="1"/>
  <c r="G518" i="1"/>
  <c r="D518" i="1"/>
  <c r="N517" i="1"/>
  <c r="L517" i="1"/>
  <c r="I517" i="1"/>
  <c r="G517" i="1"/>
  <c r="D517" i="1"/>
  <c r="N514" i="1"/>
  <c r="L514" i="1"/>
  <c r="I514" i="1"/>
  <c r="O510" i="1" l="1"/>
  <c r="P510" i="1"/>
  <c r="Q510" i="1" s="1"/>
  <c r="R510" i="1" s="1"/>
  <c r="O431" i="1"/>
  <c r="P431" i="1" s="1"/>
  <c r="Q431" i="1" s="1"/>
  <c r="R431" i="1" s="1"/>
  <c r="D413" i="1"/>
  <c r="D402" i="1"/>
  <c r="G413" i="1"/>
  <c r="N402" i="1"/>
  <c r="D410" i="1"/>
  <c r="E411" i="1" s="1"/>
  <c r="L525" i="1"/>
  <c r="I402" i="1"/>
  <c r="F410" i="1"/>
  <c r="G402" i="1"/>
  <c r="D514" i="1"/>
  <c r="G393" i="1"/>
  <c r="H394" i="1" s="1"/>
  <c r="N410" i="1"/>
  <c r="I414" i="1"/>
  <c r="I410" i="1"/>
  <c r="J411" i="1" s="1"/>
  <c r="N414" i="1"/>
  <c r="G513" i="1"/>
  <c r="I377" i="1"/>
  <c r="J379" i="1" s="1"/>
  <c r="G395" i="1"/>
  <c r="N409" i="1"/>
  <c r="G514" i="1"/>
  <c r="N377" i="1"/>
  <c r="L395" i="1"/>
  <c r="K414" i="1"/>
  <c r="M414" i="1" s="1"/>
  <c r="O414" i="1" s="1"/>
  <c r="K413" i="1"/>
  <c r="M413" i="1" s="1"/>
  <c r="O413" i="1" s="1"/>
  <c r="P413" i="1" s="1"/>
  <c r="Q413" i="1" s="1"/>
  <c r="R413" i="1" s="1"/>
  <c r="K410" i="1"/>
  <c r="M410" i="1" s="1"/>
  <c r="O410" i="1" s="1"/>
  <c r="I518" i="1"/>
  <c r="J519" i="1" s="1"/>
  <c r="L518" i="1"/>
  <c r="D508" i="1"/>
  <c r="D523" i="1"/>
  <c r="I508" i="1"/>
  <c r="L508" i="1"/>
  <c r="I523" i="1"/>
  <c r="N518" i="1"/>
  <c r="G523" i="1"/>
  <c r="N508" i="1"/>
  <c r="L523" i="1"/>
  <c r="G508" i="1"/>
  <c r="D513" i="1"/>
  <c r="N523" i="1"/>
  <c r="I513" i="1"/>
  <c r="L513" i="1"/>
  <c r="N513" i="1"/>
  <c r="H411" i="1"/>
  <c r="H379" i="1"/>
  <c r="J394" i="1"/>
  <c r="J396" i="1" s="1"/>
  <c r="E394" i="1"/>
  <c r="E396" i="1" s="1"/>
  <c r="E379" i="1"/>
  <c r="H519" i="1"/>
  <c r="E519" i="1"/>
  <c r="P410" i="1" l="1"/>
  <c r="Q410" i="1" s="1"/>
  <c r="R410" i="1" s="1"/>
  <c r="H396" i="1"/>
  <c r="P414" i="1"/>
  <c r="Q414" i="1" s="1"/>
  <c r="R414" i="1" s="1"/>
  <c r="N373" i="1"/>
  <c r="L373" i="1"/>
  <c r="I373" i="1"/>
  <c r="G373" i="1"/>
  <c r="D373" i="1"/>
  <c r="N363" i="1"/>
  <c r="L363" i="1"/>
  <c r="I363" i="1"/>
  <c r="J364" i="1" s="1"/>
  <c r="G363" i="1"/>
  <c r="H364" i="1" s="1"/>
  <c r="D363" i="1"/>
  <c r="E364" i="1" s="1"/>
  <c r="N359" i="1"/>
  <c r="L359" i="1"/>
  <c r="I359" i="1"/>
  <c r="G359" i="1"/>
  <c r="D359" i="1"/>
  <c r="N355" i="1"/>
  <c r="L355" i="1"/>
  <c r="I355" i="1"/>
  <c r="G355" i="1"/>
  <c r="D355" i="1"/>
  <c r="N354" i="1"/>
  <c r="L354" i="1"/>
  <c r="I354" i="1"/>
  <c r="G354" i="1"/>
  <c r="D354" i="1"/>
  <c r="N350" i="1"/>
  <c r="L350" i="1"/>
  <c r="I350" i="1"/>
  <c r="G350" i="1"/>
  <c r="D350" i="1"/>
  <c r="N346" i="1"/>
  <c r="L346" i="1"/>
  <c r="I346" i="1"/>
  <c r="G346" i="1"/>
  <c r="D346" i="1"/>
  <c r="N343" i="1"/>
  <c r="L343" i="1"/>
  <c r="I343" i="1"/>
  <c r="J344" i="1" s="1"/>
  <c r="G343" i="1"/>
  <c r="H344" i="1" s="1"/>
  <c r="D343" i="1"/>
  <c r="E344" i="1" s="1"/>
  <c r="N338" i="1"/>
  <c r="L338" i="1"/>
  <c r="K338" i="1"/>
  <c r="M338" i="1" s="1"/>
  <c r="I338" i="1"/>
  <c r="G338" i="1"/>
  <c r="D338" i="1"/>
  <c r="N334" i="1"/>
  <c r="L334" i="1"/>
  <c r="I334" i="1"/>
  <c r="G334" i="1"/>
  <c r="D334" i="1"/>
  <c r="N333" i="1"/>
  <c r="L333" i="1"/>
  <c r="I333" i="1"/>
  <c r="G333" i="1"/>
  <c r="D333" i="1"/>
  <c r="N331" i="1"/>
  <c r="L331" i="1"/>
  <c r="I331" i="1"/>
  <c r="G331" i="1"/>
  <c r="D331" i="1"/>
  <c r="J238" i="3"/>
  <c r="L238" i="3" s="1"/>
  <c r="F238" i="3"/>
  <c r="J239" i="3"/>
  <c r="L239" i="3" s="1"/>
  <c r="F239" i="3"/>
  <c r="J235" i="3"/>
  <c r="L235" i="3" s="1"/>
  <c r="F235" i="3"/>
  <c r="J236" i="3"/>
  <c r="L236" i="3" s="1"/>
  <c r="F236" i="3"/>
  <c r="J234" i="3"/>
  <c r="F234" i="3"/>
  <c r="J200" i="3"/>
  <c r="L200" i="3" s="1"/>
  <c r="F200" i="3"/>
  <c r="J188" i="3"/>
  <c r="F188" i="3"/>
  <c r="F405" i="1" s="1"/>
  <c r="J189" i="3"/>
  <c r="F189" i="3"/>
  <c r="F409" i="1" s="1"/>
  <c r="J172" i="3"/>
  <c r="L172" i="3" s="1"/>
  <c r="F172" i="3"/>
  <c r="F373" i="1" s="1"/>
  <c r="J173" i="3"/>
  <c r="F173" i="3"/>
  <c r="J168" i="3"/>
  <c r="L168" i="3" s="1"/>
  <c r="F168" i="3"/>
  <c r="F363" i="1" s="1"/>
  <c r="J161" i="3"/>
  <c r="L161" i="3" s="1"/>
  <c r="F161" i="3"/>
  <c r="J162" i="3"/>
  <c r="L162" i="3" s="1"/>
  <c r="F162" i="3"/>
  <c r="L157" i="3"/>
  <c r="F157" i="3"/>
  <c r="F338" i="1" s="1"/>
  <c r="J158" i="3"/>
  <c r="L158" i="3" s="1"/>
  <c r="F158" i="3"/>
  <c r="J155" i="3"/>
  <c r="L155" i="3" s="1"/>
  <c r="F155" i="3"/>
  <c r="F334" i="1" s="1"/>
  <c r="J152" i="3"/>
  <c r="L152" i="3" s="1"/>
  <c r="F152" i="3"/>
  <c r="J153" i="3"/>
  <c r="L153" i="3" s="1"/>
  <c r="F153" i="3"/>
  <c r="F331" i="1" s="1"/>
  <c r="F237" i="3"/>
  <c r="F204" i="3"/>
  <c r="F201" i="3"/>
  <c r="F202" i="3"/>
  <c r="F199" i="3"/>
  <c r="F171" i="3"/>
  <c r="F176" i="3"/>
  <c r="F177" i="3"/>
  <c r="F178" i="3"/>
  <c r="F389" i="1" s="1"/>
  <c r="F181" i="3"/>
  <c r="F184" i="3"/>
  <c r="F402" i="1" s="1"/>
  <c r="F187" i="3"/>
  <c r="F404" i="1" s="1"/>
  <c r="F193" i="3"/>
  <c r="F194" i="3"/>
  <c r="F151" i="3"/>
  <c r="F154" i="3"/>
  <c r="F333" i="1" s="1"/>
  <c r="F156" i="3"/>
  <c r="F159" i="3"/>
  <c r="F343" i="1" s="1"/>
  <c r="F160" i="3"/>
  <c r="F346" i="1" s="1"/>
  <c r="F163" i="3"/>
  <c r="F164" i="3"/>
  <c r="F354" i="1" s="1"/>
  <c r="F165" i="3"/>
  <c r="F355" i="1" s="1"/>
  <c r="F166" i="3"/>
  <c r="F359" i="1" s="1"/>
  <c r="F167" i="3"/>
  <c r="F169" i="3"/>
  <c r="F170" i="3"/>
  <c r="F368" i="1" s="1"/>
  <c r="F350" i="1" l="1"/>
  <c r="K350" i="1"/>
  <c r="M350" i="1" s="1"/>
  <c r="O350" i="1" s="1"/>
  <c r="P350" i="1" s="1"/>
  <c r="Q350" i="1" s="1"/>
  <c r="R350" i="1" s="1"/>
  <c r="K363" i="1"/>
  <c r="M363" i="1" s="1"/>
  <c r="O363" i="1" s="1"/>
  <c r="P363" i="1" s="1"/>
  <c r="F514" i="1"/>
  <c r="F523" i="1"/>
  <c r="F517" i="1"/>
  <c r="F525" i="1"/>
  <c r="F518" i="1"/>
  <c r="L234" i="3"/>
  <c r="K523" i="1"/>
  <c r="M523" i="1" s="1"/>
  <c r="O523" i="1" s="1"/>
  <c r="P523" i="1" s="1"/>
  <c r="K517" i="1"/>
  <c r="M517" i="1" s="1"/>
  <c r="O517" i="1" s="1"/>
  <c r="P517" i="1" s="1"/>
  <c r="Q517" i="1" s="1"/>
  <c r="R517" i="1" s="1"/>
  <c r="K518" i="1"/>
  <c r="M518" i="1" s="1"/>
  <c r="O518" i="1" s="1"/>
  <c r="P518" i="1" s="1"/>
  <c r="K525" i="1"/>
  <c r="M525" i="1" s="1"/>
  <c r="O525" i="1" s="1"/>
  <c r="P525" i="1" s="1"/>
  <c r="Q525" i="1" s="1"/>
  <c r="R525" i="1" s="1"/>
  <c r="K514" i="1"/>
  <c r="M514" i="1" s="1"/>
  <c r="O514" i="1" s="1"/>
  <c r="P514" i="1" s="1"/>
  <c r="Q514" i="1" s="1"/>
  <c r="R514" i="1" s="1"/>
  <c r="K331" i="1"/>
  <c r="M331" i="1" s="1"/>
  <c r="O331" i="1" s="1"/>
  <c r="P331" i="1" s="1"/>
  <c r="Q331" i="1" s="1"/>
  <c r="R331" i="1" s="1"/>
  <c r="L173" i="3"/>
  <c r="K377" i="1"/>
  <c r="M377" i="1" s="1"/>
  <c r="O377" i="1" s="1"/>
  <c r="P377" i="1" s="1"/>
  <c r="Q377" i="1" s="1"/>
  <c r="R377" i="1" s="1"/>
  <c r="K378" i="1"/>
  <c r="M378" i="1" s="1"/>
  <c r="O378" i="1" s="1"/>
  <c r="P378" i="1" s="1"/>
  <c r="L189" i="3"/>
  <c r="K409" i="1"/>
  <c r="M409" i="1" s="1"/>
  <c r="O409" i="1" s="1"/>
  <c r="P409" i="1" s="1"/>
  <c r="K373" i="1"/>
  <c r="M373" i="1" s="1"/>
  <c r="O373" i="1" s="1"/>
  <c r="P373" i="1" s="1"/>
  <c r="F393" i="1"/>
  <c r="F392" i="1"/>
  <c r="F395" i="1"/>
  <c r="F378" i="1"/>
  <c r="F377" i="1"/>
  <c r="K334" i="1"/>
  <c r="M334" i="1" s="1"/>
  <c r="O334" i="1" s="1"/>
  <c r="P334" i="1" s="1"/>
  <c r="Q334" i="1" s="1"/>
  <c r="R334" i="1" s="1"/>
  <c r="L188" i="3"/>
  <c r="K405" i="1"/>
  <c r="M405" i="1" s="1"/>
  <c r="O405" i="1" s="1"/>
  <c r="P405" i="1" s="1"/>
  <c r="Q405" i="1" s="1"/>
  <c r="R405" i="1" s="1"/>
  <c r="E356" i="1"/>
  <c r="J356" i="1"/>
  <c r="H356" i="1"/>
  <c r="P338" i="1"/>
  <c r="X565" i="4"/>
  <c r="U565" i="4"/>
  <c r="I565" i="4"/>
  <c r="G565" i="4"/>
  <c r="X563" i="4"/>
  <c r="U563" i="4"/>
  <c r="I563" i="4"/>
  <c r="G563" i="4"/>
  <c r="X561" i="4"/>
  <c r="U561" i="4"/>
  <c r="I561" i="4"/>
  <c r="G561" i="4"/>
  <c r="X558" i="4"/>
  <c r="U558" i="4"/>
  <c r="I558" i="4"/>
  <c r="G558" i="4"/>
  <c r="X555" i="4"/>
  <c r="U555" i="4"/>
  <c r="I555" i="4"/>
  <c r="G555" i="4"/>
  <c r="X552" i="4"/>
  <c r="U552" i="4"/>
  <c r="I552" i="4"/>
  <c r="G552" i="4"/>
  <c r="X375" i="4"/>
  <c r="U375" i="4"/>
  <c r="I375" i="4"/>
  <c r="G375" i="4"/>
  <c r="X364" i="4"/>
  <c r="U364" i="4"/>
  <c r="I364" i="4"/>
  <c r="G364" i="4"/>
  <c r="X362" i="4"/>
  <c r="U362" i="4"/>
  <c r="I362" i="4"/>
  <c r="G362" i="4"/>
  <c r="X346" i="4"/>
  <c r="U346" i="4"/>
  <c r="I346" i="4"/>
  <c r="G346" i="4"/>
  <c r="X327" i="4"/>
  <c r="U327" i="4"/>
  <c r="I327" i="4"/>
  <c r="G327" i="4"/>
  <c r="X325" i="4"/>
  <c r="U325" i="4"/>
  <c r="I325" i="4"/>
  <c r="G325" i="4"/>
  <c r="X319" i="4"/>
  <c r="U319" i="4"/>
  <c r="I319" i="4"/>
  <c r="G319" i="4"/>
  <c r="X278" i="4"/>
  <c r="U278" i="4"/>
  <c r="I278" i="4"/>
  <c r="G278" i="4"/>
  <c r="X308" i="4"/>
  <c r="U308" i="4"/>
  <c r="I308" i="4"/>
  <c r="G308" i="4"/>
  <c r="X302" i="4"/>
  <c r="U302" i="4"/>
  <c r="I302" i="4"/>
  <c r="G302" i="4"/>
  <c r="X300" i="4"/>
  <c r="U300" i="4"/>
  <c r="I300" i="4"/>
  <c r="G300" i="4"/>
  <c r="Q523" i="1" l="1"/>
  <c r="R523" i="1" s="1"/>
  <c r="P524" i="1"/>
  <c r="Q338" i="1"/>
  <c r="R338" i="1" s="1"/>
  <c r="P339" i="1"/>
  <c r="Q409" i="1"/>
  <c r="R409" i="1" s="1"/>
  <c r="P411" i="1"/>
  <c r="Q411" i="1" s="1"/>
  <c r="R411" i="1" s="1"/>
  <c r="H354" i="4" s="1"/>
  <c r="P519" i="1"/>
  <c r="Q519" i="1" s="1"/>
  <c r="R519" i="1" s="1"/>
  <c r="Q518" i="1"/>
  <c r="R518" i="1" s="1"/>
  <c r="P379" i="1"/>
  <c r="Q379" i="1" s="1"/>
  <c r="R379" i="1" s="1"/>
  <c r="H330" i="4" s="1"/>
  <c r="Q378" i="1"/>
  <c r="R378" i="1" s="1"/>
  <c r="Q373" i="1"/>
  <c r="R373" i="1" s="1"/>
  <c r="Q363" i="1"/>
  <c r="R363" i="1" s="1"/>
  <c r="P364" i="1"/>
  <c r="Q364" i="1" s="1"/>
  <c r="R364" i="1" s="1"/>
  <c r="H316" i="4" s="1"/>
  <c r="N506" i="1"/>
  <c r="L506" i="1"/>
  <c r="I506" i="1"/>
  <c r="G506" i="1"/>
  <c r="D506" i="1"/>
  <c r="N504" i="1"/>
  <c r="L504" i="1"/>
  <c r="I504" i="1"/>
  <c r="G504" i="1"/>
  <c r="D504" i="1"/>
  <c r="N502" i="1"/>
  <c r="L502" i="1"/>
  <c r="I502" i="1"/>
  <c r="J503" i="1" s="1"/>
  <c r="G502" i="1"/>
  <c r="H503" i="1" s="1"/>
  <c r="D502" i="1"/>
  <c r="E503" i="1" s="1"/>
  <c r="N499" i="1"/>
  <c r="L499" i="1"/>
  <c r="I499" i="1"/>
  <c r="G499" i="1"/>
  <c r="D499" i="1"/>
  <c r="N436" i="1"/>
  <c r="L436" i="1"/>
  <c r="I436" i="1"/>
  <c r="G436" i="1"/>
  <c r="F436" i="1"/>
  <c r="D436" i="1"/>
  <c r="N427" i="1"/>
  <c r="L427" i="1"/>
  <c r="I427" i="1"/>
  <c r="G427" i="1"/>
  <c r="D427" i="1"/>
  <c r="N382" i="1"/>
  <c r="L382" i="1"/>
  <c r="I382" i="1"/>
  <c r="G382" i="1"/>
  <c r="F382" i="1"/>
  <c r="D382" i="1"/>
  <c r="N374" i="1"/>
  <c r="L374" i="1"/>
  <c r="I374" i="1"/>
  <c r="J375" i="1" s="1"/>
  <c r="G374" i="1"/>
  <c r="H375" i="1" s="1"/>
  <c r="F374" i="1"/>
  <c r="D374" i="1"/>
  <c r="E375" i="1" s="1"/>
  <c r="N370" i="1"/>
  <c r="L370" i="1"/>
  <c r="I370" i="1"/>
  <c r="G370" i="1"/>
  <c r="F370" i="1"/>
  <c r="D370" i="1"/>
  <c r="N360" i="1"/>
  <c r="L360" i="1"/>
  <c r="I360" i="1"/>
  <c r="G360" i="1"/>
  <c r="F360" i="1"/>
  <c r="D360" i="1"/>
  <c r="N340" i="1"/>
  <c r="L340" i="1"/>
  <c r="I340" i="1"/>
  <c r="G340" i="1"/>
  <c r="F340" i="1"/>
  <c r="D340" i="1"/>
  <c r="L316" i="4" l="1"/>
  <c r="M316" i="4" s="1"/>
  <c r="J316" i="4"/>
  <c r="K316" i="4" s="1"/>
  <c r="Q316" i="4" s="1"/>
  <c r="L330" i="4"/>
  <c r="M330" i="4" s="1"/>
  <c r="J330" i="4"/>
  <c r="K330" i="4" s="1"/>
  <c r="Q330" i="4" s="1"/>
  <c r="J354" i="4"/>
  <c r="K354" i="4" s="1"/>
  <c r="L354" i="4"/>
  <c r="M354" i="4" s="1"/>
  <c r="J505" i="1"/>
  <c r="J507" i="1" s="1"/>
  <c r="J509" i="1" s="1"/>
  <c r="J511" i="1" s="1"/>
  <c r="E505" i="1"/>
  <c r="E507" i="1" s="1"/>
  <c r="E509" i="1" s="1"/>
  <c r="E511" i="1" s="1"/>
  <c r="H505" i="1"/>
  <c r="H507" i="1" s="1"/>
  <c r="H509" i="1" s="1"/>
  <c r="H511" i="1" s="1"/>
  <c r="T379" i="1"/>
  <c r="W379" i="1" s="1"/>
  <c r="X379" i="1" s="1"/>
  <c r="U379" i="1"/>
  <c r="Y379" i="1" s="1"/>
  <c r="U519" i="1"/>
  <c r="Y519" i="1" s="1"/>
  <c r="T519" i="1"/>
  <c r="W519" i="1" s="1"/>
  <c r="X519" i="1" s="1"/>
  <c r="U411" i="1"/>
  <c r="Y411" i="1" s="1"/>
  <c r="T411" i="1"/>
  <c r="W411" i="1" s="1"/>
  <c r="X411" i="1" s="1"/>
  <c r="T364" i="1"/>
  <c r="W364" i="1" s="1"/>
  <c r="X364" i="1" s="1"/>
  <c r="U364" i="1"/>
  <c r="Y364" i="1" s="1"/>
  <c r="R316" i="4" l="1"/>
  <c r="R330" i="4"/>
  <c r="P354" i="4"/>
  <c r="K355" i="4"/>
  <c r="J228" i="3"/>
  <c r="F228" i="3"/>
  <c r="F502" i="1" s="1"/>
  <c r="J229" i="3"/>
  <c r="F229" i="3"/>
  <c r="J230" i="3"/>
  <c r="F230" i="3"/>
  <c r="F504" i="1" s="1"/>
  <c r="J231" i="3"/>
  <c r="K508" i="1" s="1"/>
  <c r="M508" i="1" s="1"/>
  <c r="O508" i="1" s="1"/>
  <c r="P508" i="1" s="1"/>
  <c r="Q508" i="1" s="1"/>
  <c r="R508" i="1" s="1"/>
  <c r="F231" i="3"/>
  <c r="J232" i="3"/>
  <c r="F232" i="3"/>
  <c r="J233" i="3"/>
  <c r="K513" i="1" s="1"/>
  <c r="M513" i="1" s="1"/>
  <c r="O513" i="1" s="1"/>
  <c r="P513" i="1" s="1"/>
  <c r="Q513" i="1" s="1"/>
  <c r="R513" i="1" s="1"/>
  <c r="F233" i="3"/>
  <c r="K356" i="4" l="1"/>
  <c r="P355" i="4"/>
  <c r="Q354" i="4" s="1"/>
  <c r="R354" i="4" s="1"/>
  <c r="F513" i="1"/>
  <c r="F506" i="1"/>
  <c r="F508" i="1"/>
  <c r="L230" i="3"/>
  <c r="K504" i="1"/>
  <c r="M504" i="1" s="1"/>
  <c r="O504" i="1" s="1"/>
  <c r="P504" i="1" s="1"/>
  <c r="L233" i="3"/>
  <c r="L231" i="3"/>
  <c r="K506" i="1"/>
  <c r="M506" i="1" s="1"/>
  <c r="O506" i="1" s="1"/>
  <c r="P506" i="1" s="1"/>
  <c r="Q506" i="1" s="1"/>
  <c r="R506" i="1" s="1"/>
  <c r="L229" i="3"/>
  <c r="L228" i="3"/>
  <c r="K502" i="1"/>
  <c r="M502" i="1" s="1"/>
  <c r="O502" i="1" s="1"/>
  <c r="P502" i="1" s="1"/>
  <c r="L232" i="3"/>
  <c r="J170" i="3"/>
  <c r="K368" i="1" s="1"/>
  <c r="M368" i="1" s="1"/>
  <c r="O368" i="1" s="1"/>
  <c r="P368" i="1" s="1"/>
  <c r="Q368" i="1" s="1"/>
  <c r="R368" i="1" s="1"/>
  <c r="J171" i="3"/>
  <c r="J166" i="3"/>
  <c r="K359" i="1" s="1"/>
  <c r="M359" i="1" s="1"/>
  <c r="O359" i="1" s="1"/>
  <c r="P359" i="1" s="1"/>
  <c r="Q359" i="1" s="1"/>
  <c r="R359" i="1" s="1"/>
  <c r="J167" i="3"/>
  <c r="J165" i="3"/>
  <c r="K355" i="1" s="1"/>
  <c r="M355" i="1" s="1"/>
  <c r="O355" i="1" s="1"/>
  <c r="P355" i="1" s="1"/>
  <c r="Q355" i="1" s="1"/>
  <c r="R355" i="1" s="1"/>
  <c r="L166" i="3" l="1"/>
  <c r="P503" i="1"/>
  <c r="Q503" i="1" s="1"/>
  <c r="R503" i="1" s="1"/>
  <c r="Q502" i="1"/>
  <c r="R502" i="1" s="1"/>
  <c r="L167" i="3"/>
  <c r="K360" i="1"/>
  <c r="M360" i="1" s="1"/>
  <c r="O360" i="1" s="1"/>
  <c r="P360" i="1" s="1"/>
  <c r="L170" i="3"/>
  <c r="K370" i="1"/>
  <c r="M370" i="1" s="1"/>
  <c r="O370" i="1" s="1"/>
  <c r="P370" i="1" s="1"/>
  <c r="Q504" i="1"/>
  <c r="R504" i="1" s="1"/>
  <c r="L171" i="3"/>
  <c r="K374" i="1"/>
  <c r="M374" i="1" s="1"/>
  <c r="O374" i="1" s="1"/>
  <c r="P374" i="1" s="1"/>
  <c r="L165" i="3"/>
  <c r="G292" i="4"/>
  <c r="Q374" i="1" l="1"/>
  <c r="R374" i="1" s="1"/>
  <c r="P375" i="1"/>
  <c r="Q370" i="1"/>
  <c r="R370" i="1" s="1"/>
  <c r="Q360" i="1"/>
  <c r="R360" i="1" s="1"/>
  <c r="H565" i="4"/>
  <c r="T503" i="1"/>
  <c r="W503" i="1" s="1"/>
  <c r="X503" i="1" s="1"/>
  <c r="U503" i="1"/>
  <c r="Y503" i="1" s="1"/>
  <c r="X477" i="4"/>
  <c r="U477" i="4"/>
  <c r="I477" i="4"/>
  <c r="G477" i="4"/>
  <c r="E222" i="3"/>
  <c r="D222" i="3"/>
  <c r="N284" i="1"/>
  <c r="L284" i="1"/>
  <c r="I284" i="1"/>
  <c r="G284" i="1"/>
  <c r="D284" i="1"/>
  <c r="J130" i="3"/>
  <c r="L130" i="3" s="1"/>
  <c r="F130" i="3"/>
  <c r="F284" i="1" s="1"/>
  <c r="P505" i="1" l="1"/>
  <c r="Q505" i="1" s="1"/>
  <c r="J565" i="4"/>
  <c r="K565" i="4" s="1"/>
  <c r="Q565" i="4" s="1"/>
  <c r="L565" i="4"/>
  <c r="M565" i="4" s="1"/>
  <c r="K284" i="1"/>
  <c r="M284" i="1" s="1"/>
  <c r="O284" i="1" s="1"/>
  <c r="P284" i="1" s="1"/>
  <c r="Q284" i="1" s="1"/>
  <c r="R284" i="1" s="1"/>
  <c r="E135" i="3"/>
  <c r="D135" i="3"/>
  <c r="R565" i="4" l="1"/>
  <c r="X499" i="4"/>
  <c r="U499" i="4"/>
  <c r="I499" i="4"/>
  <c r="G499" i="4"/>
  <c r="Q477" i="4" l="1"/>
  <c r="X503" i="4"/>
  <c r="U503" i="4"/>
  <c r="I503" i="4"/>
  <c r="G503" i="4"/>
  <c r="X514" i="4"/>
  <c r="U514" i="4"/>
  <c r="I514" i="4"/>
  <c r="G514" i="4"/>
  <c r="X494" i="4" l="1"/>
  <c r="U494" i="4"/>
  <c r="I494" i="4"/>
  <c r="G494" i="4"/>
  <c r="X492" i="4"/>
  <c r="U492" i="4"/>
  <c r="I492" i="4"/>
  <c r="G492" i="4"/>
  <c r="N304" i="1"/>
  <c r="L304" i="1"/>
  <c r="I304" i="1"/>
  <c r="G304" i="1"/>
  <c r="D304" i="1"/>
  <c r="N302" i="1"/>
  <c r="L302" i="1"/>
  <c r="I302" i="1"/>
  <c r="G302" i="1"/>
  <c r="D302" i="1"/>
  <c r="J139" i="3"/>
  <c r="L139" i="3" s="1"/>
  <c r="F139" i="3"/>
  <c r="F304" i="1" s="1"/>
  <c r="J138" i="3"/>
  <c r="L138" i="3" s="1"/>
  <c r="F138" i="3"/>
  <c r="F302" i="1" s="1"/>
  <c r="K302" i="1" l="1"/>
  <c r="M302" i="1" s="1"/>
  <c r="O302" i="1" s="1"/>
  <c r="P302" i="1" s="1"/>
  <c r="Q302" i="1" s="1"/>
  <c r="R302" i="1" s="1"/>
  <c r="K304" i="1"/>
  <c r="M304" i="1" s="1"/>
  <c r="O304" i="1" s="1"/>
  <c r="P304" i="1" s="1"/>
  <c r="Q304" i="1" s="1"/>
  <c r="R304" i="1" s="1"/>
  <c r="D6" i="3"/>
  <c r="D134" i="3" l="1"/>
  <c r="E134" i="3" s="1"/>
  <c r="D141" i="3" l="1"/>
  <c r="E141" i="3" s="1"/>
  <c r="E137" i="3"/>
  <c r="D137" i="3"/>
  <c r="AD593" i="1" l="1"/>
  <c r="AD662" i="1"/>
  <c r="AD654" i="1"/>
  <c r="D223" i="3" l="1"/>
  <c r="G488" i="1" s="1"/>
  <c r="H489" i="1" s="1"/>
  <c r="Z491" i="1"/>
  <c r="N488" i="1"/>
  <c r="L488" i="1"/>
  <c r="D488" i="1"/>
  <c r="E489" i="1" s="1"/>
  <c r="E223" i="3" l="1"/>
  <c r="I488" i="1" s="1"/>
  <c r="J489" i="1" s="1"/>
  <c r="N294" i="1"/>
  <c r="L294" i="1"/>
  <c r="D294" i="1"/>
  <c r="E295" i="1" s="1"/>
  <c r="Q6" i="4" l="1"/>
  <c r="P6" i="4"/>
  <c r="I6" i="3"/>
  <c r="H6" i="3"/>
  <c r="N318" i="1" l="1"/>
  <c r="L318" i="1"/>
  <c r="D318" i="1"/>
  <c r="N317" i="1"/>
  <c r="L317" i="1"/>
  <c r="D317" i="1"/>
  <c r="X460" i="4"/>
  <c r="U460" i="4"/>
  <c r="I460" i="4"/>
  <c r="G460" i="4"/>
  <c r="X458" i="4"/>
  <c r="U458" i="4"/>
  <c r="I458" i="4"/>
  <c r="G458" i="4"/>
  <c r="X456" i="4"/>
  <c r="U456" i="4"/>
  <c r="I456" i="4"/>
  <c r="G456" i="4"/>
  <c r="N313" i="1"/>
  <c r="L313" i="1"/>
  <c r="D313" i="1"/>
  <c r="E314" i="1" s="1"/>
  <c r="E319" i="1" l="1"/>
  <c r="N325" i="1"/>
  <c r="L325" i="1"/>
  <c r="D325" i="1"/>
  <c r="N324" i="1"/>
  <c r="L324" i="1"/>
  <c r="D324" i="1"/>
  <c r="D146" i="3"/>
  <c r="G318" i="1" s="1"/>
  <c r="D145" i="3"/>
  <c r="G317" i="1" s="1"/>
  <c r="J145" i="3"/>
  <c r="J146" i="3"/>
  <c r="H319" i="1" l="1"/>
  <c r="L145" i="3"/>
  <c r="K317" i="1"/>
  <c r="M317" i="1" s="1"/>
  <c r="O317" i="1" s="1"/>
  <c r="P317" i="1" s="1"/>
  <c r="Q317" i="1" s="1"/>
  <c r="E145" i="3"/>
  <c r="L146" i="3"/>
  <c r="K318" i="1"/>
  <c r="M318" i="1" s="1"/>
  <c r="O318" i="1" s="1"/>
  <c r="P318" i="1" s="1"/>
  <c r="Q318" i="1" s="1"/>
  <c r="E146" i="3"/>
  <c r="E103" i="3"/>
  <c r="D103" i="3"/>
  <c r="D89" i="3"/>
  <c r="E89" i="3" s="1"/>
  <c r="D90" i="3"/>
  <c r="E90" i="3" s="1"/>
  <c r="D88" i="3"/>
  <c r="E88" i="3" s="1"/>
  <c r="N189" i="1"/>
  <c r="L189" i="1"/>
  <c r="D189" i="1"/>
  <c r="D186" i="1"/>
  <c r="G186" i="1"/>
  <c r="I186" i="1"/>
  <c r="L186" i="1"/>
  <c r="N186" i="1"/>
  <c r="D87" i="3"/>
  <c r="G189" i="1" s="1"/>
  <c r="F146" i="3" l="1"/>
  <c r="F318" i="1" s="1"/>
  <c r="I318" i="1"/>
  <c r="R318" i="1" s="1"/>
  <c r="E87" i="3"/>
  <c r="I189" i="1" s="1"/>
  <c r="F145" i="3"/>
  <c r="F317" i="1" s="1"/>
  <c r="I317" i="1"/>
  <c r="J319" i="1" l="1"/>
  <c r="R317" i="1"/>
  <c r="J18" i="3"/>
  <c r="D19" i="3"/>
  <c r="E19" i="3" s="1"/>
  <c r="D18" i="3"/>
  <c r="E18" i="3" s="1"/>
  <c r="D148" i="3" l="1"/>
  <c r="E148" i="3" s="1"/>
  <c r="D150" i="3"/>
  <c r="D149" i="3"/>
  <c r="E72" i="3"/>
  <c r="D62" i="3"/>
  <c r="E62" i="3" s="1"/>
  <c r="D147" i="3"/>
  <c r="E147" i="3" s="1"/>
  <c r="D144" i="3"/>
  <c r="E144" i="3" s="1"/>
  <c r="J150" i="3"/>
  <c r="J149" i="3"/>
  <c r="D143" i="3"/>
  <c r="J143" i="3"/>
  <c r="L150" i="3" l="1"/>
  <c r="K325" i="1"/>
  <c r="M325" i="1" s="1"/>
  <c r="O325" i="1" s="1"/>
  <c r="P325" i="1" s="1"/>
  <c r="Q325" i="1" s="1"/>
  <c r="E150" i="3"/>
  <c r="G325" i="1"/>
  <c r="L143" i="3"/>
  <c r="K313" i="1"/>
  <c r="M313" i="1" s="1"/>
  <c r="O313" i="1" s="1"/>
  <c r="P313" i="1" s="1"/>
  <c r="E149" i="3"/>
  <c r="G324" i="1"/>
  <c r="E143" i="3"/>
  <c r="G313" i="1"/>
  <c r="H314" i="1" s="1"/>
  <c r="L149" i="3"/>
  <c r="K324" i="1"/>
  <c r="M324" i="1" s="1"/>
  <c r="O324" i="1" s="1"/>
  <c r="P324" i="1" s="1"/>
  <c r="D72" i="3"/>
  <c r="F149" i="3" l="1"/>
  <c r="F324" i="1" s="1"/>
  <c r="I324" i="1"/>
  <c r="Q313" i="1"/>
  <c r="P314" i="1"/>
  <c r="Q314" i="1" s="1"/>
  <c r="P326" i="1"/>
  <c r="Q324" i="1"/>
  <c r="F150" i="3"/>
  <c r="F325" i="1" s="1"/>
  <c r="I325" i="1"/>
  <c r="R325" i="1" s="1"/>
  <c r="F143" i="3"/>
  <c r="F313" i="1" s="1"/>
  <c r="I313" i="1"/>
  <c r="J314" i="1" s="1"/>
  <c r="D13" i="3"/>
  <c r="E13" i="3" s="1"/>
  <c r="R324" i="1" l="1"/>
  <c r="R314" i="1"/>
  <c r="R313" i="1"/>
  <c r="D12" i="3"/>
  <c r="E12" i="3" s="1"/>
  <c r="H460" i="4" l="1"/>
  <c r="T314" i="1"/>
  <c r="W314" i="1" s="1"/>
  <c r="X314" i="1" s="1"/>
  <c r="P316" i="1" s="1"/>
  <c r="U314" i="1"/>
  <c r="Y314" i="1" s="1"/>
  <c r="D11" i="3"/>
  <c r="E11" i="3" s="1"/>
  <c r="L460" i="4" l="1"/>
  <c r="M460" i="4" s="1"/>
  <c r="J460" i="4"/>
  <c r="K460" i="4" s="1"/>
  <c r="Q460" i="4" s="1"/>
  <c r="D133" i="3"/>
  <c r="E133" i="3" s="1"/>
  <c r="D131" i="3"/>
  <c r="E131" i="3" s="1"/>
  <c r="D132" i="3"/>
  <c r="E132" i="3" s="1"/>
  <c r="R460" i="4" l="1"/>
  <c r="J135" i="3"/>
  <c r="G294" i="1" l="1"/>
  <c r="H295" i="1" s="1"/>
  <c r="L135" i="3"/>
  <c r="K294" i="1"/>
  <c r="M294" i="1" s="1"/>
  <c r="O294" i="1" s="1"/>
  <c r="P294" i="1" s="1"/>
  <c r="D100" i="3"/>
  <c r="E100" i="3" s="1"/>
  <c r="D99" i="3"/>
  <c r="E99" i="3" s="1"/>
  <c r="D95" i="3"/>
  <c r="E95" i="3" s="1"/>
  <c r="D94" i="3"/>
  <c r="E94" i="3" s="1"/>
  <c r="D98" i="3"/>
  <c r="E98" i="3" s="1"/>
  <c r="D97" i="3"/>
  <c r="E97" i="3" s="1"/>
  <c r="Q294" i="1" l="1"/>
  <c r="P295" i="1"/>
  <c r="Q295" i="1" s="1"/>
  <c r="F135" i="3"/>
  <c r="F294" i="1" s="1"/>
  <c r="I294" i="1"/>
  <c r="X687" i="4"/>
  <c r="U687" i="4"/>
  <c r="I687" i="4"/>
  <c r="G687" i="4"/>
  <c r="E687" i="4"/>
  <c r="X684" i="4"/>
  <c r="U684" i="4"/>
  <c r="I684" i="4"/>
  <c r="G684" i="4"/>
  <c r="E684" i="4"/>
  <c r="X681" i="4"/>
  <c r="U681" i="4"/>
  <c r="I681" i="4"/>
  <c r="G681" i="4"/>
  <c r="X678" i="4"/>
  <c r="U678" i="4"/>
  <c r="I678" i="4"/>
  <c r="G678" i="4"/>
  <c r="X674" i="4"/>
  <c r="U674" i="4"/>
  <c r="I674" i="4"/>
  <c r="G674" i="4"/>
  <c r="X671" i="4"/>
  <c r="U671" i="4"/>
  <c r="I671" i="4"/>
  <c r="G671" i="4"/>
  <c r="X668" i="4"/>
  <c r="U668" i="4"/>
  <c r="I668" i="4"/>
  <c r="G668" i="4"/>
  <c r="X666" i="4"/>
  <c r="U666" i="4"/>
  <c r="I666" i="4"/>
  <c r="G666" i="4"/>
  <c r="X664" i="4"/>
  <c r="U664" i="4"/>
  <c r="I664" i="4"/>
  <c r="G664" i="4"/>
  <c r="X662" i="4"/>
  <c r="X658" i="4"/>
  <c r="U658" i="4"/>
  <c r="I658" i="4"/>
  <c r="G658" i="4"/>
  <c r="X655" i="4"/>
  <c r="U655" i="4"/>
  <c r="I655" i="4"/>
  <c r="G655" i="4"/>
  <c r="X653" i="4"/>
  <c r="U653" i="4"/>
  <c r="I653" i="4"/>
  <c r="G653" i="4"/>
  <c r="X650" i="4"/>
  <c r="U650" i="4"/>
  <c r="I650" i="4"/>
  <c r="G650" i="4"/>
  <c r="X648" i="4"/>
  <c r="U648" i="4"/>
  <c r="I648" i="4"/>
  <c r="G648" i="4"/>
  <c r="X643" i="4"/>
  <c r="U643" i="4"/>
  <c r="I643" i="4"/>
  <c r="G643" i="4"/>
  <c r="E643" i="4"/>
  <c r="R294" i="1" l="1"/>
  <c r="J295" i="1"/>
  <c r="R295" i="1" s="1"/>
  <c r="E681" i="4"/>
  <c r="X640" i="4"/>
  <c r="U640" i="4"/>
  <c r="I640" i="4"/>
  <c r="G640" i="4"/>
  <c r="X638" i="4"/>
  <c r="U638" i="4"/>
  <c r="I638" i="4"/>
  <c r="G638" i="4"/>
  <c r="X635" i="4"/>
  <c r="U635" i="4"/>
  <c r="I635" i="4"/>
  <c r="G635" i="4"/>
  <c r="X633" i="4"/>
  <c r="U633" i="4"/>
  <c r="I633" i="4"/>
  <c r="G633" i="4"/>
  <c r="X631" i="4"/>
  <c r="U631" i="4"/>
  <c r="I631" i="4"/>
  <c r="G631" i="4"/>
  <c r="X628" i="4"/>
  <c r="U628" i="4"/>
  <c r="I628" i="4"/>
  <c r="G628" i="4"/>
  <c r="X625" i="4"/>
  <c r="U625" i="4"/>
  <c r="I625" i="4"/>
  <c r="G625" i="4"/>
  <c r="X622" i="4"/>
  <c r="U622" i="4"/>
  <c r="I622" i="4"/>
  <c r="G622" i="4"/>
  <c r="X619" i="4"/>
  <c r="U619" i="4"/>
  <c r="I619" i="4"/>
  <c r="G619" i="4"/>
  <c r="X617" i="4"/>
  <c r="U617" i="4"/>
  <c r="I617" i="4"/>
  <c r="G617" i="4"/>
  <c r="U295" i="1" l="1"/>
  <c r="Y295" i="1" s="1"/>
  <c r="T295" i="1"/>
  <c r="W295" i="1" s="1"/>
  <c r="X295" i="1" s="1"/>
  <c r="X615" i="4"/>
  <c r="U615" i="4"/>
  <c r="I615" i="4"/>
  <c r="G615" i="4"/>
  <c r="X613" i="4"/>
  <c r="U613" i="4"/>
  <c r="I613" i="4"/>
  <c r="G613" i="4"/>
  <c r="X611" i="4" l="1"/>
  <c r="U611" i="4"/>
  <c r="I611" i="4"/>
  <c r="G611" i="4"/>
  <c r="X609" i="4" l="1"/>
  <c r="U609" i="4"/>
  <c r="I609" i="4"/>
  <c r="G609" i="4"/>
  <c r="X605" i="4"/>
  <c r="U605" i="4"/>
  <c r="I605" i="4"/>
  <c r="G605" i="4"/>
  <c r="E605" i="4"/>
  <c r="X602" i="4"/>
  <c r="U602" i="4"/>
  <c r="I602" i="4"/>
  <c r="G602" i="4"/>
  <c r="X599" i="4"/>
  <c r="U599" i="4"/>
  <c r="I599" i="4"/>
  <c r="G599" i="4"/>
  <c r="X597" i="4"/>
  <c r="U597" i="4"/>
  <c r="I597" i="4"/>
  <c r="G597" i="4"/>
  <c r="X592" i="4"/>
  <c r="U592" i="4"/>
  <c r="I592" i="4"/>
  <c r="G592" i="4"/>
  <c r="X590" i="4"/>
  <c r="U590" i="4"/>
  <c r="I590" i="4"/>
  <c r="G590" i="4"/>
  <c r="X588" i="4"/>
  <c r="U588" i="4"/>
  <c r="I588" i="4"/>
  <c r="G588" i="4"/>
  <c r="X585" i="4"/>
  <c r="U585" i="4"/>
  <c r="I585" i="4"/>
  <c r="G585" i="4"/>
  <c r="X581" i="4"/>
  <c r="U581" i="4"/>
  <c r="I581" i="4"/>
  <c r="G581" i="4"/>
  <c r="X578" i="4"/>
  <c r="U578" i="4"/>
  <c r="I578" i="4"/>
  <c r="G578" i="4"/>
  <c r="X575" i="4"/>
  <c r="U575" i="4"/>
  <c r="I575" i="4"/>
  <c r="G575" i="4"/>
  <c r="X572" i="4"/>
  <c r="U572" i="4"/>
  <c r="I572" i="4"/>
  <c r="G572" i="4"/>
  <c r="X569" i="4"/>
  <c r="U569" i="4"/>
  <c r="I569" i="4"/>
  <c r="G569" i="4"/>
  <c r="X550" i="4"/>
  <c r="U550" i="4"/>
  <c r="I550" i="4"/>
  <c r="G550" i="4"/>
  <c r="X548" i="4"/>
  <c r="U548" i="4"/>
  <c r="I548" i="4"/>
  <c r="G548" i="4"/>
  <c r="X545" i="4"/>
  <c r="U545" i="4"/>
  <c r="I545" i="4"/>
  <c r="G545" i="4"/>
  <c r="X541" i="4"/>
  <c r="U541" i="4"/>
  <c r="I541" i="4"/>
  <c r="G541" i="4"/>
  <c r="X536" i="4"/>
  <c r="U536" i="4"/>
  <c r="I536" i="4"/>
  <c r="G536" i="4"/>
  <c r="X534" i="4" l="1"/>
  <c r="U534" i="4"/>
  <c r="I534" i="4"/>
  <c r="G534" i="4"/>
  <c r="X531" i="4"/>
  <c r="U531" i="4"/>
  <c r="I531" i="4"/>
  <c r="G531" i="4"/>
  <c r="X527" i="4"/>
  <c r="U527" i="4"/>
  <c r="I527" i="4"/>
  <c r="G527" i="4"/>
  <c r="X524" i="4"/>
  <c r="U524" i="4"/>
  <c r="I524" i="4"/>
  <c r="G524" i="4"/>
  <c r="E524" i="4"/>
  <c r="X520" i="4"/>
  <c r="U520" i="4"/>
  <c r="I520" i="4"/>
  <c r="G520" i="4"/>
  <c r="E520" i="4"/>
  <c r="X511" i="4"/>
  <c r="U511" i="4"/>
  <c r="I511" i="4"/>
  <c r="G511" i="4"/>
  <c r="X507" i="4"/>
  <c r="U507" i="4"/>
  <c r="I507" i="4"/>
  <c r="G507" i="4"/>
  <c r="X505" i="4"/>
  <c r="U505" i="4"/>
  <c r="I505" i="4"/>
  <c r="G505" i="4"/>
  <c r="X501" i="4"/>
  <c r="U501" i="4"/>
  <c r="I501" i="4"/>
  <c r="G501" i="4"/>
  <c r="X497" i="4"/>
  <c r="U497" i="4"/>
  <c r="I497" i="4"/>
  <c r="G497" i="4"/>
  <c r="X490" i="4"/>
  <c r="U490" i="4"/>
  <c r="I490" i="4"/>
  <c r="G490" i="4"/>
  <c r="X488" i="4"/>
  <c r="U488" i="4"/>
  <c r="I488" i="4"/>
  <c r="G488" i="4"/>
  <c r="X485" i="4"/>
  <c r="U485" i="4"/>
  <c r="I485" i="4"/>
  <c r="G485" i="4"/>
  <c r="X482" i="4"/>
  <c r="U482" i="4"/>
  <c r="I482" i="4"/>
  <c r="G482" i="4"/>
  <c r="X479" i="4"/>
  <c r="U479" i="4"/>
  <c r="I479" i="4"/>
  <c r="G479" i="4"/>
  <c r="X474" i="4"/>
  <c r="U474" i="4"/>
  <c r="I474" i="4"/>
  <c r="G474" i="4"/>
  <c r="X472" i="4"/>
  <c r="U472" i="4"/>
  <c r="I472" i="4"/>
  <c r="G472" i="4"/>
  <c r="X470" i="4"/>
  <c r="U470" i="4"/>
  <c r="I470" i="4"/>
  <c r="G470" i="4"/>
  <c r="X467" i="4"/>
  <c r="U467" i="4"/>
  <c r="I467" i="4"/>
  <c r="G467" i="4"/>
  <c r="X465" i="4"/>
  <c r="U465" i="4"/>
  <c r="I465" i="4"/>
  <c r="G465" i="4"/>
  <c r="X453" i="4"/>
  <c r="U453" i="4"/>
  <c r="I453" i="4"/>
  <c r="G453" i="4"/>
  <c r="X450" i="4"/>
  <c r="U450" i="4"/>
  <c r="I450" i="4"/>
  <c r="G450" i="4"/>
  <c r="X448" i="4"/>
  <c r="U448" i="4"/>
  <c r="I448" i="4"/>
  <c r="G448" i="4"/>
  <c r="X446" i="4"/>
  <c r="U446" i="4"/>
  <c r="I446" i="4"/>
  <c r="G446" i="4"/>
  <c r="X444" i="4"/>
  <c r="U444" i="4"/>
  <c r="I444" i="4"/>
  <c r="G444" i="4"/>
  <c r="X442" i="4"/>
  <c r="U442" i="4"/>
  <c r="I442" i="4"/>
  <c r="G442" i="4"/>
  <c r="X440" i="4"/>
  <c r="U440" i="4"/>
  <c r="I440" i="4"/>
  <c r="G440" i="4"/>
  <c r="X437" i="4"/>
  <c r="U437" i="4"/>
  <c r="I437" i="4"/>
  <c r="G437" i="4"/>
  <c r="X435" i="4"/>
  <c r="U435" i="4"/>
  <c r="I435" i="4"/>
  <c r="G435" i="4"/>
  <c r="X433" i="4"/>
  <c r="U433" i="4"/>
  <c r="I433" i="4"/>
  <c r="G433" i="4"/>
  <c r="X428" i="4"/>
  <c r="U428" i="4"/>
  <c r="I428" i="4"/>
  <c r="G428" i="4"/>
  <c r="X425" i="4"/>
  <c r="U425" i="4"/>
  <c r="I425" i="4"/>
  <c r="G425" i="4"/>
  <c r="X420" i="4"/>
  <c r="U420" i="4"/>
  <c r="I420" i="4"/>
  <c r="G420" i="4"/>
  <c r="X418" i="4"/>
  <c r="U418" i="4"/>
  <c r="I418" i="4"/>
  <c r="G418" i="4"/>
  <c r="X416" i="4"/>
  <c r="U416" i="4"/>
  <c r="I416" i="4"/>
  <c r="G416" i="4"/>
  <c r="X413" i="4"/>
  <c r="U413" i="4"/>
  <c r="I413" i="4"/>
  <c r="G413" i="4"/>
  <c r="X411" i="4"/>
  <c r="U411" i="4"/>
  <c r="I411" i="4"/>
  <c r="G411" i="4"/>
  <c r="X408" i="4"/>
  <c r="U408" i="4"/>
  <c r="I408" i="4"/>
  <c r="G408" i="4"/>
  <c r="X404" i="4"/>
  <c r="U404" i="4"/>
  <c r="I404" i="4"/>
  <c r="G404" i="4"/>
  <c r="X401" i="4"/>
  <c r="U401" i="4"/>
  <c r="I401" i="4"/>
  <c r="G401" i="4"/>
  <c r="X395" i="4"/>
  <c r="U395" i="4"/>
  <c r="I395" i="4"/>
  <c r="G395" i="4"/>
  <c r="X391" i="4"/>
  <c r="U391" i="4"/>
  <c r="I391" i="4"/>
  <c r="G391" i="4"/>
  <c r="X389" i="4"/>
  <c r="U389" i="4"/>
  <c r="I389" i="4"/>
  <c r="G389" i="4"/>
  <c r="X386" i="4"/>
  <c r="U386" i="4"/>
  <c r="I386" i="4"/>
  <c r="G386" i="4"/>
  <c r="X383" i="4"/>
  <c r="U383" i="4"/>
  <c r="I383" i="4"/>
  <c r="G383" i="4"/>
  <c r="X380" i="4"/>
  <c r="U380" i="4"/>
  <c r="I380" i="4"/>
  <c r="G380" i="4"/>
  <c r="X372" i="4"/>
  <c r="U372" i="4"/>
  <c r="I372" i="4"/>
  <c r="G372" i="4"/>
  <c r="X370" i="4"/>
  <c r="U370" i="4"/>
  <c r="I370" i="4"/>
  <c r="G370" i="4"/>
  <c r="X366" i="4"/>
  <c r="U366" i="4"/>
  <c r="I366" i="4"/>
  <c r="G366" i="4"/>
  <c r="X360" i="4"/>
  <c r="U360" i="4"/>
  <c r="I360" i="4"/>
  <c r="G360" i="4"/>
  <c r="X358" i="4"/>
  <c r="U358" i="4"/>
  <c r="I358" i="4"/>
  <c r="G358" i="4"/>
  <c r="X298" i="4"/>
  <c r="U298" i="4"/>
  <c r="I298" i="4"/>
  <c r="G298" i="4"/>
  <c r="X295" i="4"/>
  <c r="U295" i="4"/>
  <c r="I295" i="4"/>
  <c r="G295" i="4"/>
  <c r="X292" i="4"/>
  <c r="U292" i="4"/>
  <c r="I292" i="4"/>
  <c r="X290" i="4"/>
  <c r="U290" i="4"/>
  <c r="I290" i="4"/>
  <c r="G290" i="4"/>
  <c r="X276" i="4"/>
  <c r="U276" i="4"/>
  <c r="I276" i="4"/>
  <c r="G276" i="4"/>
  <c r="X274" i="4"/>
  <c r="U274" i="4"/>
  <c r="I274" i="4"/>
  <c r="G274" i="4"/>
  <c r="X270" i="4"/>
  <c r="U270" i="4"/>
  <c r="I270" i="4"/>
  <c r="G270" i="4"/>
  <c r="X266" i="4"/>
  <c r="U266" i="4"/>
  <c r="I266" i="4"/>
  <c r="G266" i="4"/>
  <c r="X264" i="4"/>
  <c r="U264" i="4"/>
  <c r="I264" i="4"/>
  <c r="G264" i="4"/>
  <c r="X262" i="4"/>
  <c r="U262" i="4"/>
  <c r="I262" i="4"/>
  <c r="G262" i="4"/>
  <c r="X260" i="4"/>
  <c r="U260" i="4"/>
  <c r="I260" i="4"/>
  <c r="G260" i="4"/>
  <c r="X258" i="4"/>
  <c r="U258" i="4"/>
  <c r="I258" i="4"/>
  <c r="G258" i="4"/>
  <c r="X256" i="4"/>
  <c r="U256" i="4"/>
  <c r="I256" i="4"/>
  <c r="G256" i="4"/>
  <c r="X254" i="4" l="1"/>
  <c r="U254" i="4"/>
  <c r="I254" i="4"/>
  <c r="G254" i="4"/>
  <c r="X252" i="4"/>
  <c r="U252" i="4"/>
  <c r="I252" i="4"/>
  <c r="G252" i="4"/>
  <c r="X250" i="4"/>
  <c r="U250" i="4"/>
  <c r="I250" i="4"/>
  <c r="G250" i="4"/>
  <c r="E250" i="4"/>
  <c r="Q467" i="4" l="1"/>
  <c r="Q465" i="4"/>
  <c r="Q453" i="4"/>
  <c r="E310" i="3"/>
  <c r="D310" i="3"/>
  <c r="J223" i="3"/>
  <c r="F223" i="3"/>
  <c r="F488" i="1" s="1"/>
  <c r="N483" i="1"/>
  <c r="L483" i="1"/>
  <c r="I483" i="1"/>
  <c r="G483" i="1"/>
  <c r="D483" i="1"/>
  <c r="N101" i="1"/>
  <c r="L101" i="1"/>
  <c r="I101" i="1"/>
  <c r="G101" i="1"/>
  <c r="D101" i="1"/>
  <c r="N98" i="1"/>
  <c r="L98" i="1"/>
  <c r="I98" i="1"/>
  <c r="J99" i="1" s="1"/>
  <c r="G98" i="1"/>
  <c r="H99" i="1" s="1"/>
  <c r="D98" i="1"/>
  <c r="E99" i="1" s="1"/>
  <c r="N95" i="1"/>
  <c r="L95" i="1"/>
  <c r="I95" i="1"/>
  <c r="G95" i="1"/>
  <c r="D95" i="1"/>
  <c r="N94" i="1"/>
  <c r="L94" i="1"/>
  <c r="I94" i="1"/>
  <c r="G94" i="1"/>
  <c r="D94" i="1"/>
  <c r="N80" i="1"/>
  <c r="L80" i="1"/>
  <c r="I80" i="1"/>
  <c r="J81" i="1" s="1"/>
  <c r="G80" i="1"/>
  <c r="H81" i="1" s="1"/>
  <c r="D80" i="1"/>
  <c r="E81" i="1" s="1"/>
  <c r="N21" i="1"/>
  <c r="L21" i="1"/>
  <c r="I21" i="1"/>
  <c r="G21" i="1"/>
  <c r="D21" i="1"/>
  <c r="L223" i="3" l="1"/>
  <c r="K488" i="1"/>
  <c r="M488" i="1" s="1"/>
  <c r="O488" i="1" s="1"/>
  <c r="P488" i="1" s="1"/>
  <c r="J96" i="1"/>
  <c r="E96" i="1"/>
  <c r="H96" i="1"/>
  <c r="Z684" i="1"/>
  <c r="N681" i="1"/>
  <c r="L681" i="1"/>
  <c r="I681" i="1"/>
  <c r="J682" i="1" s="1"/>
  <c r="G681" i="1"/>
  <c r="H682" i="1" s="1"/>
  <c r="D681" i="1"/>
  <c r="E682" i="1" s="1"/>
  <c r="Z679" i="1"/>
  <c r="N676" i="1"/>
  <c r="L676" i="1"/>
  <c r="I676" i="1"/>
  <c r="J677" i="1" s="1"/>
  <c r="G676" i="1"/>
  <c r="H677" i="1" s="1"/>
  <c r="D676" i="1"/>
  <c r="E677" i="1" s="1"/>
  <c r="Z674" i="1"/>
  <c r="N671" i="1"/>
  <c r="L671" i="1"/>
  <c r="I671" i="1"/>
  <c r="J672" i="1" s="1"/>
  <c r="G671" i="1"/>
  <c r="H672" i="1" s="1"/>
  <c r="D671" i="1"/>
  <c r="E672" i="1" s="1"/>
  <c r="P489" i="1" l="1"/>
  <c r="Q489" i="1" s="1"/>
  <c r="R489" i="1" s="1"/>
  <c r="Q488" i="1"/>
  <c r="R488" i="1" s="1"/>
  <c r="Z669" i="1"/>
  <c r="N665" i="1"/>
  <c r="L665" i="1"/>
  <c r="I665" i="1"/>
  <c r="G665" i="1"/>
  <c r="D665" i="1"/>
  <c r="N664" i="1"/>
  <c r="L664" i="1"/>
  <c r="I664" i="1"/>
  <c r="G664" i="1"/>
  <c r="D664" i="1"/>
  <c r="N658" i="1"/>
  <c r="L658" i="1"/>
  <c r="I658" i="1"/>
  <c r="G658" i="1"/>
  <c r="D658" i="1"/>
  <c r="N657" i="1"/>
  <c r="L657" i="1"/>
  <c r="I657" i="1"/>
  <c r="G657" i="1"/>
  <c r="D657" i="1"/>
  <c r="N656" i="1"/>
  <c r="L656" i="1"/>
  <c r="I656" i="1"/>
  <c r="G656" i="1"/>
  <c r="D656" i="1"/>
  <c r="U489" i="1" l="1"/>
  <c r="Y489" i="1" s="1"/>
  <c r="T489" i="1"/>
  <c r="W489" i="1" s="1"/>
  <c r="X489" i="1" s="1"/>
  <c r="E666" i="1"/>
  <c r="J666" i="1"/>
  <c r="H666" i="1"/>
  <c r="H659" i="1"/>
  <c r="E659" i="1"/>
  <c r="J659" i="1"/>
  <c r="N650" i="1"/>
  <c r="L650" i="1"/>
  <c r="I650" i="1"/>
  <c r="G650" i="1"/>
  <c r="D650" i="1"/>
  <c r="N649" i="1"/>
  <c r="L649" i="1"/>
  <c r="I649" i="1"/>
  <c r="G649" i="1"/>
  <c r="D649" i="1"/>
  <c r="N646" i="1"/>
  <c r="L646" i="1"/>
  <c r="I646" i="1"/>
  <c r="G646" i="1"/>
  <c r="D646" i="1"/>
  <c r="N644" i="1"/>
  <c r="L644" i="1"/>
  <c r="I644" i="1"/>
  <c r="G644" i="1"/>
  <c r="D644" i="1"/>
  <c r="N643" i="1"/>
  <c r="L643" i="1"/>
  <c r="I643" i="1"/>
  <c r="G643" i="1"/>
  <c r="D643" i="1"/>
  <c r="N639" i="1"/>
  <c r="L639" i="1"/>
  <c r="I639" i="1"/>
  <c r="G639" i="1"/>
  <c r="D639" i="1"/>
  <c r="N638" i="1"/>
  <c r="L638" i="1"/>
  <c r="I638" i="1"/>
  <c r="G638" i="1"/>
  <c r="D638" i="1"/>
  <c r="N635" i="1"/>
  <c r="L635" i="1"/>
  <c r="I635" i="1"/>
  <c r="G635" i="1"/>
  <c r="D635" i="1"/>
  <c r="N632" i="1"/>
  <c r="L632" i="1"/>
  <c r="I632" i="1"/>
  <c r="G632" i="1"/>
  <c r="D632" i="1"/>
  <c r="N631" i="1"/>
  <c r="L631" i="1"/>
  <c r="I631" i="1"/>
  <c r="G631" i="1"/>
  <c r="D631" i="1"/>
  <c r="N629" i="1"/>
  <c r="L629" i="1"/>
  <c r="I629" i="1"/>
  <c r="G629" i="1"/>
  <c r="D629" i="1"/>
  <c r="N628" i="1"/>
  <c r="L628" i="1"/>
  <c r="I628" i="1"/>
  <c r="G628" i="1"/>
  <c r="D628" i="1"/>
  <c r="N626" i="1"/>
  <c r="L626" i="1"/>
  <c r="I626" i="1"/>
  <c r="G626" i="1"/>
  <c r="D626" i="1"/>
  <c r="N624" i="1"/>
  <c r="L624" i="1"/>
  <c r="I624" i="1"/>
  <c r="G624" i="1"/>
  <c r="D624" i="1"/>
  <c r="N623" i="1"/>
  <c r="L623" i="1"/>
  <c r="I623" i="1"/>
  <c r="G623" i="1"/>
  <c r="D623" i="1"/>
  <c r="N622" i="1"/>
  <c r="L622" i="1"/>
  <c r="I622" i="1"/>
  <c r="G622" i="1"/>
  <c r="D622" i="1"/>
  <c r="N619" i="1"/>
  <c r="L619" i="1"/>
  <c r="I619" i="1"/>
  <c r="G619" i="1"/>
  <c r="D619" i="1"/>
  <c r="N618" i="1"/>
  <c r="L618" i="1"/>
  <c r="I618" i="1"/>
  <c r="G618" i="1"/>
  <c r="D618" i="1"/>
  <c r="N615" i="1"/>
  <c r="L615" i="1"/>
  <c r="I615" i="1"/>
  <c r="G615" i="1"/>
  <c r="D615" i="1"/>
  <c r="N614" i="1"/>
  <c r="L614" i="1"/>
  <c r="I614" i="1"/>
  <c r="G614" i="1"/>
  <c r="D614" i="1"/>
  <c r="N611" i="1"/>
  <c r="L611" i="1"/>
  <c r="I611" i="1"/>
  <c r="G611" i="1"/>
  <c r="D611" i="1"/>
  <c r="N610" i="1"/>
  <c r="L610" i="1"/>
  <c r="I610" i="1"/>
  <c r="G610" i="1"/>
  <c r="D610" i="1"/>
  <c r="N606" i="1"/>
  <c r="L606" i="1"/>
  <c r="I606" i="1"/>
  <c r="G606" i="1"/>
  <c r="D606" i="1"/>
  <c r="N604" i="1"/>
  <c r="L604" i="1"/>
  <c r="I604" i="1"/>
  <c r="J605" i="1" s="1"/>
  <c r="G604" i="1"/>
  <c r="H605" i="1" s="1"/>
  <c r="D604" i="1"/>
  <c r="E605" i="1" s="1"/>
  <c r="N601" i="1"/>
  <c r="L601" i="1"/>
  <c r="I601" i="1"/>
  <c r="G601" i="1"/>
  <c r="D601" i="1"/>
  <c r="N600" i="1"/>
  <c r="L600" i="1"/>
  <c r="I600" i="1"/>
  <c r="G600" i="1"/>
  <c r="D600" i="1"/>
  <c r="E651" i="1" l="1"/>
  <c r="J625" i="1"/>
  <c r="J627" i="1" s="1"/>
  <c r="J630" i="1" s="1"/>
  <c r="H651" i="1"/>
  <c r="J651" i="1"/>
  <c r="E640" i="1"/>
  <c r="J645" i="1"/>
  <c r="H645" i="1"/>
  <c r="H625" i="1"/>
  <c r="H627" i="1" s="1"/>
  <c r="H630" i="1" s="1"/>
  <c r="E645" i="1"/>
  <c r="J640" i="1"/>
  <c r="E616" i="1"/>
  <c r="H640" i="1"/>
  <c r="E625" i="1"/>
  <c r="E627" i="1" s="1"/>
  <c r="E630" i="1" s="1"/>
  <c r="J616" i="1"/>
  <c r="J607" i="1"/>
  <c r="E612" i="1"/>
  <c r="E607" i="1"/>
  <c r="J612" i="1"/>
  <c r="H616" i="1"/>
  <c r="H612" i="1"/>
  <c r="H607" i="1"/>
  <c r="N598" i="1"/>
  <c r="L598" i="1"/>
  <c r="I598" i="1"/>
  <c r="G598" i="1"/>
  <c r="D598" i="1"/>
  <c r="N597" i="1"/>
  <c r="L597" i="1"/>
  <c r="I597" i="1"/>
  <c r="G597" i="1"/>
  <c r="D597" i="1"/>
  <c r="N595" i="1"/>
  <c r="L595" i="1"/>
  <c r="I595" i="1"/>
  <c r="G595" i="1"/>
  <c r="D595" i="1"/>
  <c r="N594" i="1"/>
  <c r="L594" i="1"/>
  <c r="I594" i="1"/>
  <c r="G594" i="1"/>
  <c r="D594" i="1"/>
  <c r="N590" i="1"/>
  <c r="L590" i="1"/>
  <c r="I590" i="1"/>
  <c r="G590" i="1"/>
  <c r="D590" i="1"/>
  <c r="E617" i="1" l="1"/>
  <c r="E620" i="1" s="1"/>
  <c r="E633" i="1" s="1"/>
  <c r="J617" i="1"/>
  <c r="J620" i="1" s="1"/>
  <c r="J633" i="1" s="1"/>
  <c r="H617" i="1"/>
  <c r="H620" i="1" s="1"/>
  <c r="H633" i="1" s="1"/>
  <c r="N588" i="1"/>
  <c r="L588" i="1"/>
  <c r="I588" i="1"/>
  <c r="G588" i="1"/>
  <c r="D588" i="1"/>
  <c r="N586" i="1" l="1"/>
  <c r="L586" i="1"/>
  <c r="I586" i="1"/>
  <c r="G586" i="1"/>
  <c r="D586" i="1"/>
  <c r="N584" i="1"/>
  <c r="L584" i="1"/>
  <c r="I584" i="1"/>
  <c r="J585" i="1" s="1"/>
  <c r="G584" i="1"/>
  <c r="H585" i="1" s="1"/>
  <c r="D584" i="1"/>
  <c r="E585" i="1" s="1"/>
  <c r="J587" i="1" l="1"/>
  <c r="J589" i="1" s="1"/>
  <c r="J591" i="1" s="1"/>
  <c r="J592" i="1" s="1"/>
  <c r="J596" i="1" s="1"/>
  <c r="J599" i="1" s="1"/>
  <c r="J602" i="1" s="1"/>
  <c r="J608" i="1" s="1"/>
  <c r="H587" i="1"/>
  <c r="H589" i="1" s="1"/>
  <c r="H591" i="1" s="1"/>
  <c r="E587" i="1"/>
  <c r="E589" i="1" s="1"/>
  <c r="E591" i="1" s="1"/>
  <c r="Z582" i="1"/>
  <c r="N579" i="1"/>
  <c r="L579" i="1"/>
  <c r="I579" i="1"/>
  <c r="G579" i="1"/>
  <c r="D579" i="1"/>
  <c r="N578" i="1"/>
  <c r="L578" i="1"/>
  <c r="I578" i="1"/>
  <c r="G578" i="1"/>
  <c r="D578" i="1"/>
  <c r="N576" i="1"/>
  <c r="L576" i="1"/>
  <c r="I576" i="1"/>
  <c r="G576" i="1"/>
  <c r="D576" i="1"/>
  <c r="N574" i="1"/>
  <c r="L574" i="1"/>
  <c r="I574" i="1"/>
  <c r="G574" i="1"/>
  <c r="D574" i="1"/>
  <c r="N573" i="1"/>
  <c r="L573" i="1"/>
  <c r="I573" i="1"/>
  <c r="G573" i="1"/>
  <c r="D573" i="1"/>
  <c r="N570" i="1"/>
  <c r="L570" i="1"/>
  <c r="I570" i="1"/>
  <c r="G570" i="1"/>
  <c r="D570" i="1"/>
  <c r="N568" i="1"/>
  <c r="L568" i="1"/>
  <c r="I568" i="1"/>
  <c r="G568" i="1"/>
  <c r="D568" i="1"/>
  <c r="N567" i="1"/>
  <c r="L567" i="1"/>
  <c r="I567" i="1"/>
  <c r="G567" i="1"/>
  <c r="D567" i="1"/>
  <c r="N566" i="1"/>
  <c r="L566" i="1"/>
  <c r="I566" i="1"/>
  <c r="G566" i="1"/>
  <c r="D566" i="1"/>
  <c r="N563" i="1"/>
  <c r="L563" i="1"/>
  <c r="I563" i="1"/>
  <c r="G563" i="1"/>
  <c r="D563" i="1"/>
  <c r="N562" i="1"/>
  <c r="L562" i="1"/>
  <c r="I562" i="1"/>
  <c r="G562" i="1"/>
  <c r="D562" i="1"/>
  <c r="N560" i="1"/>
  <c r="L560" i="1"/>
  <c r="I560" i="1"/>
  <c r="G560" i="1"/>
  <c r="D560" i="1"/>
  <c r="N558" i="1"/>
  <c r="L558" i="1"/>
  <c r="I558" i="1"/>
  <c r="G558" i="1"/>
  <c r="D558" i="1"/>
  <c r="N556" i="1"/>
  <c r="L556" i="1"/>
  <c r="I556" i="1"/>
  <c r="J557" i="1" s="1"/>
  <c r="G556" i="1"/>
  <c r="H557" i="1" s="1"/>
  <c r="D556" i="1"/>
  <c r="E557" i="1" s="1"/>
  <c r="N553" i="1"/>
  <c r="L553" i="1"/>
  <c r="I553" i="1"/>
  <c r="G553" i="1"/>
  <c r="D553" i="1"/>
  <c r="N551" i="1"/>
  <c r="L551" i="1"/>
  <c r="I551" i="1"/>
  <c r="J552" i="1" s="1"/>
  <c r="G551" i="1"/>
  <c r="H552" i="1" s="1"/>
  <c r="D551" i="1"/>
  <c r="E552" i="1" s="1"/>
  <c r="N548" i="1"/>
  <c r="L548" i="1"/>
  <c r="I548" i="1"/>
  <c r="G548" i="1"/>
  <c r="D548" i="1"/>
  <c r="N546" i="1"/>
  <c r="L546" i="1"/>
  <c r="I546" i="1"/>
  <c r="G546" i="1"/>
  <c r="D546" i="1"/>
  <c r="N545" i="1"/>
  <c r="L545" i="1"/>
  <c r="I545" i="1"/>
  <c r="G545" i="1"/>
  <c r="D545" i="1"/>
  <c r="N541" i="1"/>
  <c r="L541" i="1"/>
  <c r="I541" i="1"/>
  <c r="J542" i="1" s="1"/>
  <c r="G541" i="1"/>
  <c r="H542" i="1" s="1"/>
  <c r="D541" i="1"/>
  <c r="E542" i="1" s="1"/>
  <c r="N538" i="1"/>
  <c r="L538" i="1"/>
  <c r="I538" i="1"/>
  <c r="G538" i="1"/>
  <c r="D538" i="1"/>
  <c r="N537" i="1"/>
  <c r="L537" i="1"/>
  <c r="I537" i="1"/>
  <c r="G537" i="1"/>
  <c r="D537" i="1"/>
  <c r="N535" i="1"/>
  <c r="L535" i="1"/>
  <c r="I535" i="1"/>
  <c r="G535" i="1"/>
  <c r="D535" i="1"/>
  <c r="N533" i="1"/>
  <c r="L533" i="1"/>
  <c r="I533" i="1"/>
  <c r="G533" i="1"/>
  <c r="D533" i="1"/>
  <c r="N532" i="1"/>
  <c r="L532" i="1"/>
  <c r="I532" i="1"/>
  <c r="G532" i="1"/>
  <c r="D532" i="1"/>
  <c r="J593" i="1" l="1"/>
  <c r="J636" i="1" s="1"/>
  <c r="J641" i="1" s="1"/>
  <c r="J647" i="1" s="1"/>
  <c r="J652" i="1" s="1"/>
  <c r="J660" i="1" s="1"/>
  <c r="H547" i="1"/>
  <c r="H592" i="1"/>
  <c r="H596" i="1" s="1"/>
  <c r="H599" i="1" s="1"/>
  <c r="H602" i="1" s="1"/>
  <c r="H608" i="1" s="1"/>
  <c r="H593" i="1"/>
  <c r="H636" i="1" s="1"/>
  <c r="H641" i="1" s="1"/>
  <c r="H647" i="1" s="1"/>
  <c r="E592" i="1"/>
  <c r="E596" i="1" s="1"/>
  <c r="E599" i="1" s="1"/>
  <c r="E602" i="1" s="1"/>
  <c r="E608" i="1" s="1"/>
  <c r="E593" i="1"/>
  <c r="E636" i="1" s="1"/>
  <c r="E641" i="1" s="1"/>
  <c r="E647" i="1" s="1"/>
  <c r="J547" i="1"/>
  <c r="H569" i="1"/>
  <c r="H571" i="1" s="1"/>
  <c r="J569" i="1"/>
  <c r="J571" i="1" s="1"/>
  <c r="E569" i="1"/>
  <c r="E571" i="1" s="1"/>
  <c r="E547" i="1"/>
  <c r="J554" i="1"/>
  <c r="J559" i="1" s="1"/>
  <c r="J561" i="1" s="1"/>
  <c r="J564" i="1" s="1"/>
  <c r="E554" i="1"/>
  <c r="E559" i="1" s="1"/>
  <c r="E561" i="1" s="1"/>
  <c r="E564" i="1" s="1"/>
  <c r="H554" i="1"/>
  <c r="H559" i="1" s="1"/>
  <c r="H561" i="1" s="1"/>
  <c r="H564" i="1" s="1"/>
  <c r="H534" i="1"/>
  <c r="H536" i="1" s="1"/>
  <c r="J534" i="1"/>
  <c r="J536" i="1" s="1"/>
  <c r="E534" i="1"/>
  <c r="E536" i="1" s="1"/>
  <c r="N529" i="1"/>
  <c r="L529" i="1"/>
  <c r="I529" i="1"/>
  <c r="G529" i="1"/>
  <c r="D529" i="1"/>
  <c r="N528" i="1"/>
  <c r="L528" i="1"/>
  <c r="I528" i="1"/>
  <c r="G528" i="1"/>
  <c r="D528" i="1"/>
  <c r="N522" i="1"/>
  <c r="L522" i="1"/>
  <c r="I522" i="1"/>
  <c r="J524" i="1" s="1"/>
  <c r="J526" i="1" s="1"/>
  <c r="G522" i="1"/>
  <c r="H524" i="1" s="1"/>
  <c r="H526" i="1" s="1"/>
  <c r="D522" i="1"/>
  <c r="E524" i="1" s="1"/>
  <c r="E526" i="1" s="1"/>
  <c r="N498" i="1"/>
  <c r="L498" i="1"/>
  <c r="I498" i="1"/>
  <c r="J500" i="1" s="1"/>
  <c r="G498" i="1"/>
  <c r="H500" i="1" s="1"/>
  <c r="D498" i="1"/>
  <c r="E500" i="1" s="1"/>
  <c r="Z496" i="1"/>
  <c r="N493" i="1"/>
  <c r="L493" i="1"/>
  <c r="I493" i="1"/>
  <c r="J494" i="1" s="1"/>
  <c r="G493" i="1"/>
  <c r="H494" i="1" s="1"/>
  <c r="D493" i="1"/>
  <c r="E494" i="1" s="1"/>
  <c r="J662" i="1" l="1"/>
  <c r="J661" i="1"/>
  <c r="J667" i="1" s="1"/>
  <c r="J653" i="1"/>
  <c r="J654" i="1"/>
  <c r="H652" i="1"/>
  <c r="H654" i="1" s="1"/>
  <c r="E652" i="1"/>
  <c r="E660" i="1" s="1"/>
  <c r="Z486" i="1"/>
  <c r="N480" i="1"/>
  <c r="L480" i="1"/>
  <c r="I480" i="1"/>
  <c r="J481" i="1" s="1"/>
  <c r="G480" i="1"/>
  <c r="H481" i="1" s="1"/>
  <c r="D480" i="1"/>
  <c r="E481" i="1" s="1"/>
  <c r="N476" i="1"/>
  <c r="L476" i="1"/>
  <c r="I476" i="1"/>
  <c r="G476" i="1"/>
  <c r="D476" i="1"/>
  <c r="N473" i="1"/>
  <c r="L473" i="1"/>
  <c r="I473" i="1"/>
  <c r="G473" i="1"/>
  <c r="D473" i="1"/>
  <c r="N472" i="1"/>
  <c r="L472" i="1"/>
  <c r="I472" i="1"/>
  <c r="G472" i="1"/>
  <c r="D472" i="1"/>
  <c r="N470" i="1"/>
  <c r="L470" i="1"/>
  <c r="I470" i="1"/>
  <c r="G470" i="1"/>
  <c r="D470" i="1"/>
  <c r="N469" i="1"/>
  <c r="L469" i="1"/>
  <c r="I469" i="1"/>
  <c r="G469" i="1"/>
  <c r="D469" i="1"/>
  <c r="N466" i="1"/>
  <c r="L466" i="1"/>
  <c r="I466" i="1"/>
  <c r="G466" i="1"/>
  <c r="D466" i="1"/>
  <c r="N465" i="1"/>
  <c r="L465" i="1"/>
  <c r="I465" i="1"/>
  <c r="G465" i="1"/>
  <c r="D465" i="1"/>
  <c r="N463" i="1"/>
  <c r="L463" i="1"/>
  <c r="I463" i="1"/>
  <c r="J464" i="1" s="1"/>
  <c r="G463" i="1"/>
  <c r="H464" i="1" s="1"/>
  <c r="D463" i="1"/>
  <c r="E464" i="1" s="1"/>
  <c r="N460" i="1"/>
  <c r="L460" i="1"/>
  <c r="I460" i="1"/>
  <c r="G460" i="1"/>
  <c r="D460" i="1"/>
  <c r="N458" i="1"/>
  <c r="L458" i="1"/>
  <c r="I458" i="1"/>
  <c r="G458" i="1"/>
  <c r="D458" i="1"/>
  <c r="N456" i="1"/>
  <c r="L456" i="1"/>
  <c r="I456" i="1"/>
  <c r="G456" i="1"/>
  <c r="D456" i="1"/>
  <c r="N455" i="1"/>
  <c r="L455" i="1"/>
  <c r="I455" i="1"/>
  <c r="G455" i="1"/>
  <c r="D455" i="1"/>
  <c r="N452" i="1"/>
  <c r="L452" i="1"/>
  <c r="I452" i="1"/>
  <c r="G452" i="1"/>
  <c r="D452" i="1"/>
  <c r="N450" i="1"/>
  <c r="L450" i="1"/>
  <c r="I450" i="1"/>
  <c r="J451" i="1" s="1"/>
  <c r="G450" i="1"/>
  <c r="H451" i="1" s="1"/>
  <c r="D450" i="1"/>
  <c r="E451" i="1" s="1"/>
  <c r="N446" i="1"/>
  <c r="L446" i="1"/>
  <c r="I446" i="1"/>
  <c r="G446" i="1"/>
  <c r="D446" i="1"/>
  <c r="N445" i="1"/>
  <c r="L445" i="1"/>
  <c r="I445" i="1"/>
  <c r="G445" i="1"/>
  <c r="D445" i="1"/>
  <c r="N444" i="1"/>
  <c r="L444" i="1"/>
  <c r="I444" i="1"/>
  <c r="G444" i="1"/>
  <c r="D444" i="1"/>
  <c r="N440" i="1"/>
  <c r="L440" i="1"/>
  <c r="I440" i="1"/>
  <c r="J441" i="1" s="1"/>
  <c r="G440" i="1"/>
  <c r="H441" i="1" s="1"/>
  <c r="D440" i="1"/>
  <c r="E441" i="1" s="1"/>
  <c r="N434" i="1"/>
  <c r="L434" i="1"/>
  <c r="I434" i="1"/>
  <c r="J435" i="1" s="1"/>
  <c r="J437" i="1" s="1"/>
  <c r="G434" i="1"/>
  <c r="H435" i="1" s="1"/>
  <c r="H437" i="1" s="1"/>
  <c r="D434" i="1"/>
  <c r="E435" i="1" s="1"/>
  <c r="E437" i="1" s="1"/>
  <c r="N430" i="1"/>
  <c r="L430" i="1"/>
  <c r="I430" i="1"/>
  <c r="J432" i="1" s="1"/>
  <c r="G430" i="1"/>
  <c r="H432" i="1" s="1"/>
  <c r="D430" i="1"/>
  <c r="E432" i="1" s="1"/>
  <c r="N425" i="1"/>
  <c r="L425" i="1"/>
  <c r="I425" i="1"/>
  <c r="G425" i="1"/>
  <c r="D425" i="1"/>
  <c r="N423" i="1"/>
  <c r="L423" i="1"/>
  <c r="I423" i="1"/>
  <c r="G423" i="1"/>
  <c r="D423" i="1"/>
  <c r="N421" i="1"/>
  <c r="L421" i="1"/>
  <c r="I421" i="1"/>
  <c r="G421" i="1"/>
  <c r="D421" i="1"/>
  <c r="N420" i="1"/>
  <c r="L420" i="1"/>
  <c r="I420" i="1"/>
  <c r="G420" i="1"/>
  <c r="D420" i="1"/>
  <c r="N417" i="1"/>
  <c r="L417" i="1"/>
  <c r="I417" i="1"/>
  <c r="G417" i="1"/>
  <c r="D417" i="1"/>
  <c r="N416" i="1"/>
  <c r="L416" i="1"/>
  <c r="I416" i="1"/>
  <c r="G416" i="1"/>
  <c r="D416" i="1"/>
  <c r="N400" i="1"/>
  <c r="L400" i="1"/>
  <c r="I400" i="1"/>
  <c r="G400" i="1"/>
  <c r="D400" i="1"/>
  <c r="N399" i="1"/>
  <c r="L399" i="1"/>
  <c r="I399" i="1"/>
  <c r="G399" i="1"/>
  <c r="D399" i="1"/>
  <c r="N387" i="1"/>
  <c r="L387" i="1"/>
  <c r="I387" i="1"/>
  <c r="G387" i="1"/>
  <c r="D387" i="1"/>
  <c r="N386" i="1"/>
  <c r="L386" i="1"/>
  <c r="I386" i="1"/>
  <c r="G386" i="1"/>
  <c r="D386" i="1"/>
  <c r="N381" i="1"/>
  <c r="L381" i="1"/>
  <c r="I381" i="1"/>
  <c r="G381" i="1"/>
  <c r="D381" i="1"/>
  <c r="N367" i="1"/>
  <c r="L367" i="1"/>
  <c r="I367" i="1"/>
  <c r="G367" i="1"/>
  <c r="D367" i="1"/>
  <c r="N351" i="1"/>
  <c r="L351" i="1"/>
  <c r="I351" i="1"/>
  <c r="G351" i="1"/>
  <c r="D351" i="1"/>
  <c r="N349" i="1"/>
  <c r="L349" i="1"/>
  <c r="I349" i="1"/>
  <c r="G349" i="1"/>
  <c r="D349" i="1"/>
  <c r="N337" i="1"/>
  <c r="L337" i="1"/>
  <c r="I337" i="1"/>
  <c r="G337" i="1"/>
  <c r="D337" i="1"/>
  <c r="N330" i="1"/>
  <c r="L330" i="1"/>
  <c r="I330" i="1"/>
  <c r="G330" i="1"/>
  <c r="D330" i="1"/>
  <c r="N329" i="1"/>
  <c r="L329" i="1"/>
  <c r="I329" i="1"/>
  <c r="G329" i="1"/>
  <c r="D329" i="1"/>
  <c r="N323" i="1"/>
  <c r="L323" i="1"/>
  <c r="I323" i="1"/>
  <c r="J326" i="1" s="1"/>
  <c r="G323" i="1"/>
  <c r="H326" i="1" s="1"/>
  <c r="D323" i="1"/>
  <c r="E326" i="1" s="1"/>
  <c r="N320" i="1"/>
  <c r="L320" i="1"/>
  <c r="I320" i="1"/>
  <c r="G320" i="1"/>
  <c r="D320" i="1"/>
  <c r="N315" i="1"/>
  <c r="L315" i="1"/>
  <c r="I315" i="1"/>
  <c r="J316" i="1" s="1"/>
  <c r="G315" i="1"/>
  <c r="H316" i="1" s="1"/>
  <c r="D315" i="1"/>
  <c r="E316" i="1" s="1"/>
  <c r="J388" i="1" l="1"/>
  <c r="J390" i="1" s="1"/>
  <c r="E352" i="1"/>
  <c r="E357" i="1" s="1"/>
  <c r="E388" i="1"/>
  <c r="E390" i="1" s="1"/>
  <c r="H388" i="1"/>
  <c r="H390" i="1" s="1"/>
  <c r="H401" i="1"/>
  <c r="H403" i="1" s="1"/>
  <c r="H406" i="1" s="1"/>
  <c r="E401" i="1"/>
  <c r="E403" i="1" s="1"/>
  <c r="E406" i="1" s="1"/>
  <c r="J401" i="1"/>
  <c r="J403" i="1" s="1"/>
  <c r="J406" i="1" s="1"/>
  <c r="E369" i="1"/>
  <c r="H369" i="1"/>
  <c r="J369" i="1"/>
  <c r="H352" i="1"/>
  <c r="H357" i="1" s="1"/>
  <c r="J352" i="1"/>
  <c r="J357" i="1" s="1"/>
  <c r="J339" i="1"/>
  <c r="J341" i="1" s="1"/>
  <c r="J345" i="1" s="1"/>
  <c r="J347" i="1" s="1"/>
  <c r="E339" i="1"/>
  <c r="E341" i="1" s="1"/>
  <c r="E345" i="1" s="1"/>
  <c r="E347" i="1" s="1"/>
  <c r="H339" i="1"/>
  <c r="H341" i="1" s="1"/>
  <c r="H345" i="1" s="1"/>
  <c r="H347" i="1" s="1"/>
  <c r="E332" i="1"/>
  <c r="E335" i="1" s="1"/>
  <c r="H332" i="1"/>
  <c r="H335" i="1" s="1"/>
  <c r="J332" i="1"/>
  <c r="J335" i="1" s="1"/>
  <c r="H653" i="1"/>
  <c r="H660" i="1"/>
  <c r="H661" i="1" s="1"/>
  <c r="H667" i="1" s="1"/>
  <c r="E653" i="1"/>
  <c r="E654" i="1"/>
  <c r="E662" i="1"/>
  <c r="E661" i="1"/>
  <c r="E667" i="1" s="1"/>
  <c r="E457" i="1"/>
  <c r="E459" i="1" s="1"/>
  <c r="E461" i="1" s="1"/>
  <c r="E467" i="1"/>
  <c r="H467" i="1"/>
  <c r="J467" i="1"/>
  <c r="H457" i="1"/>
  <c r="H459" i="1" s="1"/>
  <c r="H461" i="1" s="1"/>
  <c r="J457" i="1"/>
  <c r="J459" i="1" s="1"/>
  <c r="J461" i="1" s="1"/>
  <c r="E447" i="1"/>
  <c r="J447" i="1"/>
  <c r="H447" i="1"/>
  <c r="J422" i="1"/>
  <c r="J424" i="1" s="1"/>
  <c r="J426" i="1" s="1"/>
  <c r="J428" i="1" s="1"/>
  <c r="J438" i="1" s="1"/>
  <c r="H422" i="1"/>
  <c r="H424" i="1" s="1"/>
  <c r="H426" i="1" s="1"/>
  <c r="H428" i="1" s="1"/>
  <c r="H438" i="1" s="1"/>
  <c r="E422" i="1"/>
  <c r="E424" i="1" s="1"/>
  <c r="N310" i="1"/>
  <c r="L310" i="1"/>
  <c r="I310" i="1"/>
  <c r="G310" i="1"/>
  <c r="D310" i="1"/>
  <c r="N309" i="1"/>
  <c r="L309" i="1"/>
  <c r="I309" i="1"/>
  <c r="G309" i="1"/>
  <c r="D309" i="1"/>
  <c r="N305" i="1"/>
  <c r="L305" i="1"/>
  <c r="I305" i="1"/>
  <c r="G305" i="1"/>
  <c r="D305" i="1"/>
  <c r="N300" i="1"/>
  <c r="L300" i="1"/>
  <c r="I300" i="1"/>
  <c r="J301" i="1" s="1"/>
  <c r="J303" i="1" s="1"/>
  <c r="G300" i="1"/>
  <c r="H301" i="1" s="1"/>
  <c r="H303" i="1" s="1"/>
  <c r="D300" i="1"/>
  <c r="E301" i="1" s="1"/>
  <c r="E303" i="1" s="1"/>
  <c r="N297" i="1"/>
  <c r="L297" i="1"/>
  <c r="I297" i="1"/>
  <c r="G297" i="1"/>
  <c r="D297" i="1"/>
  <c r="N290" i="1"/>
  <c r="L290" i="1"/>
  <c r="I290" i="1"/>
  <c r="G290" i="1"/>
  <c r="D290" i="1"/>
  <c r="N288" i="1"/>
  <c r="L288" i="1"/>
  <c r="I288" i="1"/>
  <c r="G288" i="1"/>
  <c r="D288" i="1"/>
  <c r="N287" i="1"/>
  <c r="L287" i="1"/>
  <c r="I287" i="1"/>
  <c r="G287" i="1"/>
  <c r="D287" i="1"/>
  <c r="N283" i="1"/>
  <c r="L283" i="1"/>
  <c r="I283" i="1"/>
  <c r="J285" i="1" s="1"/>
  <c r="G283" i="1"/>
  <c r="H285" i="1" s="1"/>
  <c r="D283" i="1"/>
  <c r="E285" i="1" s="1"/>
  <c r="N280" i="1"/>
  <c r="L280" i="1"/>
  <c r="I280" i="1"/>
  <c r="G280" i="1"/>
  <c r="D280" i="1"/>
  <c r="N278" i="1"/>
  <c r="L278" i="1"/>
  <c r="I278" i="1"/>
  <c r="G278" i="1"/>
  <c r="D278" i="1"/>
  <c r="N277" i="1"/>
  <c r="L277" i="1"/>
  <c r="I277" i="1"/>
  <c r="G277" i="1"/>
  <c r="D277" i="1"/>
  <c r="N274" i="1"/>
  <c r="L274" i="1"/>
  <c r="I274" i="1"/>
  <c r="G274" i="1"/>
  <c r="D274" i="1"/>
  <c r="N272" i="1"/>
  <c r="L272" i="1"/>
  <c r="I272" i="1"/>
  <c r="G272" i="1"/>
  <c r="D272" i="1"/>
  <c r="N271" i="1"/>
  <c r="L271" i="1"/>
  <c r="I271" i="1"/>
  <c r="G271" i="1"/>
  <c r="D271" i="1"/>
  <c r="N269" i="1"/>
  <c r="L269" i="1"/>
  <c r="I269" i="1"/>
  <c r="J270" i="1" s="1"/>
  <c r="G269" i="1"/>
  <c r="H270" i="1" s="1"/>
  <c r="D269" i="1"/>
  <c r="E270" i="1" s="1"/>
  <c r="N265" i="1"/>
  <c r="L265" i="1"/>
  <c r="I265" i="1"/>
  <c r="G265" i="1"/>
  <c r="D265" i="1"/>
  <c r="N264" i="1"/>
  <c r="L264" i="1"/>
  <c r="I264" i="1"/>
  <c r="G264" i="1"/>
  <c r="D264" i="1"/>
  <c r="N261" i="1"/>
  <c r="L261" i="1"/>
  <c r="I261" i="1"/>
  <c r="G261" i="1"/>
  <c r="D261" i="1"/>
  <c r="N259" i="1"/>
  <c r="L259" i="1"/>
  <c r="I259" i="1"/>
  <c r="G259" i="1"/>
  <c r="D259" i="1"/>
  <c r="N257" i="1"/>
  <c r="L257" i="1"/>
  <c r="I257" i="1"/>
  <c r="J258" i="1" s="1"/>
  <c r="G257" i="1"/>
  <c r="H258" i="1" s="1"/>
  <c r="D257" i="1"/>
  <c r="E258" i="1" s="1"/>
  <c r="N254" i="1"/>
  <c r="L254" i="1"/>
  <c r="I254" i="1"/>
  <c r="G254" i="1"/>
  <c r="D254" i="1"/>
  <c r="N252" i="1"/>
  <c r="L252" i="1"/>
  <c r="I252" i="1"/>
  <c r="G252" i="1"/>
  <c r="D252" i="1"/>
  <c r="N251" i="1"/>
  <c r="L251" i="1"/>
  <c r="I251" i="1"/>
  <c r="G251" i="1"/>
  <c r="D251" i="1"/>
  <c r="N249" i="1"/>
  <c r="L249" i="1"/>
  <c r="I249" i="1"/>
  <c r="G249" i="1"/>
  <c r="D249" i="1"/>
  <c r="N248" i="1"/>
  <c r="L248" i="1"/>
  <c r="I248" i="1"/>
  <c r="G248" i="1"/>
  <c r="D248" i="1"/>
  <c r="N246" i="1"/>
  <c r="L246" i="1"/>
  <c r="I246" i="1"/>
  <c r="G246" i="1"/>
  <c r="D246" i="1"/>
  <c r="N244" i="1"/>
  <c r="L244" i="1"/>
  <c r="I244" i="1"/>
  <c r="G244" i="1"/>
  <c r="D244" i="1"/>
  <c r="N243" i="1"/>
  <c r="L243" i="1"/>
  <c r="I243" i="1"/>
  <c r="G243" i="1"/>
  <c r="D243" i="1"/>
  <c r="E358" i="1" l="1"/>
  <c r="J371" i="1"/>
  <c r="H371" i="1"/>
  <c r="E371" i="1"/>
  <c r="H358" i="1"/>
  <c r="J358" i="1"/>
  <c r="H260" i="1"/>
  <c r="H262" i="1" s="1"/>
  <c r="E260" i="1"/>
  <c r="E262" i="1" s="1"/>
  <c r="J260" i="1"/>
  <c r="J262" i="1" s="1"/>
  <c r="E306" i="1"/>
  <c r="E307" i="1" s="1"/>
  <c r="J306" i="1"/>
  <c r="J307" i="1" s="1"/>
  <c r="H306" i="1"/>
  <c r="H307" i="1" s="1"/>
  <c r="H662" i="1"/>
  <c r="E468" i="1"/>
  <c r="E471" i="1" s="1"/>
  <c r="E474" i="1" s="1"/>
  <c r="H468" i="1"/>
  <c r="H471" i="1" s="1"/>
  <c r="H474" i="1" s="1"/>
  <c r="J468" i="1"/>
  <c r="J471" i="1" s="1"/>
  <c r="J474" i="1" s="1"/>
  <c r="H279" i="1"/>
  <c r="H281" i="1" s="1"/>
  <c r="H286" i="1" s="1"/>
  <c r="H289" i="1" s="1"/>
  <c r="H291" i="1" s="1"/>
  <c r="H292" i="1" s="1"/>
  <c r="H296" i="1" s="1"/>
  <c r="J279" i="1"/>
  <c r="J281" i="1" s="1"/>
  <c r="J286" i="1" s="1"/>
  <c r="J289" i="1" s="1"/>
  <c r="J291" i="1" s="1"/>
  <c r="J292" i="1" s="1"/>
  <c r="J296" i="1" s="1"/>
  <c r="E279" i="1"/>
  <c r="E281" i="1" s="1"/>
  <c r="E286" i="1" s="1"/>
  <c r="E289" i="1" s="1"/>
  <c r="E291" i="1" s="1"/>
  <c r="E292" i="1" s="1"/>
  <c r="E296" i="1" s="1"/>
  <c r="H266" i="1"/>
  <c r="E266" i="1"/>
  <c r="J266" i="1"/>
  <c r="N240" i="1"/>
  <c r="L240" i="1"/>
  <c r="I240" i="1"/>
  <c r="G240" i="1"/>
  <c r="D240" i="1"/>
  <c r="N239" i="1"/>
  <c r="L239" i="1"/>
  <c r="I239" i="1"/>
  <c r="G239" i="1"/>
  <c r="D239" i="1"/>
  <c r="N236" i="1"/>
  <c r="L236" i="1"/>
  <c r="I236" i="1"/>
  <c r="G236" i="1"/>
  <c r="D236" i="1"/>
  <c r="N234" i="1"/>
  <c r="L234" i="1"/>
  <c r="I234" i="1"/>
  <c r="J235" i="1" s="1"/>
  <c r="G234" i="1"/>
  <c r="H235" i="1" s="1"/>
  <c r="D234" i="1"/>
  <c r="E235" i="1" s="1"/>
  <c r="J380" i="1" l="1"/>
  <c r="J383" i="1" s="1"/>
  <c r="H380" i="1"/>
  <c r="H383" i="1" s="1"/>
  <c r="E380" i="1"/>
  <c r="E383" i="1" s="1"/>
  <c r="H267" i="1"/>
  <c r="E267" i="1"/>
  <c r="J267" i="1"/>
  <c r="J241" i="1"/>
  <c r="E237" i="1"/>
  <c r="H241" i="1"/>
  <c r="H237" i="1"/>
  <c r="J237" i="1"/>
  <c r="E241" i="1"/>
  <c r="X247" i="4"/>
  <c r="U247" i="4"/>
  <c r="I247" i="4"/>
  <c r="G247" i="4"/>
  <c r="J242" i="1" l="1"/>
  <c r="J245" i="1" s="1"/>
  <c r="J247" i="1" s="1"/>
  <c r="J250" i="1" s="1"/>
  <c r="J253" i="1" s="1"/>
  <c r="J255" i="1" s="1"/>
  <c r="J273" i="1" s="1"/>
  <c r="J275" i="1" s="1"/>
  <c r="J298" i="1" s="1"/>
  <c r="H242" i="1"/>
  <c r="H245" i="1" s="1"/>
  <c r="H247" i="1" s="1"/>
  <c r="H250" i="1" s="1"/>
  <c r="H253" i="1" s="1"/>
  <c r="H255" i="1" s="1"/>
  <c r="H273" i="1" s="1"/>
  <c r="H275" i="1" s="1"/>
  <c r="H298" i="1" s="1"/>
  <c r="E242" i="1"/>
  <c r="E245" i="1" s="1"/>
  <c r="E247" i="1" s="1"/>
  <c r="E250" i="1" s="1"/>
  <c r="E253" i="1" s="1"/>
  <c r="E255" i="1" s="1"/>
  <c r="E273" i="1" s="1"/>
  <c r="E275" i="1" s="1"/>
  <c r="E298" i="1" s="1"/>
  <c r="J147" i="3"/>
  <c r="F147" i="3"/>
  <c r="F320" i="1" s="1"/>
  <c r="J148" i="3"/>
  <c r="F148" i="3"/>
  <c r="F323" i="1" s="1"/>
  <c r="J308" i="1" l="1"/>
  <c r="J311" i="1" s="1"/>
  <c r="H308" i="1"/>
  <c r="H311" i="1" s="1"/>
  <c r="E308" i="1"/>
  <c r="E311" i="1" s="1"/>
  <c r="L147" i="3"/>
  <c r="K320" i="1"/>
  <c r="M320" i="1" s="1"/>
  <c r="O320" i="1" s="1"/>
  <c r="P320" i="1" s="1"/>
  <c r="Q320" i="1" s="1"/>
  <c r="R320" i="1" s="1"/>
  <c r="L148" i="3"/>
  <c r="K323" i="1"/>
  <c r="M323" i="1" s="1"/>
  <c r="O323" i="1" s="1"/>
  <c r="P323" i="1" s="1"/>
  <c r="J122" i="3"/>
  <c r="F122" i="3"/>
  <c r="F269" i="1" s="1"/>
  <c r="J321" i="1" l="1"/>
  <c r="J327" i="1" s="1"/>
  <c r="H321" i="1"/>
  <c r="H327" i="1" s="1"/>
  <c r="E321" i="1"/>
  <c r="E327" i="1" s="1"/>
  <c r="Q323" i="1"/>
  <c r="R323" i="1" s="1"/>
  <c r="Q326" i="1"/>
  <c r="R326" i="1" s="1"/>
  <c r="H482" i="4" s="1"/>
  <c r="L122" i="3"/>
  <c r="K269" i="1"/>
  <c r="M269" i="1" s="1"/>
  <c r="O269" i="1" s="1"/>
  <c r="P269" i="1" s="1"/>
  <c r="J306" i="3"/>
  <c r="F306" i="3"/>
  <c r="F671" i="1" s="1"/>
  <c r="J307" i="3"/>
  <c r="F307" i="3"/>
  <c r="F676" i="1" s="1"/>
  <c r="J308" i="3"/>
  <c r="F308" i="3"/>
  <c r="F681" i="1" s="1"/>
  <c r="L482" i="4" l="1"/>
  <c r="M482" i="4" s="1"/>
  <c r="J482" i="4"/>
  <c r="K482" i="4" s="1"/>
  <c r="Q482" i="4" s="1"/>
  <c r="L308" i="3"/>
  <c r="K681" i="1"/>
  <c r="M681" i="1" s="1"/>
  <c r="O681" i="1" s="1"/>
  <c r="P681" i="1" s="1"/>
  <c r="L307" i="3"/>
  <c r="K676" i="1"/>
  <c r="M676" i="1" s="1"/>
  <c r="O676" i="1" s="1"/>
  <c r="P676" i="1" s="1"/>
  <c r="Q269" i="1"/>
  <c r="R269" i="1" s="1"/>
  <c r="P270" i="1"/>
  <c r="Q270" i="1" s="1"/>
  <c r="R270" i="1" s="1"/>
  <c r="H467" i="4" s="1"/>
  <c r="L306" i="3"/>
  <c r="K671" i="1"/>
  <c r="M671" i="1" s="1"/>
  <c r="O671" i="1" s="1"/>
  <c r="P671" i="1" s="1"/>
  <c r="U326" i="1"/>
  <c r="Y326" i="1" s="1"/>
  <c r="T326" i="1"/>
  <c r="W326" i="1" s="1"/>
  <c r="X326" i="1" s="1"/>
  <c r="J298" i="3"/>
  <c r="F298" i="3"/>
  <c r="F646" i="1" s="1"/>
  <c r="R482" i="4" l="1"/>
  <c r="J467" i="4"/>
  <c r="K467" i="4" s="1"/>
  <c r="L467" i="4"/>
  <c r="M467" i="4" s="1"/>
  <c r="R467" i="4" s="1"/>
  <c r="U270" i="1"/>
  <c r="Y270" i="1" s="1"/>
  <c r="T270" i="1"/>
  <c r="W270" i="1" s="1"/>
  <c r="X270" i="1" s="1"/>
  <c r="L298" i="3"/>
  <c r="K646" i="1"/>
  <c r="M646" i="1" s="1"/>
  <c r="O646" i="1" s="1"/>
  <c r="P646" i="1" s="1"/>
  <c r="Q646" i="1" s="1"/>
  <c r="R646" i="1" s="1"/>
  <c r="P677" i="1"/>
  <c r="Q677" i="1" s="1"/>
  <c r="R677" i="1" s="1"/>
  <c r="H684" i="4" s="1"/>
  <c r="Q676" i="1"/>
  <c r="R676" i="1" s="1"/>
  <c r="Q671" i="1"/>
  <c r="R671" i="1" s="1"/>
  <c r="P672" i="1"/>
  <c r="Q672" i="1" s="1"/>
  <c r="R672" i="1" s="1"/>
  <c r="H681" i="4" s="1"/>
  <c r="Q681" i="1"/>
  <c r="R681" i="1" s="1"/>
  <c r="P682" i="1"/>
  <c r="Q682" i="1" s="1"/>
  <c r="R682" i="1" s="1"/>
  <c r="H687" i="4" s="1"/>
  <c r="C310" i="3"/>
  <c r="J305" i="3"/>
  <c r="F305" i="3"/>
  <c r="F665" i="1" s="1"/>
  <c r="J304" i="3"/>
  <c r="F304" i="3"/>
  <c r="F664" i="1" s="1"/>
  <c r="J303" i="3"/>
  <c r="F303" i="3"/>
  <c r="F658" i="1" s="1"/>
  <c r="J302" i="3"/>
  <c r="F302" i="3"/>
  <c r="F657" i="1" s="1"/>
  <c r="J301" i="3"/>
  <c r="F301" i="3"/>
  <c r="F656" i="1" s="1"/>
  <c r="J300" i="3"/>
  <c r="F300" i="3"/>
  <c r="F650" i="1" s="1"/>
  <c r="J299" i="3"/>
  <c r="F299" i="3"/>
  <c r="F649" i="1" s="1"/>
  <c r="J297" i="3"/>
  <c r="F297" i="3"/>
  <c r="F644" i="1" s="1"/>
  <c r="J296" i="3"/>
  <c r="F296" i="3"/>
  <c r="F643" i="1" s="1"/>
  <c r="J295" i="3"/>
  <c r="F295" i="3"/>
  <c r="F639" i="1" s="1"/>
  <c r="J294" i="3"/>
  <c r="F294" i="3"/>
  <c r="F638" i="1" s="1"/>
  <c r="J293" i="3"/>
  <c r="F293" i="3"/>
  <c r="F635" i="1" s="1"/>
  <c r="J292" i="3"/>
  <c r="F292" i="3"/>
  <c r="F632" i="1" s="1"/>
  <c r="J291" i="3"/>
  <c r="F291" i="3"/>
  <c r="F631" i="1" s="1"/>
  <c r="J290" i="3"/>
  <c r="F290" i="3"/>
  <c r="F629" i="1" s="1"/>
  <c r="J289" i="3"/>
  <c r="F289" i="3"/>
  <c r="F628" i="1" s="1"/>
  <c r="J288" i="3"/>
  <c r="F288" i="3"/>
  <c r="F626" i="1" s="1"/>
  <c r="J287" i="3"/>
  <c r="F287" i="3"/>
  <c r="F624" i="1" s="1"/>
  <c r="J286" i="3"/>
  <c r="F286" i="3"/>
  <c r="F623" i="1" s="1"/>
  <c r="J285" i="3"/>
  <c r="F285" i="3"/>
  <c r="F622" i="1" s="1"/>
  <c r="J284" i="3"/>
  <c r="F284" i="3"/>
  <c r="F619" i="1" s="1"/>
  <c r="J283" i="3"/>
  <c r="F283" i="3"/>
  <c r="F618" i="1" s="1"/>
  <c r="J282" i="3"/>
  <c r="F282" i="3"/>
  <c r="F615" i="1" s="1"/>
  <c r="J281" i="3"/>
  <c r="F281" i="3"/>
  <c r="F614" i="1" s="1"/>
  <c r="J280" i="3"/>
  <c r="F280" i="3"/>
  <c r="F611" i="1" s="1"/>
  <c r="J279" i="3"/>
  <c r="F279" i="3"/>
  <c r="F610" i="1" s="1"/>
  <c r="J278" i="3"/>
  <c r="F278" i="3"/>
  <c r="F606" i="1" s="1"/>
  <c r="J277" i="3"/>
  <c r="F277" i="3"/>
  <c r="F604" i="1" s="1"/>
  <c r="J276" i="3"/>
  <c r="F276" i="3"/>
  <c r="F601" i="1" s="1"/>
  <c r="J275" i="3"/>
  <c r="F275" i="3"/>
  <c r="F600" i="1" s="1"/>
  <c r="J274" i="3"/>
  <c r="F274" i="3"/>
  <c r="F598" i="1" s="1"/>
  <c r="J273" i="3"/>
  <c r="F273" i="3"/>
  <c r="F597" i="1" s="1"/>
  <c r="J272" i="3"/>
  <c r="F272" i="3"/>
  <c r="F595" i="1" s="1"/>
  <c r="J271" i="3"/>
  <c r="F271" i="3"/>
  <c r="F594" i="1" s="1"/>
  <c r="J270" i="3"/>
  <c r="F270" i="3"/>
  <c r="F590" i="1" s="1"/>
  <c r="J269" i="3"/>
  <c r="F269" i="3"/>
  <c r="F588" i="1" s="1"/>
  <c r="J268" i="3"/>
  <c r="F268" i="3"/>
  <c r="F586" i="1" s="1"/>
  <c r="J267" i="3"/>
  <c r="F267" i="3"/>
  <c r="F584" i="1" s="1"/>
  <c r="L687" i="4" l="1"/>
  <c r="M687" i="4" s="1"/>
  <c r="J687" i="4"/>
  <c r="K687" i="4" s="1"/>
  <c r="L681" i="4"/>
  <c r="M681" i="4" s="1"/>
  <c r="J681" i="4"/>
  <c r="K681" i="4" s="1"/>
  <c r="L684" i="4"/>
  <c r="M684" i="4" s="1"/>
  <c r="J684" i="4"/>
  <c r="K684" i="4" s="1"/>
  <c r="L268" i="3"/>
  <c r="K586" i="1"/>
  <c r="M586" i="1" s="1"/>
  <c r="O586" i="1" s="1"/>
  <c r="P586" i="1" s="1"/>
  <c r="L276" i="3"/>
  <c r="K601" i="1"/>
  <c r="M601" i="1" s="1"/>
  <c r="O601" i="1" s="1"/>
  <c r="P601" i="1" s="1"/>
  <c r="Q601" i="1" s="1"/>
  <c r="R601" i="1" s="1"/>
  <c r="L280" i="3"/>
  <c r="K611" i="1"/>
  <c r="M611" i="1" s="1"/>
  <c r="O611" i="1" s="1"/>
  <c r="P611" i="1" s="1"/>
  <c r="Q611" i="1" s="1"/>
  <c r="R611" i="1" s="1"/>
  <c r="L284" i="3"/>
  <c r="K619" i="1"/>
  <c r="M619" i="1" s="1"/>
  <c r="O619" i="1" s="1"/>
  <c r="P619" i="1" s="1"/>
  <c r="Q619" i="1" s="1"/>
  <c r="R619" i="1" s="1"/>
  <c r="L288" i="3"/>
  <c r="K626" i="1"/>
  <c r="M626" i="1" s="1"/>
  <c r="O626" i="1" s="1"/>
  <c r="P626" i="1" s="1"/>
  <c r="Q626" i="1" s="1"/>
  <c r="R626" i="1" s="1"/>
  <c r="L292" i="3"/>
  <c r="K632" i="1"/>
  <c r="M632" i="1" s="1"/>
  <c r="O632" i="1" s="1"/>
  <c r="P632" i="1" s="1"/>
  <c r="Q632" i="1" s="1"/>
  <c r="R632" i="1" s="1"/>
  <c r="L296" i="3"/>
  <c r="K643" i="1"/>
  <c r="M643" i="1" s="1"/>
  <c r="O643" i="1" s="1"/>
  <c r="P643" i="1" s="1"/>
  <c r="L301" i="3"/>
  <c r="K656" i="1"/>
  <c r="M656" i="1" s="1"/>
  <c r="O656" i="1" s="1"/>
  <c r="P656" i="1" s="1"/>
  <c r="Q656" i="1" s="1"/>
  <c r="R656" i="1" s="1"/>
  <c r="L305" i="3"/>
  <c r="K665" i="1"/>
  <c r="M665" i="1" s="1"/>
  <c r="O665" i="1" s="1"/>
  <c r="P665" i="1" s="1"/>
  <c r="Q665" i="1" s="1"/>
  <c r="R665" i="1" s="1"/>
  <c r="L277" i="3"/>
  <c r="K604" i="1"/>
  <c r="M604" i="1" s="1"/>
  <c r="O604" i="1" s="1"/>
  <c r="P604" i="1" s="1"/>
  <c r="L289" i="3"/>
  <c r="K628" i="1"/>
  <c r="M628" i="1" s="1"/>
  <c r="O628" i="1" s="1"/>
  <c r="P628" i="1" s="1"/>
  <c r="Q628" i="1" s="1"/>
  <c r="R628" i="1" s="1"/>
  <c r="L293" i="3"/>
  <c r="K635" i="1"/>
  <c r="M635" i="1" s="1"/>
  <c r="O635" i="1" s="1"/>
  <c r="P635" i="1" s="1"/>
  <c r="U677" i="1"/>
  <c r="Y677" i="1" s="1"/>
  <c r="T677" i="1"/>
  <c r="W677" i="1" s="1"/>
  <c r="X677" i="1" s="1"/>
  <c r="L270" i="3"/>
  <c r="K590" i="1"/>
  <c r="M590" i="1" s="1"/>
  <c r="O590" i="1" s="1"/>
  <c r="P590" i="1" s="1"/>
  <c r="Q590" i="1" s="1"/>
  <c r="R590" i="1" s="1"/>
  <c r="L274" i="3"/>
  <c r="K598" i="1"/>
  <c r="M598" i="1" s="1"/>
  <c r="O598" i="1" s="1"/>
  <c r="P598" i="1" s="1"/>
  <c r="Q598" i="1" s="1"/>
  <c r="R598" i="1" s="1"/>
  <c r="L278" i="3"/>
  <c r="K606" i="1"/>
  <c r="M606" i="1" s="1"/>
  <c r="O606" i="1" s="1"/>
  <c r="P606" i="1" s="1"/>
  <c r="Q606" i="1" s="1"/>
  <c r="R606" i="1" s="1"/>
  <c r="L282" i="3"/>
  <c r="K615" i="1"/>
  <c r="M615" i="1" s="1"/>
  <c r="O615" i="1" s="1"/>
  <c r="P615" i="1" s="1"/>
  <c r="Q615" i="1" s="1"/>
  <c r="R615" i="1" s="1"/>
  <c r="L286" i="3"/>
  <c r="K623" i="1"/>
  <c r="M623" i="1" s="1"/>
  <c r="O623" i="1" s="1"/>
  <c r="P623" i="1" s="1"/>
  <c r="Q623" i="1" s="1"/>
  <c r="R623" i="1" s="1"/>
  <c r="L290" i="3"/>
  <c r="K629" i="1"/>
  <c r="M629" i="1" s="1"/>
  <c r="O629" i="1" s="1"/>
  <c r="P629" i="1" s="1"/>
  <c r="Q629" i="1" s="1"/>
  <c r="R629" i="1" s="1"/>
  <c r="L294" i="3"/>
  <c r="K638" i="1"/>
  <c r="M638" i="1" s="1"/>
  <c r="O638" i="1" s="1"/>
  <c r="P638" i="1" s="1"/>
  <c r="L299" i="3"/>
  <c r="K649" i="1"/>
  <c r="M649" i="1" s="1"/>
  <c r="O649" i="1" s="1"/>
  <c r="P649" i="1" s="1"/>
  <c r="L303" i="3"/>
  <c r="K658" i="1"/>
  <c r="M658" i="1" s="1"/>
  <c r="O658" i="1" s="1"/>
  <c r="P658" i="1" s="1"/>
  <c r="T672" i="1"/>
  <c r="W672" i="1" s="1"/>
  <c r="X672" i="1" s="1"/>
  <c r="U672" i="1"/>
  <c r="Y672" i="1" s="1"/>
  <c r="L269" i="3"/>
  <c r="K588" i="1"/>
  <c r="M588" i="1" s="1"/>
  <c r="O588" i="1" s="1"/>
  <c r="P588" i="1" s="1"/>
  <c r="Q588" i="1" s="1"/>
  <c r="R588" i="1" s="1"/>
  <c r="L281" i="3"/>
  <c r="K614" i="1"/>
  <c r="M614" i="1" s="1"/>
  <c r="O614" i="1" s="1"/>
  <c r="P614" i="1" s="1"/>
  <c r="L297" i="3"/>
  <c r="K644" i="1"/>
  <c r="M644" i="1" s="1"/>
  <c r="O644" i="1" s="1"/>
  <c r="P644" i="1" s="1"/>
  <c r="Q644" i="1" s="1"/>
  <c r="R644" i="1" s="1"/>
  <c r="L272" i="3"/>
  <c r="K595" i="1"/>
  <c r="M595" i="1" s="1"/>
  <c r="O595" i="1" s="1"/>
  <c r="P595" i="1" s="1"/>
  <c r="Q595" i="1" s="1"/>
  <c r="R595" i="1" s="1"/>
  <c r="L267" i="3"/>
  <c r="K584" i="1"/>
  <c r="M584" i="1" s="1"/>
  <c r="O584" i="1" s="1"/>
  <c r="P584" i="1" s="1"/>
  <c r="L271" i="3"/>
  <c r="K594" i="1"/>
  <c r="M594" i="1" s="1"/>
  <c r="O594" i="1" s="1"/>
  <c r="P594" i="1" s="1"/>
  <c r="Q594" i="1" s="1"/>
  <c r="R594" i="1" s="1"/>
  <c r="L275" i="3"/>
  <c r="K600" i="1"/>
  <c r="M600" i="1" s="1"/>
  <c r="O600" i="1" s="1"/>
  <c r="P600" i="1" s="1"/>
  <c r="Q600" i="1" s="1"/>
  <c r="R600" i="1" s="1"/>
  <c r="L279" i="3"/>
  <c r="K610" i="1"/>
  <c r="M610" i="1" s="1"/>
  <c r="O610" i="1" s="1"/>
  <c r="P610" i="1" s="1"/>
  <c r="L283" i="3"/>
  <c r="K618" i="1"/>
  <c r="M618" i="1" s="1"/>
  <c r="O618" i="1" s="1"/>
  <c r="P618" i="1" s="1"/>
  <c r="Q618" i="1" s="1"/>
  <c r="R618" i="1" s="1"/>
  <c r="L287" i="3"/>
  <c r="K624" i="1"/>
  <c r="M624" i="1" s="1"/>
  <c r="O624" i="1" s="1"/>
  <c r="P624" i="1" s="1"/>
  <c r="L291" i="3"/>
  <c r="K631" i="1"/>
  <c r="M631" i="1" s="1"/>
  <c r="O631" i="1" s="1"/>
  <c r="P631" i="1" s="1"/>
  <c r="Q631" i="1" s="1"/>
  <c r="R631" i="1" s="1"/>
  <c r="L295" i="3"/>
  <c r="K639" i="1"/>
  <c r="M639" i="1" s="1"/>
  <c r="O639" i="1" s="1"/>
  <c r="P639" i="1" s="1"/>
  <c r="Q639" i="1" s="1"/>
  <c r="R639" i="1" s="1"/>
  <c r="L300" i="3"/>
  <c r="K650" i="1"/>
  <c r="M650" i="1" s="1"/>
  <c r="O650" i="1" s="1"/>
  <c r="P650" i="1" s="1"/>
  <c r="Q650" i="1" s="1"/>
  <c r="R650" i="1" s="1"/>
  <c r="L304" i="3"/>
  <c r="K664" i="1"/>
  <c r="M664" i="1" s="1"/>
  <c r="O664" i="1" s="1"/>
  <c r="P664" i="1" s="1"/>
  <c r="T682" i="1"/>
  <c r="W682" i="1" s="1"/>
  <c r="X682" i="1" s="1"/>
  <c r="U682" i="1"/>
  <c r="Y682" i="1" s="1"/>
  <c r="L273" i="3"/>
  <c r="K597" i="1"/>
  <c r="M597" i="1" s="1"/>
  <c r="O597" i="1" s="1"/>
  <c r="P597" i="1" s="1"/>
  <c r="Q597" i="1" s="1"/>
  <c r="R597" i="1" s="1"/>
  <c r="L285" i="3"/>
  <c r="K622" i="1"/>
  <c r="M622" i="1" s="1"/>
  <c r="O622" i="1" s="1"/>
  <c r="P622" i="1" s="1"/>
  <c r="Q622" i="1" s="1"/>
  <c r="R622" i="1" s="1"/>
  <c r="L302" i="3"/>
  <c r="K657" i="1"/>
  <c r="M657" i="1" s="1"/>
  <c r="O657" i="1" s="1"/>
  <c r="P657" i="1" s="1"/>
  <c r="Q657" i="1" s="1"/>
  <c r="R657" i="1" s="1"/>
  <c r="J265" i="3"/>
  <c r="F265" i="3"/>
  <c r="F578" i="1" s="1"/>
  <c r="J266" i="3"/>
  <c r="F266" i="3"/>
  <c r="F579" i="1" s="1"/>
  <c r="J261" i="3"/>
  <c r="F261" i="3"/>
  <c r="F570" i="1" s="1"/>
  <c r="J262" i="3"/>
  <c r="F262" i="3"/>
  <c r="F573" i="1" s="1"/>
  <c r="J263" i="3"/>
  <c r="F263" i="3"/>
  <c r="F574" i="1" s="1"/>
  <c r="J264" i="3"/>
  <c r="F264" i="3"/>
  <c r="F576" i="1" s="1"/>
  <c r="J254" i="3"/>
  <c r="F254" i="3"/>
  <c r="F558" i="1" s="1"/>
  <c r="J255" i="3"/>
  <c r="F255" i="3"/>
  <c r="F560" i="1" s="1"/>
  <c r="J256" i="3"/>
  <c r="F256" i="3"/>
  <c r="F562" i="1" s="1"/>
  <c r="J257" i="3"/>
  <c r="F257" i="3"/>
  <c r="F563" i="1" s="1"/>
  <c r="J258" i="3"/>
  <c r="F258" i="3"/>
  <c r="F566" i="1" s="1"/>
  <c r="J259" i="3"/>
  <c r="F259" i="3"/>
  <c r="F567" i="1" s="1"/>
  <c r="J260" i="3"/>
  <c r="F260" i="3"/>
  <c r="F568" i="1" s="1"/>
  <c r="J249" i="3"/>
  <c r="F249" i="3"/>
  <c r="F546" i="1" s="1"/>
  <c r="J250" i="3"/>
  <c r="F250" i="3"/>
  <c r="F548" i="1" s="1"/>
  <c r="J251" i="3"/>
  <c r="F251" i="3"/>
  <c r="F551" i="1" s="1"/>
  <c r="J252" i="3"/>
  <c r="F252" i="3"/>
  <c r="F553" i="1" s="1"/>
  <c r="J253" i="3"/>
  <c r="F253" i="3"/>
  <c r="F556" i="1" s="1"/>
  <c r="J237" i="3"/>
  <c r="F522" i="1"/>
  <c r="J240" i="3"/>
  <c r="F240" i="3"/>
  <c r="F528" i="1" s="1"/>
  <c r="J241" i="3"/>
  <c r="F241" i="3"/>
  <c r="F529" i="1" s="1"/>
  <c r="J242" i="3"/>
  <c r="F242" i="3"/>
  <c r="F532" i="1" s="1"/>
  <c r="J243" i="3"/>
  <c r="F243" i="3"/>
  <c r="F533" i="1" s="1"/>
  <c r="J244" i="3"/>
  <c r="F244" i="3"/>
  <c r="F535" i="1" s="1"/>
  <c r="J245" i="3"/>
  <c r="F245" i="3"/>
  <c r="F537" i="1" s="1"/>
  <c r="J246" i="3"/>
  <c r="F246" i="3"/>
  <c r="F538" i="1" s="1"/>
  <c r="J247" i="3"/>
  <c r="F247" i="3"/>
  <c r="F541" i="1" s="1"/>
  <c r="J248" i="3"/>
  <c r="F248" i="3"/>
  <c r="F545" i="1" s="1"/>
  <c r="F681" i="4" l="1"/>
  <c r="P681" i="4"/>
  <c r="Q681" i="4" s="1"/>
  <c r="R681" i="4" s="1"/>
  <c r="K682" i="4"/>
  <c r="P684" i="4"/>
  <c r="Q684" i="4" s="1"/>
  <c r="R684" i="4" s="1"/>
  <c r="K685" i="4"/>
  <c r="F684" i="4"/>
  <c r="Q687" i="4"/>
  <c r="R687" i="4" s="1"/>
  <c r="F687" i="4"/>
  <c r="L246" i="3"/>
  <c r="K538" i="1"/>
  <c r="M538" i="1" s="1"/>
  <c r="O538" i="1" s="1"/>
  <c r="P538" i="1" s="1"/>
  <c r="Q538" i="1" s="1"/>
  <c r="R538" i="1" s="1"/>
  <c r="L241" i="3"/>
  <c r="K529" i="1"/>
  <c r="M529" i="1" s="1"/>
  <c r="O529" i="1" s="1"/>
  <c r="P529" i="1" s="1"/>
  <c r="Q529" i="1" s="1"/>
  <c r="R529" i="1" s="1"/>
  <c r="Q658" i="1"/>
  <c r="R658" i="1" s="1"/>
  <c r="P659" i="1"/>
  <c r="Q659" i="1" s="1"/>
  <c r="R659" i="1" s="1"/>
  <c r="H674" i="4" s="1"/>
  <c r="Q638" i="1"/>
  <c r="R638" i="1" s="1"/>
  <c r="P640" i="1"/>
  <c r="Q640" i="1" s="1"/>
  <c r="R640" i="1" s="1"/>
  <c r="Q635" i="1"/>
  <c r="R635" i="1" s="1"/>
  <c r="P636" i="1"/>
  <c r="Q636" i="1" s="1"/>
  <c r="R636" i="1" s="1"/>
  <c r="H638" i="4" s="1"/>
  <c r="L253" i="3"/>
  <c r="K556" i="1"/>
  <c r="M556" i="1" s="1"/>
  <c r="O556" i="1" s="1"/>
  <c r="P556" i="1" s="1"/>
  <c r="Q643" i="1"/>
  <c r="R643" i="1" s="1"/>
  <c r="P645" i="1"/>
  <c r="Q645" i="1" s="1"/>
  <c r="R645" i="1" s="1"/>
  <c r="L245" i="3"/>
  <c r="K537" i="1"/>
  <c r="M537" i="1" s="1"/>
  <c r="O537" i="1" s="1"/>
  <c r="P537" i="1" s="1"/>
  <c r="Q537" i="1" s="1"/>
  <c r="R537" i="1" s="1"/>
  <c r="L260" i="3"/>
  <c r="K568" i="1"/>
  <c r="M568" i="1" s="1"/>
  <c r="O568" i="1" s="1"/>
  <c r="P568" i="1" s="1"/>
  <c r="L265" i="3"/>
  <c r="K578" i="1"/>
  <c r="M578" i="1" s="1"/>
  <c r="O578" i="1" s="1"/>
  <c r="P578" i="1" s="1"/>
  <c r="Q578" i="1" s="1"/>
  <c r="R578" i="1" s="1"/>
  <c r="Q604" i="1"/>
  <c r="R604" i="1" s="1"/>
  <c r="P605" i="1"/>
  <c r="Q605" i="1" s="1"/>
  <c r="R605" i="1" s="1"/>
  <c r="L248" i="3"/>
  <c r="K545" i="1"/>
  <c r="M545" i="1" s="1"/>
  <c r="O545" i="1" s="1"/>
  <c r="P545" i="1" s="1"/>
  <c r="Q545" i="1" s="1"/>
  <c r="R545" i="1" s="1"/>
  <c r="L244" i="3"/>
  <c r="K535" i="1"/>
  <c r="M535" i="1" s="1"/>
  <c r="O535" i="1" s="1"/>
  <c r="P535" i="1" s="1"/>
  <c r="Q535" i="1" s="1"/>
  <c r="R535" i="1" s="1"/>
  <c r="L240" i="3"/>
  <c r="K528" i="1"/>
  <c r="M528" i="1" s="1"/>
  <c r="O528" i="1" s="1"/>
  <c r="P528" i="1" s="1"/>
  <c r="Q528" i="1" s="1"/>
  <c r="R528" i="1" s="1"/>
  <c r="L251" i="3"/>
  <c r="K551" i="1"/>
  <c r="M551" i="1" s="1"/>
  <c r="O551" i="1" s="1"/>
  <c r="P551" i="1" s="1"/>
  <c r="L259" i="3"/>
  <c r="K567" i="1"/>
  <c r="M567" i="1" s="1"/>
  <c r="O567" i="1" s="1"/>
  <c r="P567" i="1" s="1"/>
  <c r="Q567" i="1" s="1"/>
  <c r="R567" i="1" s="1"/>
  <c r="L255" i="3"/>
  <c r="K560" i="1"/>
  <c r="M560" i="1" s="1"/>
  <c r="O560" i="1" s="1"/>
  <c r="P560" i="1" s="1"/>
  <c r="Q560" i="1" s="1"/>
  <c r="R560" i="1" s="1"/>
  <c r="L262" i="3"/>
  <c r="K573" i="1"/>
  <c r="M573" i="1" s="1"/>
  <c r="O573" i="1" s="1"/>
  <c r="P573" i="1" s="1"/>
  <c r="Q573" i="1" s="1"/>
  <c r="R573" i="1" s="1"/>
  <c r="P585" i="1"/>
  <c r="Q585" i="1" s="1"/>
  <c r="R585" i="1" s="1"/>
  <c r="H668" i="4" s="1"/>
  <c r="Q584" i="1"/>
  <c r="R584" i="1" s="1"/>
  <c r="L249" i="3"/>
  <c r="K546" i="1"/>
  <c r="M546" i="1" s="1"/>
  <c r="O546" i="1" s="1"/>
  <c r="P546" i="1" s="1"/>
  <c r="Q546" i="1" s="1"/>
  <c r="R546" i="1" s="1"/>
  <c r="L264" i="3"/>
  <c r="K576" i="1"/>
  <c r="M576" i="1" s="1"/>
  <c r="O576" i="1" s="1"/>
  <c r="P576" i="1" s="1"/>
  <c r="Q576" i="1" s="1"/>
  <c r="R576" i="1" s="1"/>
  <c r="Q610" i="1"/>
  <c r="R610" i="1" s="1"/>
  <c r="P612" i="1"/>
  <c r="Q612" i="1" s="1"/>
  <c r="R612" i="1" s="1"/>
  <c r="H628" i="4" s="1"/>
  <c r="L256" i="3"/>
  <c r="K562" i="1"/>
  <c r="M562" i="1" s="1"/>
  <c r="O562" i="1" s="1"/>
  <c r="P562" i="1" s="1"/>
  <c r="Q562" i="1" s="1"/>
  <c r="R562" i="1" s="1"/>
  <c r="Q664" i="1"/>
  <c r="R664" i="1" s="1"/>
  <c r="P666" i="1"/>
  <c r="Q666" i="1" s="1"/>
  <c r="R666" i="1" s="1"/>
  <c r="H671" i="4" s="1"/>
  <c r="Q649" i="1"/>
  <c r="R649" i="1" s="1"/>
  <c r="P651" i="1"/>
  <c r="Q651" i="1" s="1"/>
  <c r="R651" i="1" s="1"/>
  <c r="H678" i="4" s="1"/>
  <c r="Q586" i="1"/>
  <c r="R586" i="1" s="1"/>
  <c r="P587" i="1"/>
  <c r="L242" i="3"/>
  <c r="K532" i="1"/>
  <c r="M532" i="1" s="1"/>
  <c r="O532" i="1" s="1"/>
  <c r="P532" i="1" s="1"/>
  <c r="L257" i="3"/>
  <c r="K563" i="1"/>
  <c r="M563" i="1" s="1"/>
  <c r="O563" i="1" s="1"/>
  <c r="P563" i="1" s="1"/>
  <c r="Q563" i="1" s="1"/>
  <c r="R563" i="1" s="1"/>
  <c r="L266" i="3"/>
  <c r="K579" i="1"/>
  <c r="M579" i="1" s="1"/>
  <c r="O579" i="1" s="1"/>
  <c r="P579" i="1" s="1"/>
  <c r="Q579" i="1" s="1"/>
  <c r="R579" i="1" s="1"/>
  <c r="L252" i="3"/>
  <c r="K553" i="1"/>
  <c r="M553" i="1" s="1"/>
  <c r="O553" i="1" s="1"/>
  <c r="P553" i="1" s="1"/>
  <c r="Q553" i="1" s="1"/>
  <c r="R553" i="1" s="1"/>
  <c r="L263" i="3"/>
  <c r="K574" i="1"/>
  <c r="M574" i="1" s="1"/>
  <c r="O574" i="1" s="1"/>
  <c r="P574" i="1" s="1"/>
  <c r="Q574" i="1" s="1"/>
  <c r="R574" i="1" s="1"/>
  <c r="Q624" i="1"/>
  <c r="R624" i="1" s="1"/>
  <c r="P625" i="1"/>
  <c r="Q625" i="1" s="1"/>
  <c r="R625" i="1" s="1"/>
  <c r="H635" i="4" s="1"/>
  <c r="Q614" i="1"/>
  <c r="R614" i="1" s="1"/>
  <c r="P616" i="1"/>
  <c r="Q616" i="1" s="1"/>
  <c r="R616" i="1" s="1"/>
  <c r="H625" i="4" s="1"/>
  <c r="L247" i="3"/>
  <c r="K541" i="1"/>
  <c r="M541" i="1" s="1"/>
  <c r="O541" i="1" s="1"/>
  <c r="P541" i="1" s="1"/>
  <c r="L243" i="3"/>
  <c r="K533" i="1"/>
  <c r="M533" i="1" s="1"/>
  <c r="O533" i="1" s="1"/>
  <c r="P533" i="1" s="1"/>
  <c r="Q533" i="1" s="1"/>
  <c r="R533" i="1" s="1"/>
  <c r="L237" i="3"/>
  <c r="K522" i="1"/>
  <c r="M522" i="1" s="1"/>
  <c r="O522" i="1" s="1"/>
  <c r="P522" i="1" s="1"/>
  <c r="L250" i="3"/>
  <c r="K548" i="1"/>
  <c r="M548" i="1" s="1"/>
  <c r="O548" i="1" s="1"/>
  <c r="P548" i="1" s="1"/>
  <c r="Q548" i="1" s="1"/>
  <c r="R548" i="1" s="1"/>
  <c r="L258" i="3"/>
  <c r="K566" i="1"/>
  <c r="M566" i="1" s="1"/>
  <c r="O566" i="1" s="1"/>
  <c r="P566" i="1" s="1"/>
  <c r="Q566" i="1" s="1"/>
  <c r="R566" i="1" s="1"/>
  <c r="L254" i="3"/>
  <c r="K558" i="1"/>
  <c r="M558" i="1" s="1"/>
  <c r="O558" i="1" s="1"/>
  <c r="P558" i="1" s="1"/>
  <c r="Q558" i="1" s="1"/>
  <c r="R558" i="1" s="1"/>
  <c r="L261" i="3"/>
  <c r="K570" i="1"/>
  <c r="M570" i="1" s="1"/>
  <c r="O570" i="1" s="1"/>
  <c r="P570" i="1" s="1"/>
  <c r="Q570" i="1" s="1"/>
  <c r="R570" i="1" s="1"/>
  <c r="J227" i="3"/>
  <c r="K499" i="1" s="1"/>
  <c r="M499" i="1" s="1"/>
  <c r="O499" i="1" s="1"/>
  <c r="P499" i="1" s="1"/>
  <c r="F227" i="3"/>
  <c r="F499" i="1" s="1"/>
  <c r="J225" i="3"/>
  <c r="F225" i="3"/>
  <c r="F493" i="1" s="1"/>
  <c r="J226" i="3"/>
  <c r="F226" i="3"/>
  <c r="F498" i="1" s="1"/>
  <c r="Q522" i="1" l="1"/>
  <c r="R522" i="1" s="1"/>
  <c r="Q499" i="1"/>
  <c r="R499" i="1" s="1"/>
  <c r="T681" i="4"/>
  <c r="S681" i="4" s="1"/>
  <c r="V681" i="4" s="1"/>
  <c r="T684" i="4"/>
  <c r="S684" i="4" s="1"/>
  <c r="V684" i="4" s="1"/>
  <c r="L635" i="4"/>
  <c r="M635" i="4" s="1"/>
  <c r="J635" i="4"/>
  <c r="K635" i="4" s="1"/>
  <c r="Q635" i="4" s="1"/>
  <c r="L671" i="4"/>
  <c r="M671" i="4" s="1"/>
  <c r="J671" i="4"/>
  <c r="K671" i="4" s="1"/>
  <c r="Q671" i="4" s="1"/>
  <c r="T687" i="4"/>
  <c r="S687" i="4" s="1"/>
  <c r="V687" i="4" s="1"/>
  <c r="L668" i="4"/>
  <c r="M668" i="4" s="1"/>
  <c r="J668" i="4"/>
  <c r="K668" i="4" s="1"/>
  <c r="Q668" i="4" s="1"/>
  <c r="L628" i="4"/>
  <c r="M628" i="4" s="1"/>
  <c r="J628" i="4"/>
  <c r="K628" i="4" s="1"/>
  <c r="Q628" i="4" s="1"/>
  <c r="L625" i="4"/>
  <c r="M625" i="4" s="1"/>
  <c r="J625" i="4"/>
  <c r="K625" i="4" s="1"/>
  <c r="L678" i="4"/>
  <c r="M678" i="4" s="1"/>
  <c r="J678" i="4"/>
  <c r="K678" i="4" s="1"/>
  <c r="Q678" i="4" s="1"/>
  <c r="J674" i="4"/>
  <c r="K674" i="4" s="1"/>
  <c r="L674" i="4"/>
  <c r="M674" i="4" s="1"/>
  <c r="J638" i="4"/>
  <c r="K638" i="4" s="1"/>
  <c r="L638" i="4"/>
  <c r="M638" i="4" s="1"/>
  <c r="U640" i="1"/>
  <c r="Y640" i="1" s="1"/>
  <c r="T640" i="1"/>
  <c r="W640" i="1" s="1"/>
  <c r="X640" i="1" s="1"/>
  <c r="P534" i="1"/>
  <c r="Q534" i="1" s="1"/>
  <c r="R534" i="1" s="1"/>
  <c r="H572" i="4" s="1"/>
  <c r="Q532" i="1"/>
  <c r="R532" i="1" s="1"/>
  <c r="Q556" i="1"/>
  <c r="R556" i="1" s="1"/>
  <c r="P557" i="1"/>
  <c r="Q557" i="1" s="1"/>
  <c r="R557" i="1" s="1"/>
  <c r="H602" i="4" s="1"/>
  <c r="U625" i="1"/>
  <c r="Y625" i="1" s="1"/>
  <c r="T625" i="1"/>
  <c r="W625" i="1" s="1"/>
  <c r="X625" i="1" s="1"/>
  <c r="P627" i="1" s="1"/>
  <c r="Q627" i="1" s="1"/>
  <c r="R627" i="1" s="1"/>
  <c r="H633" i="4" s="1"/>
  <c r="U605" i="1"/>
  <c r="Y605" i="1" s="1"/>
  <c r="T605" i="1"/>
  <c r="W605" i="1" s="1"/>
  <c r="X605" i="1" s="1"/>
  <c r="P607" i="1" s="1"/>
  <c r="Q607" i="1" s="1"/>
  <c r="R607" i="1" s="1"/>
  <c r="U585" i="1"/>
  <c r="Y585" i="1" s="1"/>
  <c r="T585" i="1"/>
  <c r="W585" i="1" s="1"/>
  <c r="X585" i="1" s="1"/>
  <c r="Q587" i="1" s="1"/>
  <c r="R587" i="1" s="1"/>
  <c r="H666" i="4" s="1"/>
  <c r="Q541" i="1"/>
  <c r="R541" i="1" s="1"/>
  <c r="P542" i="1"/>
  <c r="Q542" i="1" s="1"/>
  <c r="R542" i="1" s="1"/>
  <c r="H575" i="4" s="1"/>
  <c r="U612" i="1"/>
  <c r="Y612" i="1" s="1"/>
  <c r="T612" i="1"/>
  <c r="W612" i="1" s="1"/>
  <c r="X612" i="1" s="1"/>
  <c r="L225" i="3"/>
  <c r="K493" i="1"/>
  <c r="M493" i="1" s="1"/>
  <c r="O493" i="1" s="1"/>
  <c r="P493" i="1" s="1"/>
  <c r="U666" i="1"/>
  <c r="Y666" i="1" s="1"/>
  <c r="T666" i="1"/>
  <c r="W666" i="1" s="1"/>
  <c r="X666" i="1" s="1"/>
  <c r="U659" i="1"/>
  <c r="Y659" i="1" s="1"/>
  <c r="T659" i="1"/>
  <c r="W659" i="1" s="1"/>
  <c r="X659" i="1" s="1"/>
  <c r="T651" i="1"/>
  <c r="W651" i="1" s="1"/>
  <c r="X651" i="1" s="1"/>
  <c r="U651" i="1"/>
  <c r="Y651" i="1" s="1"/>
  <c r="U636" i="1"/>
  <c r="Y636" i="1" s="1"/>
  <c r="T636" i="1"/>
  <c r="W636" i="1" s="1"/>
  <c r="X636" i="1" s="1"/>
  <c r="Q551" i="1"/>
  <c r="R551" i="1" s="1"/>
  <c r="P552" i="1"/>
  <c r="Q552" i="1" s="1"/>
  <c r="R552" i="1" s="1"/>
  <c r="H599" i="4" s="1"/>
  <c r="T645" i="1"/>
  <c r="W645" i="1" s="1"/>
  <c r="X645" i="1" s="1"/>
  <c r="U645" i="1"/>
  <c r="Y645" i="1" s="1"/>
  <c r="L226" i="3"/>
  <c r="K498" i="1"/>
  <c r="M498" i="1" s="1"/>
  <c r="O498" i="1" s="1"/>
  <c r="P498" i="1" s="1"/>
  <c r="P500" i="1" s="1"/>
  <c r="U616" i="1"/>
  <c r="Y616" i="1" s="1"/>
  <c r="T616" i="1"/>
  <c r="W616" i="1" s="1"/>
  <c r="X616" i="1" s="1"/>
  <c r="P617" i="1" s="1"/>
  <c r="Q617" i="1" s="1"/>
  <c r="R617" i="1" s="1"/>
  <c r="H622" i="4" s="1"/>
  <c r="P569" i="1"/>
  <c r="Q569" i="1" s="1"/>
  <c r="R569" i="1" s="1"/>
  <c r="H585" i="4" s="1"/>
  <c r="Q568" i="1"/>
  <c r="R568" i="1" s="1"/>
  <c r="L227" i="3"/>
  <c r="J221" i="3"/>
  <c r="F221" i="3"/>
  <c r="F476" i="1" s="1"/>
  <c r="J222" i="3"/>
  <c r="F222" i="3"/>
  <c r="F480" i="1" s="1"/>
  <c r="J224" i="3"/>
  <c r="F224" i="3"/>
  <c r="F483" i="1" s="1"/>
  <c r="F216" i="3"/>
  <c r="F466" i="1" s="1"/>
  <c r="J215" i="3"/>
  <c r="F215" i="3"/>
  <c r="F465" i="1" s="1"/>
  <c r="J216" i="3"/>
  <c r="J217" i="3"/>
  <c r="F217" i="3"/>
  <c r="F469" i="1" s="1"/>
  <c r="J218" i="3"/>
  <c r="F218" i="3"/>
  <c r="F470" i="1" s="1"/>
  <c r="J219" i="3"/>
  <c r="F219" i="3"/>
  <c r="F472" i="1" s="1"/>
  <c r="J220" i="3"/>
  <c r="F220" i="3"/>
  <c r="F473" i="1" s="1"/>
  <c r="R628" i="4" l="1"/>
  <c r="R678" i="4"/>
  <c r="R671" i="4"/>
  <c r="R635" i="4"/>
  <c r="L575" i="4"/>
  <c r="M575" i="4" s="1"/>
  <c r="J575" i="4"/>
  <c r="K575" i="4" s="1"/>
  <c r="Q575" i="4" s="1"/>
  <c r="L602" i="4"/>
  <c r="M602" i="4" s="1"/>
  <c r="J602" i="4"/>
  <c r="K602" i="4" s="1"/>
  <c r="Q602" i="4" s="1"/>
  <c r="R668" i="4"/>
  <c r="K639" i="4"/>
  <c r="P638" i="4"/>
  <c r="Q638" i="4" s="1"/>
  <c r="R638" i="4" s="1"/>
  <c r="P674" i="4"/>
  <c r="K675" i="4"/>
  <c r="L572" i="4"/>
  <c r="M572" i="4" s="1"/>
  <c r="J572" i="4"/>
  <c r="K572" i="4" s="1"/>
  <c r="Q572" i="4" s="1"/>
  <c r="J585" i="4"/>
  <c r="K585" i="4" s="1"/>
  <c r="L585" i="4"/>
  <c r="M585" i="4" s="1"/>
  <c r="K626" i="4"/>
  <c r="P625" i="4"/>
  <c r="Q625" i="4" s="1"/>
  <c r="R625" i="4" s="1"/>
  <c r="L666" i="4"/>
  <c r="M666" i="4" s="1"/>
  <c r="J666" i="4"/>
  <c r="K666" i="4" s="1"/>
  <c r="L622" i="4"/>
  <c r="M622" i="4" s="1"/>
  <c r="J622" i="4"/>
  <c r="K622" i="4" s="1"/>
  <c r="L599" i="4"/>
  <c r="M599" i="4" s="1"/>
  <c r="J599" i="4"/>
  <c r="K599" i="4" s="1"/>
  <c r="Q599" i="4" s="1"/>
  <c r="L633" i="4"/>
  <c r="M633" i="4" s="1"/>
  <c r="J633" i="4"/>
  <c r="K633" i="4" s="1"/>
  <c r="L224" i="3"/>
  <c r="K483" i="1"/>
  <c r="M483" i="1" s="1"/>
  <c r="O483" i="1" s="1"/>
  <c r="P483" i="1" s="1"/>
  <c r="Q483" i="1" s="1"/>
  <c r="R483" i="1" s="1"/>
  <c r="T627" i="1"/>
  <c r="W627" i="1" s="1"/>
  <c r="X627" i="1" s="1"/>
  <c r="P630" i="1" s="1"/>
  <c r="Q630" i="1" s="1"/>
  <c r="R630" i="1" s="1"/>
  <c r="H631" i="4" s="1"/>
  <c r="U627" i="1"/>
  <c r="Y627" i="1" s="1"/>
  <c r="L222" i="3"/>
  <c r="K480" i="1"/>
  <c r="M480" i="1" s="1"/>
  <c r="O480" i="1" s="1"/>
  <c r="P480" i="1" s="1"/>
  <c r="U557" i="1"/>
  <c r="Y557" i="1" s="1"/>
  <c r="T557" i="1"/>
  <c r="W557" i="1" s="1"/>
  <c r="X557" i="1" s="1"/>
  <c r="U552" i="1"/>
  <c r="Y552" i="1" s="1"/>
  <c r="T552" i="1"/>
  <c r="W552" i="1" s="1"/>
  <c r="X552" i="1" s="1"/>
  <c r="P554" i="1" s="1"/>
  <c r="Q554" i="1" s="1"/>
  <c r="R554" i="1" s="1"/>
  <c r="H597" i="4" s="1"/>
  <c r="U587" i="1"/>
  <c r="Y587" i="1" s="1"/>
  <c r="T587" i="1"/>
  <c r="W587" i="1" s="1"/>
  <c r="X587" i="1" s="1"/>
  <c r="P589" i="1" s="1"/>
  <c r="Q589" i="1" s="1"/>
  <c r="R589" i="1" s="1"/>
  <c r="H664" i="4" s="1"/>
  <c r="U569" i="1"/>
  <c r="Y569" i="1" s="1"/>
  <c r="T569" i="1"/>
  <c r="W569" i="1" s="1"/>
  <c r="X569" i="1" s="1"/>
  <c r="P571" i="1" s="1"/>
  <c r="Q571" i="1" s="1"/>
  <c r="R571" i="1" s="1"/>
  <c r="H581" i="4" s="1"/>
  <c r="U534" i="1"/>
  <c r="Y534" i="1" s="1"/>
  <c r="T534" i="1"/>
  <c r="W534" i="1" s="1"/>
  <c r="X534" i="1" s="1"/>
  <c r="P536" i="1" s="1"/>
  <c r="Q536" i="1" s="1"/>
  <c r="R536" i="1" s="1"/>
  <c r="H569" i="4" s="1"/>
  <c r="Q498" i="1"/>
  <c r="R498" i="1" s="1"/>
  <c r="Q500" i="1"/>
  <c r="R500" i="1" s="1"/>
  <c r="H558" i="4" s="1"/>
  <c r="L220" i="3"/>
  <c r="K473" i="1"/>
  <c r="M473" i="1" s="1"/>
  <c r="O473" i="1" s="1"/>
  <c r="P473" i="1" s="1"/>
  <c r="Q473" i="1" s="1"/>
  <c r="R473" i="1" s="1"/>
  <c r="L215" i="3"/>
  <c r="K465" i="1"/>
  <c r="M465" i="1" s="1"/>
  <c r="O465" i="1" s="1"/>
  <c r="P465" i="1" s="1"/>
  <c r="Q465" i="1" s="1"/>
  <c r="R465" i="1" s="1"/>
  <c r="L218" i="3"/>
  <c r="K470" i="1"/>
  <c r="M470" i="1" s="1"/>
  <c r="O470" i="1" s="1"/>
  <c r="P470" i="1" s="1"/>
  <c r="Q470" i="1" s="1"/>
  <c r="R470" i="1" s="1"/>
  <c r="U607" i="1"/>
  <c r="Y607" i="1" s="1"/>
  <c r="T607" i="1"/>
  <c r="W607" i="1" s="1"/>
  <c r="X607" i="1" s="1"/>
  <c r="L216" i="3"/>
  <c r="K466" i="1"/>
  <c r="M466" i="1" s="1"/>
  <c r="O466" i="1" s="1"/>
  <c r="P466" i="1" s="1"/>
  <c r="Q466" i="1" s="1"/>
  <c r="R466" i="1" s="1"/>
  <c r="T542" i="1"/>
  <c r="W542" i="1" s="1"/>
  <c r="X542" i="1" s="1"/>
  <c r="U542" i="1"/>
  <c r="Y542" i="1" s="1"/>
  <c r="L219" i="3"/>
  <c r="K472" i="1"/>
  <c r="M472" i="1" s="1"/>
  <c r="O472" i="1" s="1"/>
  <c r="P472" i="1" s="1"/>
  <c r="Q472" i="1" s="1"/>
  <c r="R472" i="1" s="1"/>
  <c r="L221" i="3"/>
  <c r="K476" i="1"/>
  <c r="M476" i="1" s="1"/>
  <c r="O476" i="1" s="1"/>
  <c r="P476" i="1" s="1"/>
  <c r="Q476" i="1" s="1"/>
  <c r="R476" i="1" s="1"/>
  <c r="U617" i="1"/>
  <c r="Y617" i="1" s="1"/>
  <c r="T617" i="1"/>
  <c r="W617" i="1" s="1"/>
  <c r="X617" i="1" s="1"/>
  <c r="Q620" i="1" s="1"/>
  <c r="R620" i="1" s="1"/>
  <c r="H619" i="4" s="1"/>
  <c r="Q493" i="1"/>
  <c r="R493" i="1" s="1"/>
  <c r="P494" i="1"/>
  <c r="Q494" i="1" s="1"/>
  <c r="R494" i="1" s="1"/>
  <c r="H520" i="4" s="1"/>
  <c r="L217" i="3"/>
  <c r="K469" i="1"/>
  <c r="M469" i="1" s="1"/>
  <c r="O469" i="1" s="1"/>
  <c r="P469" i="1" s="1"/>
  <c r="Q469" i="1" s="1"/>
  <c r="R469" i="1" s="1"/>
  <c r="J209" i="3"/>
  <c r="F209" i="3"/>
  <c r="F452" i="1" s="1"/>
  <c r="J210" i="3"/>
  <c r="F210" i="3"/>
  <c r="F455" i="1" s="1"/>
  <c r="F211" i="3"/>
  <c r="J212" i="3"/>
  <c r="F212" i="3"/>
  <c r="F458" i="1" s="1"/>
  <c r="J213" i="3"/>
  <c r="F213" i="3"/>
  <c r="F460" i="1" s="1"/>
  <c r="J214" i="3"/>
  <c r="F214" i="3"/>
  <c r="F463" i="1" s="1"/>
  <c r="L558" i="4" l="1"/>
  <c r="M558" i="4" s="1"/>
  <c r="J558" i="4"/>
  <c r="K558" i="4" s="1"/>
  <c r="R575" i="4"/>
  <c r="Q480" i="1"/>
  <c r="R480" i="1" s="1"/>
  <c r="P481" i="1"/>
  <c r="Q481" i="1" s="1"/>
  <c r="R481" i="1" s="1"/>
  <c r="R599" i="4"/>
  <c r="R572" i="4"/>
  <c r="R602" i="4"/>
  <c r="J569" i="4"/>
  <c r="K569" i="4" s="1"/>
  <c r="L569" i="4"/>
  <c r="M569" i="4" s="1"/>
  <c r="P633" i="4"/>
  <c r="Q633" i="4" s="1"/>
  <c r="R633" i="4" s="1"/>
  <c r="K634" i="4"/>
  <c r="J581" i="4"/>
  <c r="K581" i="4" s="1"/>
  <c r="L581" i="4"/>
  <c r="M581" i="4" s="1"/>
  <c r="K586" i="4"/>
  <c r="P585" i="4"/>
  <c r="Q585" i="4" s="1"/>
  <c r="R585" i="4" s="1"/>
  <c r="J619" i="4"/>
  <c r="K619" i="4" s="1"/>
  <c r="L619" i="4"/>
  <c r="M619" i="4" s="1"/>
  <c r="L664" i="4"/>
  <c r="M664" i="4" s="1"/>
  <c r="J664" i="4"/>
  <c r="K664" i="4" s="1"/>
  <c r="K623" i="4"/>
  <c r="P622" i="4"/>
  <c r="L520" i="4"/>
  <c r="M520" i="4" s="1"/>
  <c r="J520" i="4"/>
  <c r="K520" i="4" s="1"/>
  <c r="J631" i="4"/>
  <c r="K631" i="4" s="1"/>
  <c r="L631" i="4"/>
  <c r="M631" i="4" s="1"/>
  <c r="J597" i="4"/>
  <c r="K597" i="4" s="1"/>
  <c r="L597" i="4"/>
  <c r="M597" i="4" s="1"/>
  <c r="P666" i="4"/>
  <c r="Q666" i="4" s="1"/>
  <c r="R666" i="4" s="1"/>
  <c r="K667" i="4"/>
  <c r="P675" i="4"/>
  <c r="Q674" i="4" s="1"/>
  <c r="R674" i="4" s="1"/>
  <c r="K676" i="4"/>
  <c r="U500" i="1"/>
  <c r="Y500" i="1" s="1"/>
  <c r="T500" i="1"/>
  <c r="W500" i="1" s="1"/>
  <c r="X500" i="1" s="1"/>
  <c r="L210" i="3"/>
  <c r="K455" i="1"/>
  <c r="M455" i="1" s="1"/>
  <c r="O455" i="1" s="1"/>
  <c r="P455" i="1" s="1"/>
  <c r="T494" i="1"/>
  <c r="W494" i="1" s="1"/>
  <c r="X494" i="1" s="1"/>
  <c r="U494" i="1"/>
  <c r="Y494" i="1" s="1"/>
  <c r="L213" i="3"/>
  <c r="K460" i="1"/>
  <c r="M460" i="1" s="1"/>
  <c r="O460" i="1" s="1"/>
  <c r="P460" i="1" s="1"/>
  <c r="Q460" i="1" s="1"/>
  <c r="R460" i="1" s="1"/>
  <c r="T571" i="1"/>
  <c r="W571" i="1" s="1"/>
  <c r="X571" i="1" s="1"/>
  <c r="U571" i="1"/>
  <c r="Y571" i="1" s="1"/>
  <c r="L212" i="3"/>
  <c r="K458" i="1"/>
  <c r="M458" i="1" s="1"/>
  <c r="O458" i="1" s="1"/>
  <c r="P458" i="1" s="1"/>
  <c r="Q458" i="1" s="1"/>
  <c r="R458" i="1" s="1"/>
  <c r="T554" i="1"/>
  <c r="W554" i="1" s="1"/>
  <c r="X554" i="1" s="1"/>
  <c r="P559" i="1" s="1"/>
  <c r="Q559" i="1" s="1"/>
  <c r="R559" i="1" s="1"/>
  <c r="H592" i="4" s="1"/>
  <c r="U554" i="1"/>
  <c r="Y554" i="1" s="1"/>
  <c r="L214" i="3"/>
  <c r="K463" i="1"/>
  <c r="M463" i="1" s="1"/>
  <c r="O463" i="1" s="1"/>
  <c r="P463" i="1" s="1"/>
  <c r="U620" i="1"/>
  <c r="Y620" i="1" s="1"/>
  <c r="T620" i="1"/>
  <c r="W620" i="1" s="1"/>
  <c r="X620" i="1" s="1"/>
  <c r="U589" i="1"/>
  <c r="Y589" i="1" s="1"/>
  <c r="T589" i="1"/>
  <c r="W589" i="1" s="1"/>
  <c r="X589" i="1" s="1"/>
  <c r="U536" i="1"/>
  <c r="Y536" i="1" s="1"/>
  <c r="T536" i="1"/>
  <c r="W536" i="1" s="1"/>
  <c r="X536" i="1" s="1"/>
  <c r="L209" i="3"/>
  <c r="K452" i="1"/>
  <c r="M452" i="1" s="1"/>
  <c r="O452" i="1" s="1"/>
  <c r="P452" i="1" s="1"/>
  <c r="Q452" i="1" s="1"/>
  <c r="R452" i="1" s="1"/>
  <c r="L211" i="3"/>
  <c r="K456" i="1"/>
  <c r="M456" i="1" s="1"/>
  <c r="O456" i="1" s="1"/>
  <c r="P456" i="1" s="1"/>
  <c r="P457" i="1" s="1"/>
  <c r="T630" i="1"/>
  <c r="W630" i="1" s="1"/>
  <c r="X630" i="1" s="1"/>
  <c r="P633" i="1" s="1"/>
  <c r="Q633" i="1" s="1"/>
  <c r="R633" i="1" s="1"/>
  <c r="H617" i="4" s="1"/>
  <c r="U630" i="1"/>
  <c r="Y630" i="1" s="1"/>
  <c r="J203" i="3"/>
  <c r="K427" i="1" s="1"/>
  <c r="M427" i="1" s="1"/>
  <c r="O427" i="1" s="1"/>
  <c r="P427" i="1" s="1"/>
  <c r="Q427" i="1" s="1"/>
  <c r="R427" i="1" s="1"/>
  <c r="F203" i="3"/>
  <c r="F427" i="1" s="1"/>
  <c r="J204" i="3"/>
  <c r="F440" i="1"/>
  <c r="J205" i="3"/>
  <c r="F205" i="3"/>
  <c r="F444" i="1" s="1"/>
  <c r="J206" i="3"/>
  <c r="F206" i="3"/>
  <c r="F445" i="1" s="1"/>
  <c r="J207" i="3"/>
  <c r="F207" i="3"/>
  <c r="F446" i="1" s="1"/>
  <c r="J208" i="3"/>
  <c r="F208" i="3"/>
  <c r="F450" i="1" s="1"/>
  <c r="K559" i="4" l="1"/>
  <c r="P558" i="4"/>
  <c r="Q558" i="4" s="1"/>
  <c r="R558" i="4" s="1"/>
  <c r="Q455" i="1"/>
  <c r="R455" i="1" s="1"/>
  <c r="Q457" i="1"/>
  <c r="R457" i="1" s="1"/>
  <c r="H408" i="4" s="1"/>
  <c r="U481" i="1"/>
  <c r="Y481" i="1" s="1"/>
  <c r="T481" i="1"/>
  <c r="W481" i="1" s="1"/>
  <c r="X481" i="1" s="1"/>
  <c r="L592" i="4"/>
  <c r="M592" i="4" s="1"/>
  <c r="J592" i="4"/>
  <c r="K592" i="4" s="1"/>
  <c r="P664" i="4"/>
  <c r="Q664" i="4" s="1"/>
  <c r="R664" i="4" s="1"/>
  <c r="K665" i="4"/>
  <c r="J617" i="4"/>
  <c r="K617" i="4" s="1"/>
  <c r="L617" i="4"/>
  <c r="M617" i="4" s="1"/>
  <c r="K624" i="4"/>
  <c r="P623" i="4"/>
  <c r="Q622" i="4" s="1"/>
  <c r="R622" i="4" s="1"/>
  <c r="K521" i="4"/>
  <c r="F520" i="4"/>
  <c r="P520" i="4"/>
  <c r="K598" i="4"/>
  <c r="P597" i="4"/>
  <c r="Q597" i="4" s="1"/>
  <c r="R597" i="4" s="1"/>
  <c r="P581" i="4"/>
  <c r="K582" i="4"/>
  <c r="P631" i="4"/>
  <c r="Q631" i="4" s="1"/>
  <c r="R631" i="4" s="1"/>
  <c r="K632" i="4"/>
  <c r="P619" i="4"/>
  <c r="K620" i="4"/>
  <c r="K570" i="4"/>
  <c r="P569" i="4"/>
  <c r="L206" i="3"/>
  <c r="K445" i="1"/>
  <c r="M445" i="1" s="1"/>
  <c r="O445" i="1" s="1"/>
  <c r="P445" i="1" s="1"/>
  <c r="U633" i="1"/>
  <c r="Y633" i="1" s="1"/>
  <c r="T633" i="1"/>
  <c r="W633" i="1" s="1"/>
  <c r="X633" i="1" s="1"/>
  <c r="P641" i="1" s="1"/>
  <c r="Q641" i="1" s="1"/>
  <c r="R641" i="1" s="1"/>
  <c r="H615" i="4" s="1"/>
  <c r="Q463" i="1"/>
  <c r="R463" i="1" s="1"/>
  <c r="P464" i="1"/>
  <c r="Q464" i="1" s="1"/>
  <c r="R464" i="1" s="1"/>
  <c r="H413" i="4" s="1"/>
  <c r="L203" i="3"/>
  <c r="L205" i="3"/>
  <c r="K444" i="1"/>
  <c r="M444" i="1" s="1"/>
  <c r="O444" i="1" s="1"/>
  <c r="P444" i="1" s="1"/>
  <c r="Q444" i="1" s="1"/>
  <c r="R444" i="1" s="1"/>
  <c r="P593" i="1"/>
  <c r="Q593" i="1" s="1"/>
  <c r="R593" i="1" s="1"/>
  <c r="H640" i="4" s="1"/>
  <c r="P592" i="1"/>
  <c r="Q592" i="1" s="1"/>
  <c r="R592" i="1" s="1"/>
  <c r="P591" i="1"/>
  <c r="Q591" i="1" s="1"/>
  <c r="R591" i="1" s="1"/>
  <c r="H662" i="4" s="1"/>
  <c r="U559" i="1"/>
  <c r="Y559" i="1" s="1"/>
  <c r="T559" i="1"/>
  <c r="W559" i="1" s="1"/>
  <c r="X559" i="1" s="1"/>
  <c r="P561" i="1" s="1"/>
  <c r="Q561" i="1" s="1"/>
  <c r="R561" i="1" s="1"/>
  <c r="H590" i="4" s="1"/>
  <c r="L208" i="3"/>
  <c r="K450" i="1"/>
  <c r="M450" i="1" s="1"/>
  <c r="O450" i="1" s="1"/>
  <c r="P450" i="1" s="1"/>
  <c r="Q456" i="1"/>
  <c r="R456" i="1" s="1"/>
  <c r="L207" i="3"/>
  <c r="K446" i="1"/>
  <c r="M446" i="1" s="1"/>
  <c r="O446" i="1" s="1"/>
  <c r="P446" i="1" s="1"/>
  <c r="Q446" i="1" s="1"/>
  <c r="R446" i="1" s="1"/>
  <c r="L204" i="3"/>
  <c r="K440" i="1"/>
  <c r="M440" i="1" s="1"/>
  <c r="O440" i="1" s="1"/>
  <c r="P440" i="1" s="1"/>
  <c r="J184" i="3"/>
  <c r="K402" i="1" s="1"/>
  <c r="P402" i="1" s="1"/>
  <c r="F399" i="1"/>
  <c r="J187" i="3"/>
  <c r="K404" i="1" s="1"/>
  <c r="M404" i="1" s="1"/>
  <c r="O404" i="1" s="1"/>
  <c r="P404" i="1" s="1"/>
  <c r="Q404" i="1" s="1"/>
  <c r="R404" i="1" s="1"/>
  <c r="F400" i="1"/>
  <c r="J193" i="3"/>
  <c r="F416" i="1"/>
  <c r="J194" i="3"/>
  <c r="F417" i="1"/>
  <c r="J195" i="3"/>
  <c r="F195" i="3"/>
  <c r="F420" i="1" s="1"/>
  <c r="J196" i="3"/>
  <c r="F196" i="3"/>
  <c r="F421" i="1" s="1"/>
  <c r="J197" i="3"/>
  <c r="F197" i="3"/>
  <c r="F423" i="1" s="1"/>
  <c r="J198" i="3"/>
  <c r="F198" i="3"/>
  <c r="F425" i="1" s="1"/>
  <c r="J199" i="3"/>
  <c r="F430" i="1"/>
  <c r="J201" i="3"/>
  <c r="J202" i="3"/>
  <c r="K436" i="1" s="1"/>
  <c r="M436" i="1" s="1"/>
  <c r="O436" i="1" s="1"/>
  <c r="P436" i="1" s="1"/>
  <c r="Q436" i="1" s="1"/>
  <c r="R436" i="1" s="1"/>
  <c r="F434" i="1"/>
  <c r="Q402" i="1" l="1"/>
  <c r="R402" i="1" s="1"/>
  <c r="P403" i="1"/>
  <c r="Q440" i="1"/>
  <c r="R440" i="1" s="1"/>
  <c r="P441" i="1"/>
  <c r="Q441" i="1" s="1"/>
  <c r="R441" i="1" s="1"/>
  <c r="H380" i="4" s="1"/>
  <c r="J408" i="4"/>
  <c r="K408" i="4" s="1"/>
  <c r="Q408" i="4" s="1"/>
  <c r="L408" i="4"/>
  <c r="M408" i="4" s="1"/>
  <c r="L590" i="4"/>
  <c r="M590" i="4" s="1"/>
  <c r="J590" i="4"/>
  <c r="K590" i="4" s="1"/>
  <c r="P617" i="4"/>
  <c r="Q617" i="4" s="1"/>
  <c r="R617" i="4" s="1"/>
  <c r="K618" i="4"/>
  <c r="L662" i="4"/>
  <c r="M662" i="4" s="1"/>
  <c r="J662" i="4"/>
  <c r="K662" i="4" s="1"/>
  <c r="P570" i="4"/>
  <c r="Q569" i="4" s="1"/>
  <c r="R569" i="4" s="1"/>
  <c r="K571" i="4"/>
  <c r="J615" i="4"/>
  <c r="K615" i="4" s="1"/>
  <c r="L615" i="4"/>
  <c r="M615" i="4" s="1"/>
  <c r="K522" i="4"/>
  <c r="P521" i="4"/>
  <c r="Q520" i="4" s="1"/>
  <c r="R520" i="4" s="1"/>
  <c r="T520" i="4" s="1"/>
  <c r="S520" i="4" s="1"/>
  <c r="V520" i="4" s="1"/>
  <c r="J413" i="4"/>
  <c r="K413" i="4" s="1"/>
  <c r="Q413" i="4" s="1"/>
  <c r="L413" i="4"/>
  <c r="M413" i="4" s="1"/>
  <c r="K621" i="4"/>
  <c r="P620" i="4"/>
  <c r="Q619" i="4" s="1"/>
  <c r="R619" i="4" s="1"/>
  <c r="J640" i="4"/>
  <c r="K640" i="4" s="1"/>
  <c r="L640" i="4"/>
  <c r="M640" i="4" s="1"/>
  <c r="P592" i="4"/>
  <c r="K593" i="4"/>
  <c r="K583" i="4"/>
  <c r="P582" i="4"/>
  <c r="U457" i="1"/>
  <c r="Y457" i="1" s="1"/>
  <c r="T457" i="1"/>
  <c r="W457" i="1" s="1"/>
  <c r="X457" i="1" s="1"/>
  <c r="P459" i="1" s="1"/>
  <c r="Q459" i="1" s="1"/>
  <c r="R459" i="1" s="1"/>
  <c r="H404" i="4" s="1"/>
  <c r="U464" i="1"/>
  <c r="Y464" i="1" s="1"/>
  <c r="T464" i="1"/>
  <c r="W464" i="1" s="1"/>
  <c r="X464" i="1" s="1"/>
  <c r="P467" i="1" s="1"/>
  <c r="Q467" i="1" s="1"/>
  <c r="R467" i="1" s="1"/>
  <c r="H411" i="4" s="1"/>
  <c r="L194" i="3"/>
  <c r="K417" i="1"/>
  <c r="M417" i="1" s="1"/>
  <c r="O417" i="1" s="1"/>
  <c r="P417" i="1" s="1"/>
  <c r="Q417" i="1" s="1"/>
  <c r="R417" i="1" s="1"/>
  <c r="U592" i="1"/>
  <c r="Y592" i="1" s="1"/>
  <c r="T592" i="1"/>
  <c r="W592" i="1" s="1"/>
  <c r="X592" i="1" s="1"/>
  <c r="P596" i="1" s="1"/>
  <c r="Q596" i="1" s="1"/>
  <c r="R596" i="1" s="1"/>
  <c r="H658" i="4" s="1"/>
  <c r="U593" i="1"/>
  <c r="Y593" i="1" s="1"/>
  <c r="T593" i="1"/>
  <c r="W593" i="1" s="1"/>
  <c r="X593" i="1" s="1"/>
  <c r="L201" i="3"/>
  <c r="T641" i="1"/>
  <c r="W641" i="1" s="1"/>
  <c r="X641" i="1" s="1"/>
  <c r="P647" i="1" s="1"/>
  <c r="Q647" i="1" s="1"/>
  <c r="R647" i="1" s="1"/>
  <c r="H613" i="4" s="1"/>
  <c r="U641" i="1"/>
  <c r="Y641" i="1" s="1"/>
  <c r="P451" i="1"/>
  <c r="Q451" i="1" s="1"/>
  <c r="R451" i="1" s="1"/>
  <c r="H386" i="4" s="1"/>
  <c r="Q450" i="1"/>
  <c r="R450" i="1" s="1"/>
  <c r="L202" i="3"/>
  <c r="K434" i="1"/>
  <c r="M434" i="1" s="1"/>
  <c r="O434" i="1" s="1"/>
  <c r="P434" i="1" s="1"/>
  <c r="L197" i="3"/>
  <c r="K423" i="1"/>
  <c r="M423" i="1" s="1"/>
  <c r="O423" i="1" s="1"/>
  <c r="P423" i="1" s="1"/>
  <c r="Q423" i="1" s="1"/>
  <c r="R423" i="1" s="1"/>
  <c r="L193" i="3"/>
  <c r="K416" i="1"/>
  <c r="M416" i="1" s="1"/>
  <c r="O416" i="1" s="1"/>
  <c r="P416" i="1" s="1"/>
  <c r="Q416" i="1" s="1"/>
  <c r="R416" i="1" s="1"/>
  <c r="Q445" i="1"/>
  <c r="R445" i="1" s="1"/>
  <c r="P447" i="1"/>
  <c r="Q447" i="1" s="1"/>
  <c r="R447" i="1" s="1"/>
  <c r="H383" i="4" s="1"/>
  <c r="L196" i="3"/>
  <c r="K421" i="1"/>
  <c r="M421" i="1" s="1"/>
  <c r="O421" i="1" s="1"/>
  <c r="P421" i="1" s="1"/>
  <c r="Q421" i="1" s="1"/>
  <c r="R421" i="1" s="1"/>
  <c r="L187" i="3"/>
  <c r="K400" i="1"/>
  <c r="M400" i="1" s="1"/>
  <c r="O400" i="1" s="1"/>
  <c r="P400" i="1" s="1"/>
  <c r="L199" i="3"/>
  <c r="K430" i="1"/>
  <c r="M430" i="1" s="1"/>
  <c r="O430" i="1" s="1"/>
  <c r="P430" i="1" s="1"/>
  <c r="L195" i="3"/>
  <c r="K420" i="1"/>
  <c r="M420" i="1" s="1"/>
  <c r="O420" i="1" s="1"/>
  <c r="P420" i="1" s="1"/>
  <c r="L184" i="3"/>
  <c r="K399" i="1"/>
  <c r="M399" i="1" s="1"/>
  <c r="O399" i="1" s="1"/>
  <c r="P399" i="1" s="1"/>
  <c r="L198" i="3"/>
  <c r="K425" i="1"/>
  <c r="M425" i="1" s="1"/>
  <c r="O425" i="1" s="1"/>
  <c r="P425" i="1" s="1"/>
  <c r="U561" i="1"/>
  <c r="Y561" i="1" s="1"/>
  <c r="T561" i="1"/>
  <c r="W561" i="1" s="1"/>
  <c r="X561" i="1" s="1"/>
  <c r="P564" i="1" s="1"/>
  <c r="Q564" i="1" s="1"/>
  <c r="R564" i="1" s="1"/>
  <c r="H588" i="4" s="1"/>
  <c r="J159" i="3"/>
  <c r="J160" i="3"/>
  <c r="K346" i="1" s="1"/>
  <c r="M346" i="1" s="1"/>
  <c r="O346" i="1" s="1"/>
  <c r="P346" i="1" s="1"/>
  <c r="Q346" i="1" s="1"/>
  <c r="R346" i="1" s="1"/>
  <c r="J163" i="3"/>
  <c r="F349" i="1"/>
  <c r="J164" i="3"/>
  <c r="K354" i="1" s="1"/>
  <c r="M354" i="1" s="1"/>
  <c r="O354" i="1" s="1"/>
  <c r="P354" i="1" s="1"/>
  <c r="F351" i="1"/>
  <c r="J169" i="3"/>
  <c r="F367" i="1"/>
  <c r="J176" i="3"/>
  <c r="F381" i="1"/>
  <c r="J177" i="3"/>
  <c r="K382" i="1" s="1"/>
  <c r="M382" i="1" s="1"/>
  <c r="O382" i="1" s="1"/>
  <c r="P382" i="1" s="1"/>
  <c r="Q382" i="1" s="1"/>
  <c r="R382" i="1" s="1"/>
  <c r="J178" i="3"/>
  <c r="K389" i="1" s="1"/>
  <c r="M389" i="1" s="1"/>
  <c r="O389" i="1" s="1"/>
  <c r="P389" i="1" s="1"/>
  <c r="Q389" i="1" s="1"/>
  <c r="R389" i="1" s="1"/>
  <c r="F386" i="1"/>
  <c r="J181" i="3"/>
  <c r="F387" i="1"/>
  <c r="K395" i="1" l="1"/>
  <c r="M395" i="1" s="1"/>
  <c r="O395" i="1" s="1"/>
  <c r="P395" i="1" s="1"/>
  <c r="Q395" i="1" s="1"/>
  <c r="R395" i="1" s="1"/>
  <c r="K392" i="1"/>
  <c r="M392" i="1" s="1"/>
  <c r="O392" i="1" s="1"/>
  <c r="P392" i="1" s="1"/>
  <c r="K393" i="1"/>
  <c r="M393" i="1" s="1"/>
  <c r="O393" i="1" s="1"/>
  <c r="P393" i="1" s="1"/>
  <c r="Q393" i="1" s="1"/>
  <c r="R393" i="1" s="1"/>
  <c r="P356" i="1"/>
  <c r="Q354" i="1"/>
  <c r="R354" i="1" s="1"/>
  <c r="K340" i="1"/>
  <c r="M340" i="1" s="1"/>
  <c r="O340" i="1" s="1"/>
  <c r="P340" i="1" s="1"/>
  <c r="Q340" i="1" s="1"/>
  <c r="R340" i="1" s="1"/>
  <c r="K343" i="1"/>
  <c r="M343" i="1" s="1"/>
  <c r="O343" i="1" s="1"/>
  <c r="P343" i="1" s="1"/>
  <c r="Q399" i="1"/>
  <c r="R399" i="1" s="1"/>
  <c r="P401" i="1"/>
  <c r="Q401" i="1" s="1"/>
  <c r="R401" i="1" s="1"/>
  <c r="Q425" i="1"/>
  <c r="R425" i="1" s="1"/>
  <c r="P426" i="1"/>
  <c r="R413" i="4"/>
  <c r="Q434" i="1"/>
  <c r="R434" i="1" s="1"/>
  <c r="P435" i="1"/>
  <c r="Q430" i="1"/>
  <c r="R430" i="1" s="1"/>
  <c r="P432" i="1"/>
  <c r="Q432" i="1" s="1"/>
  <c r="R432" i="1" s="1"/>
  <c r="R408" i="4"/>
  <c r="J404" i="4"/>
  <c r="K404" i="4" s="1"/>
  <c r="L404" i="4"/>
  <c r="M404" i="4" s="1"/>
  <c r="J658" i="4"/>
  <c r="K658" i="4" s="1"/>
  <c r="L658" i="4"/>
  <c r="M658" i="4" s="1"/>
  <c r="K584" i="4"/>
  <c r="P583" i="4"/>
  <c r="Q581" i="4" s="1"/>
  <c r="R581" i="4" s="1"/>
  <c r="P590" i="4"/>
  <c r="Q590" i="4" s="1"/>
  <c r="R590" i="4" s="1"/>
  <c r="K591" i="4"/>
  <c r="L588" i="4"/>
  <c r="M588" i="4" s="1"/>
  <c r="J588" i="4"/>
  <c r="K588" i="4" s="1"/>
  <c r="L380" i="4"/>
  <c r="M380" i="4" s="1"/>
  <c r="J380" i="4"/>
  <c r="K380" i="4" s="1"/>
  <c r="P380" i="4" s="1"/>
  <c r="J613" i="4"/>
  <c r="K613" i="4" s="1"/>
  <c r="L613" i="4"/>
  <c r="M613" i="4" s="1"/>
  <c r="P615" i="4"/>
  <c r="Q615" i="4" s="1"/>
  <c r="R615" i="4" s="1"/>
  <c r="K616" i="4"/>
  <c r="K594" i="4"/>
  <c r="P593" i="4"/>
  <c r="K663" i="4"/>
  <c r="P662" i="4"/>
  <c r="Q662" i="4" s="1"/>
  <c r="R662" i="4" s="1"/>
  <c r="L386" i="4"/>
  <c r="M386" i="4" s="1"/>
  <c r="J386" i="4"/>
  <c r="K386" i="4" s="1"/>
  <c r="Q386" i="4" s="1"/>
  <c r="K641" i="4"/>
  <c r="P640" i="4"/>
  <c r="Q640" i="4" s="1"/>
  <c r="R640" i="4" s="1"/>
  <c r="L383" i="4"/>
  <c r="M383" i="4" s="1"/>
  <c r="J383" i="4"/>
  <c r="K383" i="4" s="1"/>
  <c r="Q383" i="4" s="1"/>
  <c r="L411" i="4"/>
  <c r="M411" i="4" s="1"/>
  <c r="J411" i="4"/>
  <c r="K411" i="4" s="1"/>
  <c r="L176" i="3"/>
  <c r="K381" i="1"/>
  <c r="M381" i="1" s="1"/>
  <c r="O381" i="1" s="1"/>
  <c r="P381" i="1" s="1"/>
  <c r="Q381" i="1" s="1"/>
  <c r="R381" i="1" s="1"/>
  <c r="L160" i="3"/>
  <c r="L181" i="3"/>
  <c r="K387" i="1"/>
  <c r="M387" i="1" s="1"/>
  <c r="O387" i="1" s="1"/>
  <c r="P387" i="1" s="1"/>
  <c r="Q387" i="1" s="1"/>
  <c r="R387" i="1" s="1"/>
  <c r="L159" i="3"/>
  <c r="Q420" i="1"/>
  <c r="R420" i="1" s="1"/>
  <c r="P422" i="1"/>
  <c r="Q422" i="1" s="1"/>
  <c r="R422" i="1" s="1"/>
  <c r="H366" i="4" s="1"/>
  <c r="U467" i="1"/>
  <c r="Y467" i="1" s="1"/>
  <c r="T467" i="1"/>
  <c r="W467" i="1" s="1"/>
  <c r="X467" i="1" s="1"/>
  <c r="U441" i="1"/>
  <c r="Y441" i="1" s="1"/>
  <c r="T441" i="1"/>
  <c r="W441" i="1" s="1"/>
  <c r="X441" i="1" s="1"/>
  <c r="L169" i="3"/>
  <c r="K367" i="1"/>
  <c r="M367" i="1" s="1"/>
  <c r="O367" i="1" s="1"/>
  <c r="P367" i="1" s="1"/>
  <c r="U447" i="1"/>
  <c r="Y447" i="1" s="1"/>
  <c r="T447" i="1"/>
  <c r="W447" i="1" s="1"/>
  <c r="X447" i="1" s="1"/>
  <c r="L178" i="3"/>
  <c r="K386" i="1"/>
  <c r="M386" i="1" s="1"/>
  <c r="O386" i="1" s="1"/>
  <c r="P386" i="1" s="1"/>
  <c r="L164" i="3"/>
  <c r="K351" i="1"/>
  <c r="M351" i="1" s="1"/>
  <c r="O351" i="1" s="1"/>
  <c r="P351" i="1" s="1"/>
  <c r="Q351" i="1" s="1"/>
  <c r="R351" i="1" s="1"/>
  <c r="U451" i="1"/>
  <c r="Y451" i="1" s="1"/>
  <c r="T451" i="1"/>
  <c r="W451" i="1" s="1"/>
  <c r="X451" i="1" s="1"/>
  <c r="U596" i="1"/>
  <c r="Y596" i="1" s="1"/>
  <c r="T596" i="1"/>
  <c r="W596" i="1" s="1"/>
  <c r="X596" i="1" s="1"/>
  <c r="P599" i="1" s="1"/>
  <c r="Q599" i="1" s="1"/>
  <c r="R599" i="1" s="1"/>
  <c r="H655" i="4" s="1"/>
  <c r="U459" i="1"/>
  <c r="Y459" i="1" s="1"/>
  <c r="T459" i="1"/>
  <c r="W459" i="1" s="1"/>
  <c r="X459" i="1" s="1"/>
  <c r="P461" i="1" s="1"/>
  <c r="Q461" i="1" s="1"/>
  <c r="R461" i="1" s="1"/>
  <c r="H401" i="4" s="1"/>
  <c r="Q400" i="1"/>
  <c r="R400" i="1" s="1"/>
  <c r="T564" i="1"/>
  <c r="W564" i="1" s="1"/>
  <c r="X564" i="1" s="1"/>
  <c r="U564" i="1"/>
  <c r="Y564" i="1" s="1"/>
  <c r="L177" i="3"/>
  <c r="L163" i="3"/>
  <c r="K349" i="1"/>
  <c r="M349" i="1" s="1"/>
  <c r="O349" i="1" s="1"/>
  <c r="P349" i="1" s="1"/>
  <c r="T647" i="1"/>
  <c r="W647" i="1" s="1"/>
  <c r="X647" i="1" s="1"/>
  <c r="U647" i="1"/>
  <c r="Y647" i="1" s="1"/>
  <c r="J137" i="3"/>
  <c r="F137" i="3"/>
  <c r="F300" i="1" s="1"/>
  <c r="J140" i="3"/>
  <c r="F140" i="3"/>
  <c r="F305" i="1" s="1"/>
  <c r="J141" i="3"/>
  <c r="F141" i="3"/>
  <c r="F309" i="1" s="1"/>
  <c r="J142" i="3"/>
  <c r="F142" i="3"/>
  <c r="F310" i="1" s="1"/>
  <c r="J144" i="3"/>
  <c r="F144" i="3"/>
  <c r="F315" i="1" s="1"/>
  <c r="J151" i="3"/>
  <c r="F329" i="1"/>
  <c r="J154" i="3"/>
  <c r="K333" i="1" s="1"/>
  <c r="M333" i="1" s="1"/>
  <c r="O333" i="1" s="1"/>
  <c r="P333" i="1" s="1"/>
  <c r="Q333" i="1" s="1"/>
  <c r="R333" i="1" s="1"/>
  <c r="F330" i="1"/>
  <c r="J156" i="3"/>
  <c r="F337" i="1"/>
  <c r="H351" i="4" l="1"/>
  <c r="Q392" i="1"/>
  <c r="R392" i="1" s="1"/>
  <c r="P394" i="1"/>
  <c r="Q394" i="1" s="1"/>
  <c r="R394" i="1" s="1"/>
  <c r="H338" i="4" s="1"/>
  <c r="Q343" i="1"/>
  <c r="R343" i="1" s="1"/>
  <c r="P344" i="1"/>
  <c r="Q344" i="1" s="1"/>
  <c r="R344" i="1" s="1"/>
  <c r="Q386" i="1"/>
  <c r="R386" i="1" s="1"/>
  <c r="P388" i="1"/>
  <c r="H375" i="4"/>
  <c r="Q367" i="1"/>
  <c r="R367" i="1" s="1"/>
  <c r="P369" i="1"/>
  <c r="R383" i="4"/>
  <c r="R386" i="4"/>
  <c r="P411" i="4"/>
  <c r="Q411" i="4" s="1"/>
  <c r="R411" i="4" s="1"/>
  <c r="K412" i="4"/>
  <c r="Q380" i="4"/>
  <c r="R380" i="4" s="1"/>
  <c r="K381" i="4"/>
  <c r="J655" i="4"/>
  <c r="K655" i="4" s="1"/>
  <c r="L655" i="4"/>
  <c r="M655" i="4" s="1"/>
  <c r="J366" i="4"/>
  <c r="K366" i="4" s="1"/>
  <c r="L366" i="4"/>
  <c r="M366" i="4" s="1"/>
  <c r="P588" i="4"/>
  <c r="Q588" i="4" s="1"/>
  <c r="R588" i="4" s="1"/>
  <c r="K589" i="4"/>
  <c r="K595" i="4"/>
  <c r="P594" i="4"/>
  <c r="P658" i="4"/>
  <c r="K659" i="4"/>
  <c r="J401" i="4"/>
  <c r="K401" i="4" s="1"/>
  <c r="P401" i="4" s="1"/>
  <c r="L401" i="4"/>
  <c r="M401" i="4" s="1"/>
  <c r="K614" i="4"/>
  <c r="P613" i="4"/>
  <c r="Q613" i="4" s="1"/>
  <c r="R613" i="4" s="1"/>
  <c r="P404" i="4"/>
  <c r="K405" i="4"/>
  <c r="U461" i="1"/>
  <c r="Y461" i="1" s="1"/>
  <c r="T461" i="1"/>
  <c r="W461" i="1" s="1"/>
  <c r="X461" i="1" s="1"/>
  <c r="P468" i="1" s="1"/>
  <c r="Q468" i="1" s="1"/>
  <c r="R468" i="1" s="1"/>
  <c r="H395" i="4" s="1"/>
  <c r="L137" i="3"/>
  <c r="K300" i="1"/>
  <c r="M300" i="1" s="1"/>
  <c r="O300" i="1" s="1"/>
  <c r="P300" i="1" s="1"/>
  <c r="L156" i="3"/>
  <c r="K337" i="1"/>
  <c r="M337" i="1" s="1"/>
  <c r="O337" i="1" s="1"/>
  <c r="P337" i="1" s="1"/>
  <c r="L142" i="3"/>
  <c r="K310" i="1"/>
  <c r="M310" i="1" s="1"/>
  <c r="O310" i="1" s="1"/>
  <c r="P310" i="1" s="1"/>
  <c r="Q310" i="1" s="1"/>
  <c r="R310" i="1" s="1"/>
  <c r="U432" i="1"/>
  <c r="Y432" i="1" s="1"/>
  <c r="T432" i="1"/>
  <c r="W432" i="1" s="1"/>
  <c r="X432" i="1" s="1"/>
  <c r="Q435" i="1" s="1"/>
  <c r="R435" i="1" s="1"/>
  <c r="H372" i="4" s="1"/>
  <c r="L372" i="4" s="1"/>
  <c r="M372" i="4" s="1"/>
  <c r="L151" i="3"/>
  <c r="K329" i="1"/>
  <c r="M329" i="1" s="1"/>
  <c r="O329" i="1" s="1"/>
  <c r="P329" i="1" s="1"/>
  <c r="P332" i="1" s="1"/>
  <c r="L140" i="3"/>
  <c r="K305" i="1"/>
  <c r="M305" i="1" s="1"/>
  <c r="O305" i="1" s="1"/>
  <c r="P305" i="1" s="1"/>
  <c r="U422" i="1"/>
  <c r="Y422" i="1" s="1"/>
  <c r="T422" i="1"/>
  <c r="W422" i="1" s="1"/>
  <c r="X422" i="1" s="1"/>
  <c r="P424" i="1" s="1"/>
  <c r="Q424" i="1" s="1"/>
  <c r="R424" i="1" s="1"/>
  <c r="H364" i="4" s="1"/>
  <c r="L144" i="3"/>
  <c r="K315" i="1"/>
  <c r="M315" i="1" s="1"/>
  <c r="O315" i="1" s="1"/>
  <c r="P315" i="1" s="1"/>
  <c r="Q349" i="1"/>
  <c r="R349" i="1" s="1"/>
  <c r="P352" i="1"/>
  <c r="Q352" i="1" s="1"/>
  <c r="R352" i="1" s="1"/>
  <c r="H310" i="4" s="1"/>
  <c r="U599" i="1"/>
  <c r="Y599" i="1" s="1"/>
  <c r="T599" i="1"/>
  <c r="W599" i="1" s="1"/>
  <c r="X599" i="1" s="1"/>
  <c r="P602" i="1" s="1"/>
  <c r="Q602" i="1" s="1"/>
  <c r="R602" i="1" s="1"/>
  <c r="H653" i="4" s="1"/>
  <c r="L154" i="3"/>
  <c r="K330" i="1"/>
  <c r="M330" i="1" s="1"/>
  <c r="O330" i="1" s="1"/>
  <c r="P330" i="1" s="1"/>
  <c r="Q330" i="1" s="1"/>
  <c r="R330" i="1" s="1"/>
  <c r="L141" i="3"/>
  <c r="K309" i="1"/>
  <c r="M309" i="1" s="1"/>
  <c r="O309" i="1" s="1"/>
  <c r="P309" i="1" s="1"/>
  <c r="Q309" i="1" s="1"/>
  <c r="R309" i="1" s="1"/>
  <c r="P652" i="1"/>
  <c r="Q652" i="1" s="1"/>
  <c r="R652" i="1" s="1"/>
  <c r="P654" i="1"/>
  <c r="Q654" i="1" s="1"/>
  <c r="R654" i="1" s="1"/>
  <c r="H648" i="4" s="1"/>
  <c r="P653" i="1"/>
  <c r="Q653" i="1" s="1"/>
  <c r="R653" i="1" s="1"/>
  <c r="H611" i="4" s="1"/>
  <c r="U401" i="1"/>
  <c r="Y401" i="1" s="1"/>
  <c r="T401" i="1"/>
  <c r="W401" i="1" s="1"/>
  <c r="X401" i="1" s="1"/>
  <c r="J136" i="3"/>
  <c r="F136" i="3"/>
  <c r="F297" i="1" s="1"/>
  <c r="L310" i="4" l="1"/>
  <c r="M310" i="4" s="1"/>
  <c r="J310" i="4"/>
  <c r="K310" i="4" s="1"/>
  <c r="Q310" i="4" s="1"/>
  <c r="L338" i="4"/>
  <c r="M338" i="4" s="1"/>
  <c r="J338" i="4"/>
  <c r="K338" i="4" s="1"/>
  <c r="Q338" i="4" s="1"/>
  <c r="L351" i="4"/>
  <c r="M351" i="4" s="1"/>
  <c r="J351" i="4"/>
  <c r="K351" i="4" s="1"/>
  <c r="T344" i="1"/>
  <c r="W344" i="1" s="1"/>
  <c r="X344" i="1" s="1"/>
  <c r="U344" i="1"/>
  <c r="Y344" i="1" s="1"/>
  <c r="U394" i="1"/>
  <c r="Y394" i="1" s="1"/>
  <c r="T394" i="1"/>
  <c r="W394" i="1" s="1"/>
  <c r="X394" i="1" s="1"/>
  <c r="P396" i="1" s="1"/>
  <c r="J372" i="4"/>
  <c r="K372" i="4" s="1"/>
  <c r="Q372" i="4" s="1"/>
  <c r="L375" i="4"/>
  <c r="M375" i="4" s="1"/>
  <c r="J375" i="4"/>
  <c r="K375" i="4" s="1"/>
  <c r="J364" i="4"/>
  <c r="K364" i="4" s="1"/>
  <c r="L364" i="4"/>
  <c r="M364" i="4" s="1"/>
  <c r="U424" i="1"/>
  <c r="Y424" i="1" s="1"/>
  <c r="T424" i="1"/>
  <c r="W424" i="1" s="1"/>
  <c r="X424" i="1" s="1"/>
  <c r="Q426" i="1" s="1"/>
  <c r="R426" i="1" s="1"/>
  <c r="Q375" i="1"/>
  <c r="R375" i="1" s="1"/>
  <c r="H333" i="4" s="1"/>
  <c r="R372" i="4"/>
  <c r="K596" i="4"/>
  <c r="P595" i="4"/>
  <c r="Q592" i="4" s="1"/>
  <c r="R592" i="4" s="1"/>
  <c r="Q404" i="4"/>
  <c r="R404" i="4" s="1"/>
  <c r="K406" i="4"/>
  <c r="J395" i="4"/>
  <c r="K395" i="4" s="1"/>
  <c r="L395" i="4"/>
  <c r="M395" i="4" s="1"/>
  <c r="K402" i="4"/>
  <c r="P366" i="4"/>
  <c r="K367" i="4"/>
  <c r="L653" i="4"/>
  <c r="M653" i="4" s="1"/>
  <c r="J653" i="4"/>
  <c r="K653" i="4" s="1"/>
  <c r="L611" i="4"/>
  <c r="M611" i="4" s="1"/>
  <c r="J611" i="4"/>
  <c r="K611" i="4" s="1"/>
  <c r="K660" i="4"/>
  <c r="P659" i="4"/>
  <c r="L648" i="4"/>
  <c r="M648" i="4" s="1"/>
  <c r="J648" i="4"/>
  <c r="K648" i="4" s="1"/>
  <c r="K656" i="4"/>
  <c r="P655" i="4"/>
  <c r="U654" i="1"/>
  <c r="Y654" i="1" s="1"/>
  <c r="T654" i="1"/>
  <c r="W654" i="1" s="1"/>
  <c r="X654" i="1" s="1"/>
  <c r="P662" i="1" s="1"/>
  <c r="Q662" i="1" s="1"/>
  <c r="R662" i="1" s="1"/>
  <c r="H643" i="4" s="1"/>
  <c r="Q339" i="1"/>
  <c r="R339" i="1" s="1"/>
  <c r="H304" i="4" s="1"/>
  <c r="Q337" i="1"/>
  <c r="R337" i="1" s="1"/>
  <c r="Q332" i="1"/>
  <c r="R332" i="1" s="1"/>
  <c r="H286" i="4" s="1"/>
  <c r="Q329" i="1"/>
  <c r="R329" i="1" s="1"/>
  <c r="U435" i="1"/>
  <c r="Y435" i="1" s="1"/>
  <c r="T435" i="1"/>
  <c r="W435" i="1" s="1"/>
  <c r="X435" i="1" s="1"/>
  <c r="T352" i="1"/>
  <c r="W352" i="1" s="1"/>
  <c r="X352" i="1" s="1"/>
  <c r="P357" i="1" s="1"/>
  <c r="U352" i="1"/>
  <c r="Y352" i="1" s="1"/>
  <c r="L136" i="3"/>
  <c r="K297" i="1"/>
  <c r="M297" i="1" s="1"/>
  <c r="O297" i="1" s="1"/>
  <c r="P297" i="1" s="1"/>
  <c r="Q297" i="1" s="1"/>
  <c r="R297" i="1" s="1"/>
  <c r="Q300" i="1"/>
  <c r="R300" i="1" s="1"/>
  <c r="P301" i="1"/>
  <c r="Q301" i="1" s="1"/>
  <c r="R301" i="1" s="1"/>
  <c r="Q315" i="1"/>
  <c r="R315" i="1" s="1"/>
  <c r="Q316" i="1"/>
  <c r="R316" i="1" s="1"/>
  <c r="U468" i="1"/>
  <c r="Y468" i="1" s="1"/>
  <c r="T468" i="1"/>
  <c r="W468" i="1" s="1"/>
  <c r="X468" i="1" s="1"/>
  <c r="P471" i="1" s="1"/>
  <c r="Q471" i="1" s="1"/>
  <c r="R471" i="1" s="1"/>
  <c r="H391" i="4" s="1"/>
  <c r="Q305" i="1"/>
  <c r="R305" i="1" s="1"/>
  <c r="U602" i="1"/>
  <c r="Y602" i="1" s="1"/>
  <c r="T602" i="1"/>
  <c r="W602" i="1" s="1"/>
  <c r="X602" i="1" s="1"/>
  <c r="P608" i="1" s="1"/>
  <c r="Q608" i="1" s="1"/>
  <c r="R608" i="1" s="1"/>
  <c r="H650" i="4" s="1"/>
  <c r="T653" i="1"/>
  <c r="W653" i="1" s="1"/>
  <c r="X653" i="1" s="1"/>
  <c r="U653" i="1"/>
  <c r="Y653" i="1" s="1"/>
  <c r="J129" i="3"/>
  <c r="F129" i="3"/>
  <c r="F283" i="1" s="1"/>
  <c r="J131" i="3"/>
  <c r="F131" i="3"/>
  <c r="F287" i="1" s="1"/>
  <c r="J132" i="3"/>
  <c r="F132" i="3"/>
  <c r="F288" i="1" s="1"/>
  <c r="J133" i="3"/>
  <c r="F133" i="3"/>
  <c r="F290" i="1" s="1"/>
  <c r="J134" i="3"/>
  <c r="F134" i="3"/>
  <c r="R338" i="4" l="1"/>
  <c r="R310" i="4"/>
  <c r="J286" i="4"/>
  <c r="K286" i="4" s="1"/>
  <c r="Q286" i="4" s="1"/>
  <c r="L286" i="4"/>
  <c r="M286" i="4" s="1"/>
  <c r="R286" i="4" s="1"/>
  <c r="J304" i="4"/>
  <c r="K304" i="4" s="1"/>
  <c r="Q304" i="4" s="1"/>
  <c r="L304" i="4"/>
  <c r="M304" i="4" s="1"/>
  <c r="P351" i="4"/>
  <c r="Q351" i="4" s="1"/>
  <c r="R351" i="4" s="1"/>
  <c r="K352" i="4"/>
  <c r="L333" i="4"/>
  <c r="M333" i="4" s="1"/>
  <c r="J333" i="4"/>
  <c r="K333" i="4" s="1"/>
  <c r="Q333" i="4" s="1"/>
  <c r="H278" i="4"/>
  <c r="P375" i="4"/>
  <c r="K376" i="4"/>
  <c r="H362" i="4"/>
  <c r="P347" i="4"/>
  <c r="K365" i="4"/>
  <c r="P364" i="4"/>
  <c r="Q364" i="4" s="1"/>
  <c r="R364" i="4" s="1"/>
  <c r="P437" i="1"/>
  <c r="Q437" i="1" s="1"/>
  <c r="R437" i="1" s="1"/>
  <c r="H370" i="4" s="1"/>
  <c r="T426" i="1"/>
  <c r="W426" i="1" s="1"/>
  <c r="X426" i="1" s="1"/>
  <c r="P428" i="1" s="1"/>
  <c r="Q428" i="1" s="1"/>
  <c r="R428" i="1" s="1"/>
  <c r="H360" i="4" s="1"/>
  <c r="U426" i="1"/>
  <c r="Y426" i="1" s="1"/>
  <c r="U375" i="1"/>
  <c r="Y375" i="1" s="1"/>
  <c r="T375" i="1"/>
  <c r="W375" i="1" s="1"/>
  <c r="X375" i="1" s="1"/>
  <c r="P380" i="1" s="1"/>
  <c r="H494" i="4"/>
  <c r="H485" i="4"/>
  <c r="L485" i="4" s="1"/>
  <c r="M485" i="4" s="1"/>
  <c r="H458" i="4"/>
  <c r="J650" i="4"/>
  <c r="K650" i="4" s="1"/>
  <c r="L650" i="4"/>
  <c r="M650" i="4" s="1"/>
  <c r="P648" i="4"/>
  <c r="Q648" i="4" s="1"/>
  <c r="R648" i="4" s="1"/>
  <c r="K649" i="4"/>
  <c r="P611" i="4"/>
  <c r="Q611" i="4" s="1"/>
  <c r="R611" i="4" s="1"/>
  <c r="K612" i="4"/>
  <c r="K661" i="4"/>
  <c r="P660" i="4"/>
  <c r="Q658" i="4" s="1"/>
  <c r="R658" i="4" s="1"/>
  <c r="K657" i="4"/>
  <c r="P656" i="4"/>
  <c r="Q655" i="4" s="1"/>
  <c r="R655" i="4" s="1"/>
  <c r="K403" i="4"/>
  <c r="P402" i="4"/>
  <c r="Q401" i="4" s="1"/>
  <c r="R401" i="4" s="1"/>
  <c r="P395" i="4"/>
  <c r="K396" i="4"/>
  <c r="L643" i="4"/>
  <c r="M643" i="4" s="1"/>
  <c r="J643" i="4"/>
  <c r="K643" i="4" s="1"/>
  <c r="P653" i="4"/>
  <c r="Q653" i="4" s="1"/>
  <c r="R653" i="4" s="1"/>
  <c r="K654" i="4"/>
  <c r="L391" i="4"/>
  <c r="M391" i="4" s="1"/>
  <c r="J391" i="4"/>
  <c r="K391" i="4" s="1"/>
  <c r="P367" i="4"/>
  <c r="Q366" i="4" s="1"/>
  <c r="R366" i="4" s="1"/>
  <c r="K368" i="4"/>
  <c r="T471" i="1"/>
  <c r="W471" i="1" s="1"/>
  <c r="X471" i="1" s="1"/>
  <c r="P474" i="1" s="1"/>
  <c r="Q474" i="1" s="1"/>
  <c r="R474" i="1" s="1"/>
  <c r="H389" i="4" s="1"/>
  <c r="U471" i="1"/>
  <c r="Y471" i="1" s="1"/>
  <c r="U332" i="1"/>
  <c r="Y332" i="1" s="1"/>
  <c r="T332" i="1"/>
  <c r="W332" i="1" s="1"/>
  <c r="X332" i="1" s="1"/>
  <c r="P335" i="1" s="1"/>
  <c r="Q335" i="1" s="1"/>
  <c r="R335" i="1" s="1"/>
  <c r="T316" i="1"/>
  <c r="W316" i="1" s="1"/>
  <c r="X316" i="1" s="1"/>
  <c r="P319" i="1" s="1"/>
  <c r="Q319" i="1" s="1"/>
  <c r="R319" i="1" s="1"/>
  <c r="H456" i="4" s="1"/>
  <c r="U316" i="1"/>
  <c r="Y316" i="1" s="1"/>
  <c r="T608" i="1"/>
  <c r="W608" i="1" s="1"/>
  <c r="X608" i="1" s="1"/>
  <c r="U608" i="1"/>
  <c r="Y608" i="1" s="1"/>
  <c r="L131" i="3"/>
  <c r="K287" i="1"/>
  <c r="M287" i="1" s="1"/>
  <c r="O287" i="1" s="1"/>
  <c r="P287" i="1" s="1"/>
  <c r="Q287" i="1" s="1"/>
  <c r="R287" i="1" s="1"/>
  <c r="T339" i="1"/>
  <c r="W339" i="1" s="1"/>
  <c r="X339" i="1" s="1"/>
  <c r="P341" i="1" s="1"/>
  <c r="U339" i="1"/>
  <c r="Y339" i="1" s="1"/>
  <c r="P660" i="1"/>
  <c r="Q660" i="1" s="1"/>
  <c r="R660" i="1" s="1"/>
  <c r="P661" i="1"/>
  <c r="Q661" i="1" s="1"/>
  <c r="R661" i="1" s="1"/>
  <c r="H609" i="4" s="1"/>
  <c r="T662" i="1"/>
  <c r="W662" i="1" s="1"/>
  <c r="X662" i="1" s="1"/>
  <c r="U662" i="1"/>
  <c r="Y662" i="1" s="1"/>
  <c r="T301" i="1"/>
  <c r="W301" i="1" s="1"/>
  <c r="X301" i="1" s="1"/>
  <c r="U301" i="1"/>
  <c r="Y301" i="1" s="1"/>
  <c r="L133" i="3"/>
  <c r="K290" i="1"/>
  <c r="M290" i="1" s="1"/>
  <c r="O290" i="1" s="1"/>
  <c r="P290" i="1" s="1"/>
  <c r="Q290" i="1" s="1"/>
  <c r="R290" i="1" s="1"/>
  <c r="L132" i="3"/>
  <c r="K288" i="1"/>
  <c r="M288" i="1" s="1"/>
  <c r="O288" i="1" s="1"/>
  <c r="P288" i="1" s="1"/>
  <c r="Q288" i="1" s="1"/>
  <c r="R288" i="1" s="1"/>
  <c r="L134" i="3"/>
  <c r="L129" i="3"/>
  <c r="K283" i="1"/>
  <c r="M283" i="1" s="1"/>
  <c r="O283" i="1" s="1"/>
  <c r="P283" i="1" s="1"/>
  <c r="J121" i="3"/>
  <c r="F265" i="1"/>
  <c r="J123" i="3"/>
  <c r="F123" i="3"/>
  <c r="F271" i="1" s="1"/>
  <c r="J124" i="3"/>
  <c r="F124" i="3"/>
  <c r="F272" i="1" s="1"/>
  <c r="J125" i="3"/>
  <c r="F125" i="3"/>
  <c r="F274" i="1" s="1"/>
  <c r="J126" i="3"/>
  <c r="F126" i="3"/>
  <c r="F277" i="1" s="1"/>
  <c r="J127" i="3"/>
  <c r="F127" i="3"/>
  <c r="F278" i="1" s="1"/>
  <c r="J128" i="3"/>
  <c r="F128" i="3"/>
  <c r="F280" i="1" s="1"/>
  <c r="R304" i="4" l="1"/>
  <c r="R333" i="4"/>
  <c r="T335" i="1"/>
  <c r="W335" i="1" s="1"/>
  <c r="X335" i="1" s="1"/>
  <c r="U335" i="1"/>
  <c r="Y335" i="1" s="1"/>
  <c r="L360" i="4"/>
  <c r="M360" i="4" s="1"/>
  <c r="J360" i="4"/>
  <c r="K360" i="4" s="1"/>
  <c r="K361" i="4" s="1"/>
  <c r="L362" i="4"/>
  <c r="M362" i="4" s="1"/>
  <c r="J362" i="4"/>
  <c r="K362" i="4" s="1"/>
  <c r="P376" i="4"/>
  <c r="K377" i="4"/>
  <c r="J278" i="4"/>
  <c r="K278" i="4" s="1"/>
  <c r="L278" i="4"/>
  <c r="M278" i="4" s="1"/>
  <c r="Q341" i="1"/>
  <c r="R341" i="1" s="1"/>
  <c r="U437" i="1"/>
  <c r="Y437" i="1" s="1"/>
  <c r="T437" i="1"/>
  <c r="W437" i="1" s="1"/>
  <c r="X437" i="1" s="1"/>
  <c r="U428" i="1"/>
  <c r="Y428" i="1" s="1"/>
  <c r="T428" i="1"/>
  <c r="W428" i="1" s="1"/>
  <c r="X428" i="1" s="1"/>
  <c r="P438" i="1" s="1"/>
  <c r="L370" i="4"/>
  <c r="M370" i="4" s="1"/>
  <c r="J370" i="4"/>
  <c r="K370" i="4" s="1"/>
  <c r="P370" i="4" s="1"/>
  <c r="L494" i="4"/>
  <c r="M494" i="4" s="1"/>
  <c r="J494" i="4"/>
  <c r="K494" i="4" s="1"/>
  <c r="P303" i="1"/>
  <c r="Q303" i="1" s="1"/>
  <c r="R303" i="1" s="1"/>
  <c r="H492" i="4" s="1"/>
  <c r="L456" i="4"/>
  <c r="M456" i="4" s="1"/>
  <c r="J456" i="4"/>
  <c r="K456" i="4" s="1"/>
  <c r="Q456" i="4" s="1"/>
  <c r="U319" i="1"/>
  <c r="Y319" i="1" s="1"/>
  <c r="T319" i="1"/>
  <c r="W319" i="1" s="1"/>
  <c r="X319" i="1" s="1"/>
  <c r="J485" i="4"/>
  <c r="K485" i="4" s="1"/>
  <c r="Q485" i="4" s="1"/>
  <c r="R485" i="4" s="1"/>
  <c r="L458" i="4"/>
  <c r="M458" i="4" s="1"/>
  <c r="J458" i="4"/>
  <c r="K458" i="4" s="1"/>
  <c r="P643" i="4"/>
  <c r="F643" i="4"/>
  <c r="K644" i="4"/>
  <c r="K392" i="4"/>
  <c r="P391" i="4"/>
  <c r="P396" i="4"/>
  <c r="K397" i="4"/>
  <c r="P650" i="4"/>
  <c r="K651" i="4"/>
  <c r="L389" i="4"/>
  <c r="M389" i="4" s="1"/>
  <c r="J389" i="4"/>
  <c r="K389" i="4" s="1"/>
  <c r="J609" i="4"/>
  <c r="K609" i="4" s="1"/>
  <c r="L609" i="4"/>
  <c r="M609" i="4" s="1"/>
  <c r="L126" i="3"/>
  <c r="K277" i="1"/>
  <c r="M277" i="1" s="1"/>
  <c r="O277" i="1" s="1"/>
  <c r="P277" i="1" s="1"/>
  <c r="L125" i="3"/>
  <c r="K274" i="1"/>
  <c r="M274" i="1" s="1"/>
  <c r="O274" i="1" s="1"/>
  <c r="P274" i="1" s="1"/>
  <c r="Q274" i="1" s="1"/>
  <c r="R274" i="1" s="1"/>
  <c r="L128" i="3"/>
  <c r="K280" i="1"/>
  <c r="M280" i="1" s="1"/>
  <c r="O280" i="1" s="1"/>
  <c r="P280" i="1" s="1"/>
  <c r="Q280" i="1" s="1"/>
  <c r="R280" i="1" s="1"/>
  <c r="L124" i="3"/>
  <c r="K272" i="1"/>
  <c r="M272" i="1" s="1"/>
  <c r="O272" i="1" s="1"/>
  <c r="P272" i="1" s="1"/>
  <c r="Q272" i="1" s="1"/>
  <c r="R272" i="1" s="1"/>
  <c r="T661" i="1"/>
  <c r="W661" i="1" s="1"/>
  <c r="X661" i="1" s="1"/>
  <c r="P667" i="1" s="1"/>
  <c r="Q667" i="1" s="1"/>
  <c r="R667" i="1" s="1"/>
  <c r="H605" i="4" s="1"/>
  <c r="U661" i="1"/>
  <c r="Y661" i="1" s="1"/>
  <c r="L121" i="3"/>
  <c r="K265" i="1"/>
  <c r="M265" i="1" s="1"/>
  <c r="O265" i="1" s="1"/>
  <c r="P265" i="1" s="1"/>
  <c r="Q265" i="1" s="1"/>
  <c r="R265" i="1" s="1"/>
  <c r="Q283" i="1"/>
  <c r="R283" i="1" s="1"/>
  <c r="P285" i="1"/>
  <c r="Q285" i="1" s="1"/>
  <c r="R285" i="1" s="1"/>
  <c r="H514" i="4" s="1"/>
  <c r="L127" i="3"/>
  <c r="K278" i="1"/>
  <c r="M278" i="1" s="1"/>
  <c r="O278" i="1" s="1"/>
  <c r="P278" i="1" s="1"/>
  <c r="Q278" i="1" s="1"/>
  <c r="R278" i="1" s="1"/>
  <c r="L123" i="3"/>
  <c r="K271" i="1"/>
  <c r="M271" i="1" s="1"/>
  <c r="O271" i="1" s="1"/>
  <c r="P271" i="1" s="1"/>
  <c r="Q271" i="1" s="1"/>
  <c r="R271" i="1" s="1"/>
  <c r="T474" i="1"/>
  <c r="W474" i="1" s="1"/>
  <c r="X474" i="1" s="1"/>
  <c r="U474" i="1"/>
  <c r="Y474" i="1" s="1"/>
  <c r="J116" i="3"/>
  <c r="K254" i="1" s="1"/>
  <c r="M254" i="1" s="1"/>
  <c r="O254" i="1" s="1"/>
  <c r="P254" i="1" s="1"/>
  <c r="Q254" i="1" s="1"/>
  <c r="R254" i="1" s="1"/>
  <c r="J113" i="3"/>
  <c r="F113" i="3"/>
  <c r="F249" i="1" s="1"/>
  <c r="J114" i="3"/>
  <c r="F114" i="3"/>
  <c r="F251" i="1" s="1"/>
  <c r="J115" i="3"/>
  <c r="F115" i="3"/>
  <c r="F252" i="1" s="1"/>
  <c r="F116" i="3"/>
  <c r="F254" i="1" s="1"/>
  <c r="J117" i="3"/>
  <c r="F117" i="3"/>
  <c r="F257" i="1" s="1"/>
  <c r="J118" i="3"/>
  <c r="F118" i="3"/>
  <c r="F259" i="1" s="1"/>
  <c r="J119" i="3"/>
  <c r="F119" i="3"/>
  <c r="F261" i="1" s="1"/>
  <c r="J120" i="3"/>
  <c r="F264" i="1"/>
  <c r="J105" i="3"/>
  <c r="F105" i="3"/>
  <c r="F234" i="1" s="1"/>
  <c r="J106" i="3"/>
  <c r="F106" i="3"/>
  <c r="F236" i="1" s="1"/>
  <c r="J107" i="3"/>
  <c r="F107" i="3"/>
  <c r="F239" i="1" s="1"/>
  <c r="J108" i="3"/>
  <c r="F108" i="3"/>
  <c r="F240" i="1" s="1"/>
  <c r="J109" i="3"/>
  <c r="F109" i="3"/>
  <c r="F243" i="1" s="1"/>
  <c r="J110" i="3"/>
  <c r="F110" i="3"/>
  <c r="F244" i="1" s="1"/>
  <c r="J111" i="3"/>
  <c r="F111" i="3"/>
  <c r="F246" i="1" s="1"/>
  <c r="J112" i="3"/>
  <c r="F112" i="3"/>
  <c r="F248" i="1" s="1"/>
  <c r="H302" i="4" l="1"/>
  <c r="U341" i="1"/>
  <c r="Y341" i="1" s="1"/>
  <c r="T341" i="1"/>
  <c r="W341" i="1" s="1"/>
  <c r="X341" i="1" s="1"/>
  <c r="P360" i="4"/>
  <c r="Q360" i="4" s="1"/>
  <c r="R360" i="4" s="1"/>
  <c r="P278" i="4"/>
  <c r="K279" i="4"/>
  <c r="K378" i="4"/>
  <c r="P377" i="4"/>
  <c r="Q375" i="4" s="1"/>
  <c r="R375" i="4" s="1"/>
  <c r="P362" i="4"/>
  <c r="Q362" i="4" s="1"/>
  <c r="R362" i="4" s="1"/>
  <c r="K363" i="4"/>
  <c r="Q438" i="1"/>
  <c r="R438" i="1" s="1"/>
  <c r="U438" i="1" s="1"/>
  <c r="Y438" i="1" s="1"/>
  <c r="K371" i="4"/>
  <c r="Q370" i="4"/>
  <c r="R370" i="4" s="1"/>
  <c r="L514" i="4"/>
  <c r="M514" i="4" s="1"/>
  <c r="J514" i="4"/>
  <c r="K514" i="4" s="1"/>
  <c r="L492" i="4"/>
  <c r="M492" i="4" s="1"/>
  <c r="J492" i="4"/>
  <c r="K492" i="4" s="1"/>
  <c r="P494" i="4"/>
  <c r="Q494" i="4" s="1"/>
  <c r="R494" i="4" s="1"/>
  <c r="K495" i="4"/>
  <c r="T303" i="1"/>
  <c r="W303" i="1" s="1"/>
  <c r="X303" i="1" s="1"/>
  <c r="P306" i="1" s="1"/>
  <c r="Q306" i="1" s="1"/>
  <c r="R306" i="1" s="1"/>
  <c r="H490" i="4" s="1"/>
  <c r="U303" i="1"/>
  <c r="Y303" i="1" s="1"/>
  <c r="R456" i="4"/>
  <c r="K459" i="4"/>
  <c r="P458" i="4"/>
  <c r="Q458" i="4" s="1"/>
  <c r="R458" i="4" s="1"/>
  <c r="K393" i="4"/>
  <c r="P392" i="4"/>
  <c r="P389" i="4"/>
  <c r="Q389" i="4" s="1"/>
  <c r="R389" i="4" s="1"/>
  <c r="K390" i="4"/>
  <c r="P491" i="4"/>
  <c r="K652" i="4"/>
  <c r="P651" i="4"/>
  <c r="Q650" i="4" s="1"/>
  <c r="R650" i="4" s="1"/>
  <c r="P397" i="4"/>
  <c r="K398" i="4"/>
  <c r="K645" i="4"/>
  <c r="P644" i="4"/>
  <c r="L605" i="4"/>
  <c r="M605" i="4" s="1"/>
  <c r="J605" i="4"/>
  <c r="K605" i="4" s="1"/>
  <c r="P609" i="4"/>
  <c r="Q609" i="4" s="1"/>
  <c r="R609" i="4" s="1"/>
  <c r="K610" i="4"/>
  <c r="L118" i="3"/>
  <c r="K259" i="1"/>
  <c r="M259" i="1" s="1"/>
  <c r="O259" i="1" s="1"/>
  <c r="P259" i="1" s="1"/>
  <c r="L110" i="3"/>
  <c r="K244" i="1"/>
  <c r="M244" i="1" s="1"/>
  <c r="O244" i="1" s="1"/>
  <c r="P244" i="1" s="1"/>
  <c r="Q244" i="1" s="1"/>
  <c r="R244" i="1" s="1"/>
  <c r="L106" i="3"/>
  <c r="K236" i="1"/>
  <c r="M236" i="1" s="1"/>
  <c r="O236" i="1" s="1"/>
  <c r="P236" i="1" s="1"/>
  <c r="Q236" i="1" s="1"/>
  <c r="R236" i="1" s="1"/>
  <c r="L114" i="3"/>
  <c r="K251" i="1"/>
  <c r="M251" i="1" s="1"/>
  <c r="O251" i="1" s="1"/>
  <c r="P251" i="1" s="1"/>
  <c r="Q251" i="1" s="1"/>
  <c r="R251" i="1" s="1"/>
  <c r="U285" i="1"/>
  <c r="Y285" i="1" s="1"/>
  <c r="T285" i="1"/>
  <c r="W285" i="1" s="1"/>
  <c r="X285" i="1" s="1"/>
  <c r="L108" i="3"/>
  <c r="K240" i="1"/>
  <c r="M240" i="1" s="1"/>
  <c r="O240" i="1" s="1"/>
  <c r="P240" i="1" s="1"/>
  <c r="Q240" i="1" s="1"/>
  <c r="R240" i="1" s="1"/>
  <c r="L116" i="3"/>
  <c r="L105" i="3"/>
  <c r="K234" i="1"/>
  <c r="M234" i="1" s="1"/>
  <c r="O234" i="1" s="1"/>
  <c r="P234" i="1" s="1"/>
  <c r="L112" i="3"/>
  <c r="K248" i="1"/>
  <c r="M248" i="1" s="1"/>
  <c r="O248" i="1" s="1"/>
  <c r="P248" i="1" s="1"/>
  <c r="Q248" i="1" s="1"/>
  <c r="R248" i="1" s="1"/>
  <c r="L120" i="3"/>
  <c r="K264" i="1"/>
  <c r="M264" i="1" s="1"/>
  <c r="O264" i="1" s="1"/>
  <c r="P264" i="1" s="1"/>
  <c r="Q277" i="1"/>
  <c r="R277" i="1" s="1"/>
  <c r="P279" i="1"/>
  <c r="Q279" i="1" s="1"/>
  <c r="R279" i="1" s="1"/>
  <c r="H511" i="4" s="1"/>
  <c r="L111" i="3"/>
  <c r="K246" i="1"/>
  <c r="M246" i="1" s="1"/>
  <c r="O246" i="1" s="1"/>
  <c r="P246" i="1" s="1"/>
  <c r="Q246" i="1" s="1"/>
  <c r="R246" i="1" s="1"/>
  <c r="L107" i="3"/>
  <c r="K239" i="1"/>
  <c r="M239" i="1" s="1"/>
  <c r="O239" i="1" s="1"/>
  <c r="P239" i="1" s="1"/>
  <c r="L119" i="3"/>
  <c r="K261" i="1"/>
  <c r="M261" i="1" s="1"/>
  <c r="O261" i="1" s="1"/>
  <c r="P261" i="1" s="1"/>
  <c r="Q261" i="1" s="1"/>
  <c r="R261" i="1" s="1"/>
  <c r="L115" i="3"/>
  <c r="K252" i="1"/>
  <c r="M252" i="1" s="1"/>
  <c r="O252" i="1" s="1"/>
  <c r="P252" i="1" s="1"/>
  <c r="Q252" i="1" s="1"/>
  <c r="R252" i="1" s="1"/>
  <c r="L109" i="3"/>
  <c r="K243" i="1"/>
  <c r="M243" i="1" s="1"/>
  <c r="O243" i="1" s="1"/>
  <c r="P243" i="1" s="1"/>
  <c r="Q243" i="1" s="1"/>
  <c r="R243" i="1" s="1"/>
  <c r="L113" i="3"/>
  <c r="K249" i="1"/>
  <c r="M249" i="1" s="1"/>
  <c r="O249" i="1" s="1"/>
  <c r="P249" i="1" s="1"/>
  <c r="Q249" i="1" s="1"/>
  <c r="R249" i="1" s="1"/>
  <c r="U667" i="1"/>
  <c r="Y667" i="1" s="1"/>
  <c r="T667" i="1"/>
  <c r="W667" i="1" s="1"/>
  <c r="X667" i="1" s="1"/>
  <c r="L117" i="3"/>
  <c r="K257" i="1"/>
  <c r="M257" i="1" s="1"/>
  <c r="O257" i="1" s="1"/>
  <c r="P257" i="1" s="1"/>
  <c r="J40" i="3"/>
  <c r="F40" i="3"/>
  <c r="F80" i="1" s="1"/>
  <c r="L302" i="4" l="1"/>
  <c r="M302" i="4" s="1"/>
  <c r="J302" i="4"/>
  <c r="K302" i="4" s="1"/>
  <c r="P302" i="4" s="1"/>
  <c r="Q302" i="4" s="1"/>
  <c r="R302" i="4" s="1"/>
  <c r="Q356" i="1"/>
  <c r="R356" i="1" s="1"/>
  <c r="P345" i="1"/>
  <c r="Q345" i="1" s="1"/>
  <c r="R345" i="1" s="1"/>
  <c r="H300" i="4" s="1"/>
  <c r="H358" i="4"/>
  <c r="J358" i="4" s="1"/>
  <c r="K358" i="4" s="1"/>
  <c r="T438" i="1"/>
  <c r="W438" i="1" s="1"/>
  <c r="X438" i="1" s="1"/>
  <c r="K280" i="4"/>
  <c r="P279" i="4"/>
  <c r="Q259" i="1"/>
  <c r="R259" i="1" s="1"/>
  <c r="P260" i="1"/>
  <c r="K515" i="4"/>
  <c r="P514" i="4"/>
  <c r="J490" i="4"/>
  <c r="K490" i="4" s="1"/>
  <c r="L490" i="4"/>
  <c r="M490" i="4" s="1"/>
  <c r="P492" i="4"/>
  <c r="Q492" i="4" s="1"/>
  <c r="R492" i="4" s="1"/>
  <c r="K493" i="4"/>
  <c r="T306" i="1"/>
  <c r="W306" i="1" s="1"/>
  <c r="X306" i="1" s="1"/>
  <c r="P307" i="1" s="1"/>
  <c r="Q307" i="1" s="1"/>
  <c r="R307" i="1" s="1"/>
  <c r="U306" i="1"/>
  <c r="Y306" i="1" s="1"/>
  <c r="K606" i="4"/>
  <c r="F605" i="4"/>
  <c r="P605" i="4"/>
  <c r="K399" i="4"/>
  <c r="P398" i="4"/>
  <c r="K646" i="4"/>
  <c r="P645" i="4"/>
  <c r="L511" i="4"/>
  <c r="M511" i="4" s="1"/>
  <c r="J511" i="4"/>
  <c r="K511" i="4" s="1"/>
  <c r="Q511" i="4" s="1"/>
  <c r="K394" i="4"/>
  <c r="P393" i="4"/>
  <c r="Q391" i="4" s="1"/>
  <c r="R391" i="4" s="1"/>
  <c r="P266" i="1"/>
  <c r="Q266" i="1" s="1"/>
  <c r="R266" i="1" s="1"/>
  <c r="H479" i="4" s="1"/>
  <c r="Q264" i="1"/>
  <c r="R264" i="1" s="1"/>
  <c r="Q239" i="1"/>
  <c r="R239" i="1" s="1"/>
  <c r="P241" i="1"/>
  <c r="Q241" i="1" s="1"/>
  <c r="R241" i="1" s="1"/>
  <c r="H465" i="4" s="1"/>
  <c r="Q234" i="1"/>
  <c r="R234" i="1" s="1"/>
  <c r="P235" i="1"/>
  <c r="Q235" i="1" s="1"/>
  <c r="R235" i="1" s="1"/>
  <c r="H453" i="4" s="1"/>
  <c r="L40" i="3"/>
  <c r="K80" i="1"/>
  <c r="M80" i="1" s="1"/>
  <c r="O80" i="1" s="1"/>
  <c r="P80" i="1" s="1"/>
  <c r="U279" i="1"/>
  <c r="Y279" i="1" s="1"/>
  <c r="T279" i="1"/>
  <c r="W279" i="1" s="1"/>
  <c r="X279" i="1" s="1"/>
  <c r="P281" i="1" s="1"/>
  <c r="Q281" i="1" s="1"/>
  <c r="R281" i="1" s="1"/>
  <c r="H507" i="4" s="1"/>
  <c r="Q257" i="1"/>
  <c r="R257" i="1" s="1"/>
  <c r="P258" i="1"/>
  <c r="Q258" i="1" s="1"/>
  <c r="R258" i="1" s="1"/>
  <c r="H474" i="4" s="1"/>
  <c r="L18" i="3"/>
  <c r="F18" i="3"/>
  <c r="H313" i="4" l="1"/>
  <c r="J300" i="4"/>
  <c r="K300" i="4" s="1"/>
  <c r="L300" i="4"/>
  <c r="M300" i="4" s="1"/>
  <c r="T356" i="1"/>
  <c r="W356" i="1" s="1"/>
  <c r="X356" i="1" s="1"/>
  <c r="Q357" i="1" s="1"/>
  <c r="U356" i="1"/>
  <c r="Y356" i="1" s="1"/>
  <c r="U345" i="1"/>
  <c r="Y345" i="1" s="1"/>
  <c r="T345" i="1"/>
  <c r="W345" i="1" s="1"/>
  <c r="X345" i="1" s="1"/>
  <c r="P347" i="1" s="1"/>
  <c r="Q347" i="1" s="1"/>
  <c r="R347" i="1" s="1"/>
  <c r="H298" i="4" s="1"/>
  <c r="L358" i="4"/>
  <c r="M358" i="4" s="1"/>
  <c r="P280" i="4"/>
  <c r="K281" i="4"/>
  <c r="K282" i="4" s="1"/>
  <c r="P282" i="4" s="1"/>
  <c r="P358" i="4"/>
  <c r="Q358" i="4" s="1"/>
  <c r="K359" i="4"/>
  <c r="K516" i="4"/>
  <c r="P515" i="4"/>
  <c r="P490" i="4"/>
  <c r="Q490" i="4" s="1"/>
  <c r="R490" i="4" s="1"/>
  <c r="K491" i="4"/>
  <c r="H488" i="4"/>
  <c r="T307" i="1"/>
  <c r="W307" i="1" s="1"/>
  <c r="X307" i="1" s="1"/>
  <c r="U307" i="1"/>
  <c r="Y307" i="1" s="1"/>
  <c r="R511" i="4"/>
  <c r="K400" i="4"/>
  <c r="P399" i="4"/>
  <c r="Q395" i="4" s="1"/>
  <c r="R395" i="4" s="1"/>
  <c r="J479" i="4"/>
  <c r="K479" i="4" s="1"/>
  <c r="Q479" i="4" s="1"/>
  <c r="L479" i="4"/>
  <c r="M479" i="4" s="1"/>
  <c r="L453" i="4"/>
  <c r="M453" i="4" s="1"/>
  <c r="R453" i="4" s="1"/>
  <c r="J453" i="4"/>
  <c r="K453" i="4" s="1"/>
  <c r="L474" i="4"/>
  <c r="M474" i="4" s="1"/>
  <c r="J474" i="4"/>
  <c r="K474" i="4" s="1"/>
  <c r="Q474" i="4" s="1"/>
  <c r="J465" i="4"/>
  <c r="K465" i="4" s="1"/>
  <c r="L465" i="4"/>
  <c r="M465" i="4" s="1"/>
  <c r="R465" i="4" s="1"/>
  <c r="P646" i="4"/>
  <c r="Q643" i="4" s="1"/>
  <c r="R643" i="4" s="1"/>
  <c r="T643" i="4" s="1"/>
  <c r="S643" i="4" s="1"/>
  <c r="K647" i="4"/>
  <c r="L507" i="4"/>
  <c r="M507" i="4" s="1"/>
  <c r="J507" i="4"/>
  <c r="K507" i="4" s="1"/>
  <c r="K607" i="4"/>
  <c r="P606" i="4"/>
  <c r="U281" i="1"/>
  <c r="Y281" i="1" s="1"/>
  <c r="T281" i="1"/>
  <c r="W281" i="1" s="1"/>
  <c r="X281" i="1" s="1"/>
  <c r="P286" i="1" s="1"/>
  <c r="Q286" i="1" s="1"/>
  <c r="R286" i="1" s="1"/>
  <c r="H505" i="4" s="1"/>
  <c r="U241" i="1"/>
  <c r="Y241" i="1" s="1"/>
  <c r="T241" i="1"/>
  <c r="W241" i="1" s="1"/>
  <c r="X241" i="1" s="1"/>
  <c r="U235" i="1"/>
  <c r="Y235" i="1" s="1"/>
  <c r="T235" i="1"/>
  <c r="W235" i="1" s="1"/>
  <c r="X235" i="1" s="1"/>
  <c r="P237" i="1" s="1"/>
  <c r="Q237" i="1" s="1"/>
  <c r="R237" i="1" s="1"/>
  <c r="H450" i="4" s="1"/>
  <c r="Q80" i="1"/>
  <c r="R80" i="1" s="1"/>
  <c r="P81" i="1"/>
  <c r="Q81" i="1" s="1"/>
  <c r="R81" i="1" s="1"/>
  <c r="U266" i="1"/>
  <c r="Y266" i="1" s="1"/>
  <c r="T266" i="1"/>
  <c r="W266" i="1" s="1"/>
  <c r="X266" i="1" s="1"/>
  <c r="P267" i="1" s="1"/>
  <c r="U258" i="1"/>
  <c r="Y258" i="1" s="1"/>
  <c r="T258" i="1"/>
  <c r="W258" i="1" s="1"/>
  <c r="X258" i="1" s="1"/>
  <c r="X14" i="4"/>
  <c r="U14" i="4"/>
  <c r="I14" i="4"/>
  <c r="G14" i="4"/>
  <c r="X11" i="4"/>
  <c r="U11" i="4"/>
  <c r="I11" i="4"/>
  <c r="G11" i="4"/>
  <c r="E11" i="4"/>
  <c r="N228" i="1"/>
  <c r="L228" i="1"/>
  <c r="I228" i="1"/>
  <c r="J229" i="1" s="1"/>
  <c r="G228" i="1"/>
  <c r="H229" i="1" s="1"/>
  <c r="D228" i="1"/>
  <c r="E229" i="1" s="1"/>
  <c r="J104" i="3"/>
  <c r="L104" i="3" s="1"/>
  <c r="F104" i="3"/>
  <c r="F228" i="1" s="1"/>
  <c r="J298" i="4" l="1"/>
  <c r="K298" i="4" s="1"/>
  <c r="L298" i="4"/>
  <c r="M298" i="4" s="1"/>
  <c r="K301" i="4"/>
  <c r="P301" i="4" s="1"/>
  <c r="P300" i="4"/>
  <c r="J313" i="4"/>
  <c r="K313" i="4" s="1"/>
  <c r="Q313" i="4" s="1"/>
  <c r="L313" i="4"/>
  <c r="M313" i="4" s="1"/>
  <c r="R313" i="4" s="1"/>
  <c r="R358" i="4"/>
  <c r="T347" i="1"/>
  <c r="W347" i="1" s="1"/>
  <c r="X347" i="1" s="1"/>
  <c r="U347" i="1"/>
  <c r="Y347" i="1" s="1"/>
  <c r="P281" i="4"/>
  <c r="K283" i="4"/>
  <c r="K284" i="4" s="1"/>
  <c r="P284" i="4" s="1"/>
  <c r="R479" i="4"/>
  <c r="Q260" i="1"/>
  <c r="R260" i="1" s="1"/>
  <c r="H477" i="4"/>
  <c r="P516" i="4"/>
  <c r="K517" i="4"/>
  <c r="L488" i="4"/>
  <c r="M488" i="4" s="1"/>
  <c r="J488" i="4"/>
  <c r="K488" i="4" s="1"/>
  <c r="P488" i="4" s="1"/>
  <c r="R474" i="4"/>
  <c r="K228" i="1"/>
  <c r="M228" i="1" s="1"/>
  <c r="O228" i="1" s="1"/>
  <c r="P228" i="1" s="1"/>
  <c r="L505" i="4"/>
  <c r="M505" i="4" s="1"/>
  <c r="J505" i="4"/>
  <c r="K505" i="4" s="1"/>
  <c r="K508" i="4"/>
  <c r="P507" i="4"/>
  <c r="K608" i="4"/>
  <c r="P607" i="4"/>
  <c r="Q605" i="4" s="1"/>
  <c r="R605" i="4" s="1"/>
  <c r="T605" i="4" s="1"/>
  <c r="S605" i="4" s="1"/>
  <c r="J450" i="4"/>
  <c r="K450" i="4" s="1"/>
  <c r="L450" i="4"/>
  <c r="M450" i="4" s="1"/>
  <c r="F674" i="4"/>
  <c r="T674" i="4" s="1"/>
  <c r="S674" i="4" s="1"/>
  <c r="V674" i="4" s="1"/>
  <c r="E674" i="4"/>
  <c r="V643" i="4"/>
  <c r="F648" i="4"/>
  <c r="T648" i="4" s="1"/>
  <c r="S648" i="4" s="1"/>
  <c r="E648" i="4"/>
  <c r="T237" i="1"/>
  <c r="W237" i="1" s="1"/>
  <c r="X237" i="1" s="1"/>
  <c r="P242" i="1" s="1"/>
  <c r="Q242" i="1" s="1"/>
  <c r="R242" i="1" s="1"/>
  <c r="H448" i="4" s="1"/>
  <c r="U237" i="1"/>
  <c r="Y237" i="1" s="1"/>
  <c r="U81" i="1"/>
  <c r="Y81" i="1" s="1"/>
  <c r="T81" i="1"/>
  <c r="W81" i="1" s="1"/>
  <c r="X81" i="1" s="1"/>
  <c r="T286" i="1"/>
  <c r="W286" i="1" s="1"/>
  <c r="X286" i="1" s="1"/>
  <c r="P289" i="1" s="1"/>
  <c r="Q289" i="1" s="1"/>
  <c r="R289" i="1" s="1"/>
  <c r="H503" i="4" s="1"/>
  <c r="U286" i="1"/>
  <c r="Y286" i="1" s="1"/>
  <c r="X24" i="4"/>
  <c r="U24" i="4"/>
  <c r="I24" i="4"/>
  <c r="G24" i="4"/>
  <c r="Q300" i="4" l="1"/>
  <c r="R300" i="4" s="1"/>
  <c r="P298" i="4"/>
  <c r="Q298" i="4" s="1"/>
  <c r="R298" i="4" s="1"/>
  <c r="K299" i="4"/>
  <c r="K285" i="4"/>
  <c r="P283" i="4"/>
  <c r="Q278" i="4" s="1"/>
  <c r="R278" i="4" s="1"/>
  <c r="U260" i="1"/>
  <c r="Y260" i="1" s="1"/>
  <c r="T260" i="1"/>
  <c r="W260" i="1" s="1"/>
  <c r="X260" i="1" s="1"/>
  <c r="P262" i="1" s="1"/>
  <c r="Q262" i="1" s="1"/>
  <c r="R262" i="1" s="1"/>
  <c r="Q369" i="1"/>
  <c r="R369" i="1" s="1"/>
  <c r="L477" i="4"/>
  <c r="M477" i="4" s="1"/>
  <c r="R477" i="4" s="1"/>
  <c r="J477" i="4"/>
  <c r="K477" i="4" s="1"/>
  <c r="K478" i="4" s="1"/>
  <c r="Q267" i="1"/>
  <c r="R267" i="1" s="1"/>
  <c r="L503" i="4"/>
  <c r="M503" i="4" s="1"/>
  <c r="J503" i="4"/>
  <c r="K503" i="4" s="1"/>
  <c r="K518" i="4"/>
  <c r="P517" i="4"/>
  <c r="Q514" i="4" s="1"/>
  <c r="R514" i="4" s="1"/>
  <c r="Q488" i="4"/>
  <c r="R488" i="4" s="1"/>
  <c r="K489" i="4"/>
  <c r="F671" i="4"/>
  <c r="T671" i="4" s="1"/>
  <c r="S671" i="4" s="1"/>
  <c r="V671" i="4" s="1"/>
  <c r="E671" i="4"/>
  <c r="E609" i="4"/>
  <c r="V605" i="4"/>
  <c r="F609" i="4"/>
  <c r="T609" i="4" s="1"/>
  <c r="S609" i="4" s="1"/>
  <c r="L448" i="4"/>
  <c r="M448" i="4" s="1"/>
  <c r="J448" i="4"/>
  <c r="K448" i="4" s="1"/>
  <c r="K509" i="4"/>
  <c r="P508" i="4"/>
  <c r="F678" i="4"/>
  <c r="T678" i="4" s="1"/>
  <c r="S678" i="4" s="1"/>
  <c r="V678" i="4" s="1"/>
  <c r="E678" i="4"/>
  <c r="V648" i="4"/>
  <c r="F650" i="4"/>
  <c r="T650" i="4" s="1"/>
  <c r="S650" i="4" s="1"/>
  <c r="E650" i="4"/>
  <c r="P505" i="4"/>
  <c r="Q505" i="4" s="1"/>
  <c r="R505" i="4" s="1"/>
  <c r="K506" i="4"/>
  <c r="K451" i="4"/>
  <c r="P450" i="4"/>
  <c r="U242" i="1"/>
  <c r="Y242" i="1" s="1"/>
  <c r="T242" i="1"/>
  <c r="W242" i="1" s="1"/>
  <c r="X242" i="1" s="1"/>
  <c r="P245" i="1" s="1"/>
  <c r="Q245" i="1" s="1"/>
  <c r="R245" i="1" s="1"/>
  <c r="H446" i="4" s="1"/>
  <c r="U289" i="1"/>
  <c r="Y289" i="1" s="1"/>
  <c r="T289" i="1"/>
  <c r="W289" i="1" s="1"/>
  <c r="X289" i="1" s="1"/>
  <c r="P291" i="1" s="1"/>
  <c r="Q291" i="1" s="1"/>
  <c r="R291" i="1" s="1"/>
  <c r="H501" i="4" s="1"/>
  <c r="Q228" i="1"/>
  <c r="R228" i="1" s="1"/>
  <c r="P229" i="1"/>
  <c r="Q229" i="1" s="1"/>
  <c r="R229" i="1" s="1"/>
  <c r="H247" i="4" s="1"/>
  <c r="X239" i="4"/>
  <c r="U239" i="4"/>
  <c r="I239" i="4"/>
  <c r="G239" i="4"/>
  <c r="X242" i="4"/>
  <c r="U242" i="4"/>
  <c r="I242" i="4"/>
  <c r="G242" i="4"/>
  <c r="X236" i="4"/>
  <c r="U236" i="4"/>
  <c r="I236" i="4"/>
  <c r="G236" i="4"/>
  <c r="X233" i="4"/>
  <c r="U233" i="4"/>
  <c r="I233" i="4"/>
  <c r="G233" i="4"/>
  <c r="X228" i="4"/>
  <c r="U228" i="4"/>
  <c r="I228" i="4"/>
  <c r="G228" i="4"/>
  <c r="X226" i="4"/>
  <c r="U226" i="4"/>
  <c r="I226" i="4"/>
  <c r="G226" i="4"/>
  <c r="X222" i="4"/>
  <c r="U222" i="4"/>
  <c r="I222" i="4"/>
  <c r="G222" i="4"/>
  <c r="N218" i="1"/>
  <c r="L218" i="1"/>
  <c r="I218" i="1"/>
  <c r="G218" i="1"/>
  <c r="D218" i="1"/>
  <c r="N215" i="1"/>
  <c r="L215" i="1"/>
  <c r="I215" i="1"/>
  <c r="G215" i="1"/>
  <c r="D215" i="1"/>
  <c r="N213" i="1"/>
  <c r="L213" i="1"/>
  <c r="I213" i="1"/>
  <c r="G213" i="1"/>
  <c r="D213" i="1"/>
  <c r="N212" i="1"/>
  <c r="L212" i="1"/>
  <c r="I212" i="1"/>
  <c r="G212" i="1"/>
  <c r="D212" i="1"/>
  <c r="N208" i="1"/>
  <c r="L208" i="1"/>
  <c r="I208" i="1"/>
  <c r="J209" i="1" s="1"/>
  <c r="G208" i="1"/>
  <c r="H209" i="1" s="1"/>
  <c r="D208" i="1"/>
  <c r="E209" i="1" s="1"/>
  <c r="N205" i="1"/>
  <c r="L205" i="1"/>
  <c r="I205" i="1"/>
  <c r="G205" i="1"/>
  <c r="D205" i="1"/>
  <c r="N204" i="1"/>
  <c r="L204" i="1"/>
  <c r="I204" i="1"/>
  <c r="G204" i="1"/>
  <c r="D204" i="1"/>
  <c r="H327" i="4" l="1"/>
  <c r="H472" i="4"/>
  <c r="T262" i="1"/>
  <c r="W262" i="1" s="1"/>
  <c r="X262" i="1" s="1"/>
  <c r="U262" i="1"/>
  <c r="Y262" i="1" s="1"/>
  <c r="T369" i="1"/>
  <c r="W369" i="1" s="1"/>
  <c r="X369" i="1" s="1"/>
  <c r="U369" i="1"/>
  <c r="Y369" i="1" s="1"/>
  <c r="H470" i="4"/>
  <c r="U267" i="1"/>
  <c r="Y267" i="1" s="1"/>
  <c r="T267" i="1"/>
  <c r="W267" i="1" s="1"/>
  <c r="X267" i="1" s="1"/>
  <c r="K504" i="4"/>
  <c r="P503" i="4"/>
  <c r="Q503" i="4" s="1"/>
  <c r="R503" i="4" s="1"/>
  <c r="F653" i="4"/>
  <c r="T653" i="4" s="1"/>
  <c r="S653" i="4" s="1"/>
  <c r="V650" i="4"/>
  <c r="E653" i="4"/>
  <c r="V609" i="4"/>
  <c r="F611" i="4"/>
  <c r="T611" i="4" s="1"/>
  <c r="S611" i="4" s="1"/>
  <c r="E611" i="4"/>
  <c r="J501" i="4"/>
  <c r="K501" i="4" s="1"/>
  <c r="P501" i="4" s="1"/>
  <c r="L501" i="4"/>
  <c r="M501" i="4" s="1"/>
  <c r="L446" i="4"/>
  <c r="M446" i="4" s="1"/>
  <c r="J446" i="4"/>
  <c r="K446" i="4" s="1"/>
  <c r="K510" i="4"/>
  <c r="P509" i="4"/>
  <c r="Q507" i="4" s="1"/>
  <c r="R507" i="4" s="1"/>
  <c r="K449" i="4"/>
  <c r="P448" i="4"/>
  <c r="Q448" i="4" s="1"/>
  <c r="R448" i="4" s="1"/>
  <c r="K452" i="4"/>
  <c r="P451" i="4"/>
  <c r="Q450" i="4" s="1"/>
  <c r="R450" i="4" s="1"/>
  <c r="T291" i="1"/>
  <c r="W291" i="1" s="1"/>
  <c r="X291" i="1" s="1"/>
  <c r="P292" i="1" s="1"/>
  <c r="Q292" i="1" s="1"/>
  <c r="R292" i="1" s="1"/>
  <c r="U291" i="1"/>
  <c r="Y291" i="1" s="1"/>
  <c r="U245" i="1"/>
  <c r="Y245" i="1" s="1"/>
  <c r="T245" i="1"/>
  <c r="W245" i="1" s="1"/>
  <c r="X245" i="1" s="1"/>
  <c r="P247" i="1" s="1"/>
  <c r="Q247" i="1" s="1"/>
  <c r="R247" i="1" s="1"/>
  <c r="H444" i="4" s="1"/>
  <c r="L247" i="4"/>
  <c r="M247" i="4" s="1"/>
  <c r="J247" i="4"/>
  <c r="K247" i="4" s="1"/>
  <c r="Q247" i="4" s="1"/>
  <c r="U229" i="1"/>
  <c r="Y229" i="1" s="1"/>
  <c r="T229" i="1"/>
  <c r="W229" i="1" s="1"/>
  <c r="X229" i="1" s="1"/>
  <c r="E214" i="1"/>
  <c r="E216" i="1" s="1"/>
  <c r="H214" i="1"/>
  <c r="H216" i="1" s="1"/>
  <c r="J214" i="1"/>
  <c r="J216" i="1" s="1"/>
  <c r="J206" i="1"/>
  <c r="J210" i="1" s="1"/>
  <c r="E206" i="1"/>
  <c r="E210" i="1" s="1"/>
  <c r="H206" i="1"/>
  <c r="H210" i="1" s="1"/>
  <c r="J95" i="3"/>
  <c r="F95" i="3"/>
  <c r="F205" i="1" s="1"/>
  <c r="J96" i="3"/>
  <c r="F96" i="3"/>
  <c r="F208" i="1" s="1"/>
  <c r="J97" i="3"/>
  <c r="F97" i="3"/>
  <c r="F212" i="1" s="1"/>
  <c r="J98" i="3"/>
  <c r="F98" i="3"/>
  <c r="F213" i="1" s="1"/>
  <c r="J99" i="3"/>
  <c r="F99" i="3"/>
  <c r="F215" i="1" s="1"/>
  <c r="J100" i="3"/>
  <c r="F100" i="3"/>
  <c r="F218" i="1" s="1"/>
  <c r="X204" i="4"/>
  <c r="U204" i="4"/>
  <c r="I204" i="4"/>
  <c r="G204" i="4"/>
  <c r="X202" i="4"/>
  <c r="U202" i="4"/>
  <c r="I202" i="4"/>
  <c r="G202" i="4"/>
  <c r="X199" i="4"/>
  <c r="U199" i="4"/>
  <c r="I199" i="4"/>
  <c r="G199" i="4"/>
  <c r="X197" i="4"/>
  <c r="U197" i="4"/>
  <c r="I197" i="4"/>
  <c r="G197" i="4"/>
  <c r="X190" i="4"/>
  <c r="U190" i="4"/>
  <c r="I190" i="4"/>
  <c r="G190" i="4"/>
  <c r="X184" i="4"/>
  <c r="U184" i="4"/>
  <c r="I184" i="4"/>
  <c r="G184" i="4"/>
  <c r="X181" i="4"/>
  <c r="U181" i="4"/>
  <c r="I181" i="4"/>
  <c r="G181" i="4"/>
  <c r="G210" i="4"/>
  <c r="I210" i="4"/>
  <c r="U210" i="4"/>
  <c r="X210" i="4"/>
  <c r="G212" i="4"/>
  <c r="I212" i="4"/>
  <c r="U212" i="4"/>
  <c r="X212" i="4"/>
  <c r="G214" i="4"/>
  <c r="I214" i="4"/>
  <c r="U214" i="4"/>
  <c r="X214" i="4"/>
  <c r="G216" i="4"/>
  <c r="I216" i="4"/>
  <c r="Q216" i="4"/>
  <c r="U216" i="4"/>
  <c r="X216" i="4"/>
  <c r="G219" i="4"/>
  <c r="I219" i="4"/>
  <c r="Q219" i="4"/>
  <c r="U219" i="4"/>
  <c r="X219" i="4"/>
  <c r="G207" i="4"/>
  <c r="I207" i="4"/>
  <c r="Q207" i="4"/>
  <c r="U207" i="4"/>
  <c r="X207" i="4"/>
  <c r="G193" i="4"/>
  <c r="I193" i="4"/>
  <c r="Q193" i="4"/>
  <c r="U193" i="4"/>
  <c r="X193" i="4"/>
  <c r="G187" i="4"/>
  <c r="I187" i="4"/>
  <c r="Q187" i="4"/>
  <c r="U187" i="4"/>
  <c r="X187" i="4"/>
  <c r="G164" i="4"/>
  <c r="I164" i="4"/>
  <c r="Q164" i="4"/>
  <c r="U164" i="4"/>
  <c r="X164" i="4"/>
  <c r="G167" i="4"/>
  <c r="I167" i="4"/>
  <c r="U167" i="4"/>
  <c r="X167" i="4"/>
  <c r="G169" i="4"/>
  <c r="I169" i="4"/>
  <c r="U169" i="4"/>
  <c r="X169" i="4"/>
  <c r="G171" i="4"/>
  <c r="I171" i="4"/>
  <c r="U171" i="4"/>
  <c r="X171" i="4"/>
  <c r="G173" i="4"/>
  <c r="I173" i="4"/>
  <c r="U173" i="4"/>
  <c r="X173" i="4"/>
  <c r="G175" i="4"/>
  <c r="I175" i="4"/>
  <c r="U175" i="4"/>
  <c r="X175" i="4"/>
  <c r="G178" i="4"/>
  <c r="I178" i="4"/>
  <c r="Q178" i="4"/>
  <c r="U178" i="4"/>
  <c r="X178" i="4"/>
  <c r="G159" i="4"/>
  <c r="I159" i="4"/>
  <c r="U159" i="4"/>
  <c r="X159" i="4"/>
  <c r="G161" i="4"/>
  <c r="I161" i="4"/>
  <c r="U161" i="4"/>
  <c r="X161" i="4"/>
  <c r="G156" i="4"/>
  <c r="I156" i="4"/>
  <c r="Q156" i="4"/>
  <c r="U156" i="4"/>
  <c r="X156" i="4"/>
  <c r="G153" i="4"/>
  <c r="I153" i="4"/>
  <c r="Q153" i="4"/>
  <c r="U153" i="4"/>
  <c r="X153" i="4"/>
  <c r="G143" i="4"/>
  <c r="I143" i="4"/>
  <c r="U143" i="4"/>
  <c r="X143" i="4"/>
  <c r="G147" i="4"/>
  <c r="I147" i="4"/>
  <c r="Q147" i="4"/>
  <c r="U147" i="4"/>
  <c r="X147" i="4"/>
  <c r="G150" i="4"/>
  <c r="I150" i="4"/>
  <c r="Q150" i="4"/>
  <c r="U150" i="4"/>
  <c r="X150" i="4"/>
  <c r="G140" i="4"/>
  <c r="I140" i="4"/>
  <c r="Q140" i="4"/>
  <c r="U140" i="4"/>
  <c r="X140" i="4"/>
  <c r="G132" i="4"/>
  <c r="I132" i="4"/>
  <c r="U132" i="4"/>
  <c r="X132" i="4"/>
  <c r="G134" i="4"/>
  <c r="I134" i="4"/>
  <c r="U134" i="4"/>
  <c r="X134" i="4"/>
  <c r="G136" i="4"/>
  <c r="I136" i="4"/>
  <c r="U136" i="4"/>
  <c r="X136" i="4"/>
  <c r="G105" i="4"/>
  <c r="I105" i="4"/>
  <c r="U105" i="4"/>
  <c r="X105" i="4"/>
  <c r="G107" i="4"/>
  <c r="I107" i="4"/>
  <c r="U107" i="4"/>
  <c r="X107" i="4"/>
  <c r="G109" i="4"/>
  <c r="I109" i="4"/>
  <c r="U109" i="4"/>
  <c r="X109" i="4"/>
  <c r="G111" i="4"/>
  <c r="I111" i="4"/>
  <c r="U111" i="4"/>
  <c r="X111" i="4"/>
  <c r="G113" i="4"/>
  <c r="I113" i="4"/>
  <c r="U113" i="4"/>
  <c r="X113" i="4"/>
  <c r="G115" i="4"/>
  <c r="I115" i="4"/>
  <c r="U115" i="4"/>
  <c r="X115" i="4"/>
  <c r="G117" i="4"/>
  <c r="I117" i="4"/>
  <c r="U117" i="4"/>
  <c r="X117" i="4"/>
  <c r="G129" i="4"/>
  <c r="I129" i="4"/>
  <c r="Q129" i="4"/>
  <c r="U129" i="4"/>
  <c r="X129" i="4"/>
  <c r="G126" i="4"/>
  <c r="I126" i="4"/>
  <c r="Q126" i="4"/>
  <c r="U126" i="4"/>
  <c r="X126" i="4"/>
  <c r="G123" i="4"/>
  <c r="I123" i="4"/>
  <c r="Q123" i="4"/>
  <c r="U123" i="4"/>
  <c r="X123" i="4"/>
  <c r="G120" i="4"/>
  <c r="I120" i="4"/>
  <c r="Q120" i="4"/>
  <c r="U120" i="4"/>
  <c r="X120" i="4"/>
  <c r="G97" i="4"/>
  <c r="I97" i="4"/>
  <c r="U97" i="4"/>
  <c r="X97" i="4"/>
  <c r="G99" i="4"/>
  <c r="I99" i="4"/>
  <c r="Q99" i="4"/>
  <c r="U99" i="4"/>
  <c r="X99" i="4"/>
  <c r="G102" i="4"/>
  <c r="I102" i="4"/>
  <c r="Q102" i="4"/>
  <c r="U102" i="4"/>
  <c r="X102" i="4"/>
  <c r="G94" i="4"/>
  <c r="I94" i="4"/>
  <c r="Q94" i="4"/>
  <c r="U94" i="4"/>
  <c r="X94" i="4"/>
  <c r="G91" i="4"/>
  <c r="I91" i="4"/>
  <c r="U91" i="4"/>
  <c r="X91" i="4"/>
  <c r="G83" i="4"/>
  <c r="I83" i="4"/>
  <c r="U83" i="4"/>
  <c r="X83" i="4"/>
  <c r="G86" i="4"/>
  <c r="I86" i="4"/>
  <c r="U86" i="4"/>
  <c r="X86" i="4"/>
  <c r="N141" i="1"/>
  <c r="L141" i="1"/>
  <c r="I141" i="1"/>
  <c r="G141" i="1"/>
  <c r="D141" i="1"/>
  <c r="N172" i="1"/>
  <c r="L172" i="1"/>
  <c r="I172" i="1"/>
  <c r="G172" i="1"/>
  <c r="D172" i="1"/>
  <c r="N150" i="1"/>
  <c r="L150" i="1"/>
  <c r="I150" i="1"/>
  <c r="G150" i="1"/>
  <c r="D150" i="1"/>
  <c r="J81" i="3"/>
  <c r="L81" i="3" s="1"/>
  <c r="F81" i="3"/>
  <c r="F172" i="1" s="1"/>
  <c r="P371" i="1" l="1"/>
  <c r="Q371" i="1" s="1"/>
  <c r="R371" i="1" s="1"/>
  <c r="L327" i="4"/>
  <c r="M327" i="4" s="1"/>
  <c r="J327" i="4"/>
  <c r="K327" i="4" s="1"/>
  <c r="J472" i="4"/>
  <c r="K472" i="4" s="1"/>
  <c r="L472" i="4"/>
  <c r="M472" i="4" s="1"/>
  <c r="J470" i="4"/>
  <c r="K470" i="4" s="1"/>
  <c r="L470" i="4"/>
  <c r="M470" i="4" s="1"/>
  <c r="H499" i="4"/>
  <c r="J444" i="4"/>
  <c r="K444" i="4" s="1"/>
  <c r="L444" i="4"/>
  <c r="M444" i="4" s="1"/>
  <c r="K447" i="4"/>
  <c r="P446" i="4"/>
  <c r="Q446" i="4" s="1"/>
  <c r="R446" i="4" s="1"/>
  <c r="V653" i="4"/>
  <c r="F655" i="4"/>
  <c r="T655" i="4" s="1"/>
  <c r="S655" i="4" s="1"/>
  <c r="E655" i="4"/>
  <c r="E613" i="4"/>
  <c r="V611" i="4"/>
  <c r="F613" i="4"/>
  <c r="T613" i="4" s="1"/>
  <c r="S613" i="4" s="1"/>
  <c r="Q501" i="4"/>
  <c r="R501" i="4" s="1"/>
  <c r="K502" i="4"/>
  <c r="U247" i="1"/>
  <c r="Y247" i="1" s="1"/>
  <c r="T247" i="1"/>
  <c r="W247" i="1" s="1"/>
  <c r="X247" i="1" s="1"/>
  <c r="P250" i="1" s="1"/>
  <c r="Q250" i="1" s="1"/>
  <c r="R250" i="1" s="1"/>
  <c r="H442" i="4" s="1"/>
  <c r="U292" i="1"/>
  <c r="Y292" i="1" s="1"/>
  <c r="T292" i="1"/>
  <c r="W292" i="1" s="1"/>
  <c r="X292" i="1" s="1"/>
  <c r="R247" i="4"/>
  <c r="K172" i="1"/>
  <c r="M172" i="1" s="1"/>
  <c r="O172" i="1" s="1"/>
  <c r="P172" i="1" s="1"/>
  <c r="Q172" i="1" s="1"/>
  <c r="R172" i="1" s="1"/>
  <c r="L97" i="3"/>
  <c r="K212" i="1"/>
  <c r="M212" i="1" s="1"/>
  <c r="O212" i="1" s="1"/>
  <c r="P212" i="1" s="1"/>
  <c r="Q212" i="1" s="1"/>
  <c r="R212" i="1" s="1"/>
  <c r="L100" i="3"/>
  <c r="K218" i="1"/>
  <c r="M218" i="1" s="1"/>
  <c r="O218" i="1" s="1"/>
  <c r="P218" i="1" s="1"/>
  <c r="Q218" i="1" s="1"/>
  <c r="R218" i="1" s="1"/>
  <c r="L98" i="3"/>
  <c r="K213" i="1"/>
  <c r="M213" i="1" s="1"/>
  <c r="O213" i="1" s="1"/>
  <c r="P213" i="1" s="1"/>
  <c r="P214" i="1" s="1"/>
  <c r="Q214" i="1" s="1"/>
  <c r="R214" i="1" s="1"/>
  <c r="H242" i="4" s="1"/>
  <c r="E217" i="1"/>
  <c r="E219" i="1" s="1"/>
  <c r="L95" i="3"/>
  <c r="K205" i="1"/>
  <c r="M205" i="1" s="1"/>
  <c r="O205" i="1" s="1"/>
  <c r="P205" i="1" s="1"/>
  <c r="Q205" i="1" s="1"/>
  <c r="R205" i="1" s="1"/>
  <c r="L96" i="3"/>
  <c r="K208" i="1"/>
  <c r="M208" i="1" s="1"/>
  <c r="O208" i="1" s="1"/>
  <c r="P208" i="1" s="1"/>
  <c r="P209" i="1" s="1"/>
  <c r="Q209" i="1" s="1"/>
  <c r="R209" i="1" s="1"/>
  <c r="H233" i="4" s="1"/>
  <c r="L99" i="3"/>
  <c r="K215" i="1"/>
  <c r="M215" i="1" s="1"/>
  <c r="O215" i="1" s="1"/>
  <c r="P215" i="1" s="1"/>
  <c r="Q215" i="1" s="1"/>
  <c r="R215" i="1" s="1"/>
  <c r="J217" i="1"/>
  <c r="J219" i="1" s="1"/>
  <c r="H217" i="1"/>
  <c r="H219" i="1" s="1"/>
  <c r="J69" i="3"/>
  <c r="F69" i="3"/>
  <c r="F150" i="1" s="1"/>
  <c r="J64" i="3"/>
  <c r="F64" i="3"/>
  <c r="F141" i="1" s="1"/>
  <c r="H325" i="4" l="1"/>
  <c r="U371" i="1"/>
  <c r="Y371" i="1" s="1"/>
  <c r="T371" i="1"/>
  <c r="W371" i="1" s="1"/>
  <c r="X371" i="1" s="1"/>
  <c r="Q380" i="1" s="1"/>
  <c r="R380" i="1" s="1"/>
  <c r="K328" i="4"/>
  <c r="P472" i="4"/>
  <c r="Q472" i="4" s="1"/>
  <c r="R472" i="4" s="1"/>
  <c r="K473" i="4"/>
  <c r="P470" i="4"/>
  <c r="Q470" i="4" s="1"/>
  <c r="R470" i="4" s="1"/>
  <c r="K471" i="4"/>
  <c r="P296" i="1"/>
  <c r="Q296" i="1" s="1"/>
  <c r="R296" i="1" s="1"/>
  <c r="H497" i="4" s="1"/>
  <c r="L497" i="4" s="1"/>
  <c r="M497" i="4" s="1"/>
  <c r="L499" i="4"/>
  <c r="M499" i="4" s="1"/>
  <c r="J499" i="4"/>
  <c r="K499" i="4" s="1"/>
  <c r="Q499" i="4" s="1"/>
  <c r="V655" i="4"/>
  <c r="F658" i="4"/>
  <c r="T658" i="4" s="1"/>
  <c r="S658" i="4" s="1"/>
  <c r="E658" i="4"/>
  <c r="J442" i="4"/>
  <c r="K442" i="4" s="1"/>
  <c r="L442" i="4"/>
  <c r="M442" i="4" s="1"/>
  <c r="V613" i="4"/>
  <c r="F615" i="4"/>
  <c r="T615" i="4" s="1"/>
  <c r="S615" i="4" s="1"/>
  <c r="E615" i="4"/>
  <c r="K445" i="4"/>
  <c r="P444" i="4"/>
  <c r="Q444" i="4" s="1"/>
  <c r="R444" i="4" s="1"/>
  <c r="U250" i="1"/>
  <c r="Y250" i="1" s="1"/>
  <c r="T250" i="1"/>
  <c r="W250" i="1" s="1"/>
  <c r="X250" i="1" s="1"/>
  <c r="P253" i="1" s="1"/>
  <c r="Q253" i="1" s="1"/>
  <c r="R253" i="1" s="1"/>
  <c r="H440" i="4" s="1"/>
  <c r="Q213" i="1"/>
  <c r="R213" i="1" s="1"/>
  <c r="L69" i="3"/>
  <c r="K150" i="1"/>
  <c r="M150" i="1" s="1"/>
  <c r="O150" i="1" s="1"/>
  <c r="P150" i="1" s="1"/>
  <c r="P151" i="1" s="1"/>
  <c r="L64" i="3"/>
  <c r="K141" i="1"/>
  <c r="M141" i="1" s="1"/>
  <c r="O141" i="1" s="1"/>
  <c r="P141" i="1" s="1"/>
  <c r="Q141" i="1" s="1"/>
  <c r="R141" i="1" s="1"/>
  <c r="P206" i="1"/>
  <c r="Q206" i="1" s="1"/>
  <c r="R206" i="1" s="1"/>
  <c r="H236" i="4" s="1"/>
  <c r="L236" i="4" s="1"/>
  <c r="M236" i="4" s="1"/>
  <c r="Q208" i="1"/>
  <c r="R208" i="1" s="1"/>
  <c r="L233" i="4"/>
  <c r="M233" i="4" s="1"/>
  <c r="J233" i="4"/>
  <c r="K233" i="4" s="1"/>
  <c r="Q233" i="4" s="1"/>
  <c r="J242" i="4"/>
  <c r="K242" i="4" s="1"/>
  <c r="L242" i="4"/>
  <c r="M242" i="4" s="1"/>
  <c r="U214" i="1"/>
  <c r="Y214" i="1" s="1"/>
  <c r="T214" i="1"/>
  <c r="W214" i="1" s="1"/>
  <c r="X214" i="1" s="1"/>
  <c r="T209" i="1"/>
  <c r="W209" i="1" s="1"/>
  <c r="X209" i="1" s="1"/>
  <c r="U209" i="1"/>
  <c r="Y209" i="1" s="1"/>
  <c r="U380" i="1" l="1"/>
  <c r="Y380" i="1" s="1"/>
  <c r="H321" i="4"/>
  <c r="T380" i="1"/>
  <c r="W380" i="1" s="1"/>
  <c r="X380" i="1" s="1"/>
  <c r="L325" i="4"/>
  <c r="M325" i="4" s="1"/>
  <c r="J325" i="4"/>
  <c r="K325" i="4" s="1"/>
  <c r="P325" i="4" s="1"/>
  <c r="K329" i="4"/>
  <c r="Q327" i="4"/>
  <c r="R327" i="4" s="1"/>
  <c r="R499" i="4"/>
  <c r="J497" i="4"/>
  <c r="K497" i="4" s="1"/>
  <c r="P497" i="4" s="1"/>
  <c r="Q497" i="4" s="1"/>
  <c r="R497" i="4" s="1"/>
  <c r="U296" i="1"/>
  <c r="Y296" i="1" s="1"/>
  <c r="T296" i="1"/>
  <c r="W296" i="1" s="1"/>
  <c r="X296" i="1" s="1"/>
  <c r="V658" i="4"/>
  <c r="F662" i="4"/>
  <c r="T662" i="4" s="1"/>
  <c r="S662" i="4" s="1"/>
  <c r="E662" i="4"/>
  <c r="L440" i="4"/>
  <c r="M440" i="4" s="1"/>
  <c r="J440" i="4"/>
  <c r="K440" i="4" s="1"/>
  <c r="P442" i="4"/>
  <c r="Q442" i="4" s="1"/>
  <c r="R442" i="4" s="1"/>
  <c r="K443" i="4"/>
  <c r="E617" i="4"/>
  <c r="F638" i="4"/>
  <c r="T638" i="4" s="1"/>
  <c r="S638" i="4" s="1"/>
  <c r="V615" i="4"/>
  <c r="E638" i="4"/>
  <c r="F617" i="4"/>
  <c r="T617" i="4" s="1"/>
  <c r="S617" i="4" s="1"/>
  <c r="T253" i="1"/>
  <c r="W253" i="1" s="1"/>
  <c r="X253" i="1" s="1"/>
  <c r="P255" i="1" s="1"/>
  <c r="Q255" i="1" s="1"/>
  <c r="R255" i="1" s="1"/>
  <c r="H437" i="4" s="1"/>
  <c r="U253" i="1"/>
  <c r="Y253" i="1" s="1"/>
  <c r="Q150" i="1"/>
  <c r="R150" i="1" s="1"/>
  <c r="J236" i="4"/>
  <c r="K236" i="4" s="1"/>
  <c r="K237" i="4" s="1"/>
  <c r="U206" i="1"/>
  <c r="Y206" i="1" s="1"/>
  <c r="T206" i="1"/>
  <c r="W206" i="1" s="1"/>
  <c r="X206" i="1" s="1"/>
  <c r="P210" i="1" s="1"/>
  <c r="Q210" i="1" s="1"/>
  <c r="R210" i="1" s="1"/>
  <c r="H228" i="4" s="1"/>
  <c r="L228" i="4" s="1"/>
  <c r="M228" i="4" s="1"/>
  <c r="R233" i="4"/>
  <c r="P216" i="1"/>
  <c r="Q216" i="1" s="1"/>
  <c r="R216" i="1" s="1"/>
  <c r="H239" i="4" s="1"/>
  <c r="K243" i="4"/>
  <c r="P242" i="4"/>
  <c r="X80" i="4"/>
  <c r="U80" i="4"/>
  <c r="I80" i="4"/>
  <c r="G80" i="4"/>
  <c r="X77" i="4"/>
  <c r="U77" i="4"/>
  <c r="I77" i="4"/>
  <c r="G77" i="4"/>
  <c r="X74" i="4"/>
  <c r="U74" i="4"/>
  <c r="I74" i="4"/>
  <c r="G74" i="4"/>
  <c r="X72" i="4"/>
  <c r="U72" i="4"/>
  <c r="I72" i="4"/>
  <c r="G72" i="4"/>
  <c r="X70" i="4"/>
  <c r="U70" i="4"/>
  <c r="I70" i="4"/>
  <c r="G70" i="4"/>
  <c r="X68" i="4"/>
  <c r="U68" i="4"/>
  <c r="I68" i="4"/>
  <c r="G68" i="4"/>
  <c r="X66" i="4"/>
  <c r="U66" i="4"/>
  <c r="I66" i="4"/>
  <c r="G66" i="4"/>
  <c r="X64" i="4"/>
  <c r="U64" i="4"/>
  <c r="I64" i="4"/>
  <c r="G64" i="4"/>
  <c r="X62" i="4"/>
  <c r="U62" i="4"/>
  <c r="I62" i="4"/>
  <c r="G62" i="4"/>
  <c r="X60" i="4"/>
  <c r="U60" i="4"/>
  <c r="I60" i="4"/>
  <c r="G60" i="4"/>
  <c r="X58" i="4"/>
  <c r="U58" i="4"/>
  <c r="I58" i="4"/>
  <c r="G58" i="4"/>
  <c r="X56" i="4"/>
  <c r="U56" i="4"/>
  <c r="I56" i="4"/>
  <c r="G56" i="4"/>
  <c r="X54" i="4"/>
  <c r="U54" i="4"/>
  <c r="I54" i="4"/>
  <c r="G54" i="4"/>
  <c r="X52" i="4"/>
  <c r="U52" i="4"/>
  <c r="I52" i="4"/>
  <c r="G52" i="4"/>
  <c r="X50" i="4"/>
  <c r="U50" i="4"/>
  <c r="I50" i="4"/>
  <c r="G50" i="4"/>
  <c r="X48" i="4"/>
  <c r="U48" i="4"/>
  <c r="I48" i="4"/>
  <c r="G48" i="4"/>
  <c r="X46" i="4"/>
  <c r="U46" i="4"/>
  <c r="I46" i="4"/>
  <c r="G46" i="4"/>
  <c r="X44" i="4"/>
  <c r="U44" i="4"/>
  <c r="I44" i="4"/>
  <c r="G44" i="4"/>
  <c r="X42" i="4"/>
  <c r="U42" i="4"/>
  <c r="I42" i="4"/>
  <c r="G42" i="4"/>
  <c r="X40" i="4"/>
  <c r="U40" i="4"/>
  <c r="I40" i="4"/>
  <c r="G40" i="4"/>
  <c r="X38" i="4"/>
  <c r="U38" i="4"/>
  <c r="I38" i="4"/>
  <c r="G38" i="4"/>
  <c r="X34" i="4"/>
  <c r="U34" i="4"/>
  <c r="I34" i="4"/>
  <c r="G34" i="4"/>
  <c r="X32" i="4"/>
  <c r="U32" i="4"/>
  <c r="I32" i="4"/>
  <c r="G32" i="4"/>
  <c r="X30" i="4"/>
  <c r="U30" i="4"/>
  <c r="I30" i="4"/>
  <c r="G30" i="4"/>
  <c r="X28" i="4"/>
  <c r="U28" i="4"/>
  <c r="I28" i="4"/>
  <c r="G28" i="4"/>
  <c r="X26" i="4"/>
  <c r="U26" i="4"/>
  <c r="I26" i="4"/>
  <c r="G26" i="4"/>
  <c r="X22" i="4"/>
  <c r="U22" i="4"/>
  <c r="I22" i="4"/>
  <c r="G22" i="4"/>
  <c r="X20" i="4"/>
  <c r="U20" i="4"/>
  <c r="I20" i="4"/>
  <c r="G20" i="4"/>
  <c r="X17" i="4"/>
  <c r="U17" i="4"/>
  <c r="I17" i="4"/>
  <c r="G17" i="4"/>
  <c r="Z232" i="1"/>
  <c r="Z489" i="1" s="1"/>
  <c r="AB489" i="1" s="1"/>
  <c r="N225" i="1"/>
  <c r="L225" i="1"/>
  <c r="I225" i="1"/>
  <c r="G225" i="1"/>
  <c r="D225" i="1"/>
  <c r="N224" i="1"/>
  <c r="L224" i="1"/>
  <c r="I224" i="1"/>
  <c r="G224" i="1"/>
  <c r="D224" i="1"/>
  <c r="N223" i="1"/>
  <c r="L223" i="1"/>
  <c r="I223" i="1"/>
  <c r="G223" i="1"/>
  <c r="D223" i="1"/>
  <c r="N201" i="1"/>
  <c r="L201" i="1"/>
  <c r="I201" i="1"/>
  <c r="G201" i="1"/>
  <c r="D201" i="1"/>
  <c r="L321" i="4" l="1"/>
  <c r="M321" i="4" s="1"/>
  <c r="J321" i="4"/>
  <c r="K321" i="4" s="1"/>
  <c r="P383" i="1"/>
  <c r="Q383" i="1" s="1"/>
  <c r="Q325" i="4"/>
  <c r="R325" i="4" s="1"/>
  <c r="K326" i="4"/>
  <c r="K498" i="4"/>
  <c r="J437" i="4"/>
  <c r="K437" i="4" s="1"/>
  <c r="L437" i="4"/>
  <c r="M437" i="4" s="1"/>
  <c r="V638" i="4"/>
  <c r="E640" i="4"/>
  <c r="F640" i="4"/>
  <c r="T640" i="4" s="1"/>
  <c r="S640" i="4" s="1"/>
  <c r="V640" i="4" s="1"/>
  <c r="V662" i="4"/>
  <c r="F664" i="4"/>
  <c r="T664" i="4" s="1"/>
  <c r="S664" i="4" s="1"/>
  <c r="E664" i="4"/>
  <c r="V617" i="4"/>
  <c r="F619" i="4"/>
  <c r="T619" i="4" s="1"/>
  <c r="S619" i="4" s="1"/>
  <c r="E619" i="4"/>
  <c r="E631" i="4"/>
  <c r="F631" i="4"/>
  <c r="T631" i="4" s="1"/>
  <c r="S631" i="4" s="1"/>
  <c r="P440" i="4"/>
  <c r="Q440" i="4" s="1"/>
  <c r="R440" i="4" s="1"/>
  <c r="K441" i="4"/>
  <c r="U255" i="1"/>
  <c r="Y255" i="1" s="1"/>
  <c r="T255" i="1"/>
  <c r="W255" i="1" s="1"/>
  <c r="X255" i="1" s="1"/>
  <c r="P273" i="1" s="1"/>
  <c r="Q273" i="1" s="1"/>
  <c r="R273" i="1" s="1"/>
  <c r="H435" i="4" s="1"/>
  <c r="Z677" i="1"/>
  <c r="AB677" i="1" s="1"/>
  <c r="Z682" i="1"/>
  <c r="AB682" i="1" s="1"/>
  <c r="Z667" i="1"/>
  <c r="AB667" i="1" s="1"/>
  <c r="Z672" i="1"/>
  <c r="AB672" i="1" s="1"/>
  <c r="Z494" i="1"/>
  <c r="AB494" i="1" s="1"/>
  <c r="P236" i="4"/>
  <c r="U210" i="1"/>
  <c r="Y210" i="1" s="1"/>
  <c r="T210" i="1"/>
  <c r="W210" i="1" s="1"/>
  <c r="X210" i="1" s="1"/>
  <c r="J228" i="4"/>
  <c r="K228" i="4" s="1"/>
  <c r="P228" i="4" s="1"/>
  <c r="L239" i="4"/>
  <c r="M239" i="4" s="1"/>
  <c r="J239" i="4"/>
  <c r="K239" i="4" s="1"/>
  <c r="P239" i="4" s="1"/>
  <c r="Q239" i="4" s="1"/>
  <c r="U216" i="1"/>
  <c r="Y216" i="1" s="1"/>
  <c r="T216" i="1"/>
  <c r="W216" i="1" s="1"/>
  <c r="X216" i="1" s="1"/>
  <c r="P217" i="1" s="1"/>
  <c r="Q217" i="1" s="1"/>
  <c r="R217" i="1" s="1"/>
  <c r="H226" i="4" s="1"/>
  <c r="J226" i="4" s="1"/>
  <c r="K226" i="4" s="1"/>
  <c r="P243" i="4"/>
  <c r="K244" i="4"/>
  <c r="K238" i="4"/>
  <c r="P237" i="4"/>
  <c r="N198" i="1"/>
  <c r="L198" i="1"/>
  <c r="I198" i="1"/>
  <c r="G198" i="1"/>
  <c r="D198" i="1"/>
  <c r="N196" i="1"/>
  <c r="L196" i="1"/>
  <c r="I196" i="1"/>
  <c r="G196" i="1"/>
  <c r="D196" i="1"/>
  <c r="N195" i="1"/>
  <c r="L195" i="1"/>
  <c r="I195" i="1"/>
  <c r="G195" i="1"/>
  <c r="D195" i="1"/>
  <c r="N192" i="1"/>
  <c r="L192" i="1"/>
  <c r="I192" i="1"/>
  <c r="J193" i="1" s="1"/>
  <c r="G192" i="1"/>
  <c r="H193" i="1" s="1"/>
  <c r="D192" i="1"/>
  <c r="E193" i="1" s="1"/>
  <c r="N187" i="1"/>
  <c r="L187" i="1"/>
  <c r="I187" i="1"/>
  <c r="J188" i="1" s="1"/>
  <c r="J190" i="1" s="1"/>
  <c r="G187" i="1"/>
  <c r="H188" i="1" s="1"/>
  <c r="H190" i="1" s="1"/>
  <c r="D187" i="1"/>
  <c r="E188" i="1" s="1"/>
  <c r="E190" i="1" s="1"/>
  <c r="P321" i="4" l="1"/>
  <c r="K322" i="4"/>
  <c r="V619" i="4"/>
  <c r="F622" i="4"/>
  <c r="T622" i="4" s="1"/>
  <c r="S622" i="4" s="1"/>
  <c r="E622" i="4"/>
  <c r="V664" i="4"/>
  <c r="F666" i="4"/>
  <c r="T666" i="4" s="1"/>
  <c r="S666" i="4" s="1"/>
  <c r="E666" i="4"/>
  <c r="J435" i="4"/>
  <c r="K435" i="4" s="1"/>
  <c r="L435" i="4"/>
  <c r="M435" i="4" s="1"/>
  <c r="V631" i="4"/>
  <c r="F633" i="4"/>
  <c r="T633" i="4" s="1"/>
  <c r="S633" i="4" s="1"/>
  <c r="E633" i="4"/>
  <c r="P437" i="4"/>
  <c r="K438" i="4"/>
  <c r="U273" i="1"/>
  <c r="Y273" i="1" s="1"/>
  <c r="T273" i="1"/>
  <c r="W273" i="1" s="1"/>
  <c r="X273" i="1" s="1"/>
  <c r="P275" i="1" s="1"/>
  <c r="Q275" i="1" s="1"/>
  <c r="R275" i="1" s="1"/>
  <c r="H433" i="4" s="1"/>
  <c r="Z662" i="1"/>
  <c r="Z661" i="1"/>
  <c r="AB661" i="1" s="1"/>
  <c r="Z666" i="1"/>
  <c r="AB666" i="1" s="1"/>
  <c r="Q236" i="4"/>
  <c r="R236" i="4" s="1"/>
  <c r="K229" i="4"/>
  <c r="P229" i="4" s="1"/>
  <c r="K240" i="4"/>
  <c r="R239" i="4"/>
  <c r="T217" i="1"/>
  <c r="W217" i="1" s="1"/>
  <c r="X217" i="1" s="1"/>
  <c r="P219" i="1" s="1"/>
  <c r="Q219" i="1" s="1"/>
  <c r="R219" i="1" s="1"/>
  <c r="H222" i="4" s="1"/>
  <c r="L222" i="4" s="1"/>
  <c r="M222" i="4" s="1"/>
  <c r="L226" i="4"/>
  <c r="M226" i="4" s="1"/>
  <c r="U217" i="1"/>
  <c r="Y217" i="1" s="1"/>
  <c r="P226" i="4"/>
  <c r="Q226" i="4" s="1"/>
  <c r="K227" i="4"/>
  <c r="K245" i="4"/>
  <c r="P244" i="4"/>
  <c r="J194" i="1"/>
  <c r="J197" i="1" s="1"/>
  <c r="J199" i="1" s="1"/>
  <c r="E194" i="1"/>
  <c r="E197" i="1" s="1"/>
  <c r="E199" i="1" s="1"/>
  <c r="H194" i="1"/>
  <c r="H197" i="1" s="1"/>
  <c r="H199" i="1" s="1"/>
  <c r="N182" i="1"/>
  <c r="L182" i="1"/>
  <c r="I182" i="1"/>
  <c r="G182" i="1"/>
  <c r="D182" i="1"/>
  <c r="N181" i="1"/>
  <c r="L181" i="1"/>
  <c r="I181" i="1"/>
  <c r="G181" i="1"/>
  <c r="D181" i="1"/>
  <c r="N177" i="1"/>
  <c r="L177" i="1"/>
  <c r="I177" i="1"/>
  <c r="G177" i="1"/>
  <c r="D177" i="1"/>
  <c r="N176" i="1"/>
  <c r="L176" i="1"/>
  <c r="I176" i="1"/>
  <c r="G176" i="1"/>
  <c r="D176" i="1"/>
  <c r="N170" i="1"/>
  <c r="L170" i="1"/>
  <c r="I170" i="1"/>
  <c r="G170" i="1"/>
  <c r="D170" i="1"/>
  <c r="K323" i="4" l="1"/>
  <c r="P322" i="4"/>
  <c r="AB662" i="1"/>
  <c r="Z654" i="1"/>
  <c r="AB654" i="1" s="1"/>
  <c r="L433" i="4"/>
  <c r="M433" i="4" s="1"/>
  <c r="J433" i="4"/>
  <c r="K433" i="4" s="1"/>
  <c r="P435" i="4"/>
  <c r="Q435" i="4" s="1"/>
  <c r="R435" i="4" s="1"/>
  <c r="K436" i="4"/>
  <c r="K439" i="4"/>
  <c r="P438" i="4"/>
  <c r="Q437" i="4" s="1"/>
  <c r="R437" i="4" s="1"/>
  <c r="V666" i="4"/>
  <c r="F668" i="4"/>
  <c r="T668" i="4" s="1"/>
  <c r="S668" i="4" s="1"/>
  <c r="V668" i="4" s="1"/>
  <c r="E668" i="4"/>
  <c r="V633" i="4"/>
  <c r="F635" i="4"/>
  <c r="T635" i="4" s="1"/>
  <c r="S635" i="4" s="1"/>
  <c r="V635" i="4" s="1"/>
  <c r="E635" i="4"/>
  <c r="V622" i="4"/>
  <c r="E625" i="4"/>
  <c r="F628" i="4"/>
  <c r="T628" i="4" s="1"/>
  <c r="S628" i="4" s="1"/>
  <c r="V628" i="4" s="1"/>
  <c r="E628" i="4"/>
  <c r="F625" i="4"/>
  <c r="T625" i="4" s="1"/>
  <c r="S625" i="4" s="1"/>
  <c r="U275" i="1"/>
  <c r="Y275" i="1" s="1"/>
  <c r="T275" i="1"/>
  <c r="W275" i="1" s="1"/>
  <c r="X275" i="1" s="1"/>
  <c r="P298" i="1" s="1"/>
  <c r="Z653" i="1"/>
  <c r="AB653" i="1" s="1"/>
  <c r="Z659" i="1"/>
  <c r="AB659" i="1" s="1"/>
  <c r="K230" i="4"/>
  <c r="P230" i="4" s="1"/>
  <c r="R226" i="4"/>
  <c r="J222" i="4"/>
  <c r="K222" i="4" s="1"/>
  <c r="P222" i="4" s="1"/>
  <c r="T219" i="1"/>
  <c r="W219" i="1" s="1"/>
  <c r="X219" i="1" s="1"/>
  <c r="U219" i="1"/>
  <c r="Y219" i="1" s="1"/>
  <c r="P245" i="4"/>
  <c r="Q242" i="4" s="1"/>
  <c r="R242" i="4" s="1"/>
  <c r="K246" i="4"/>
  <c r="E178" i="1"/>
  <c r="E179" i="1" s="1"/>
  <c r="J183" i="1"/>
  <c r="E183" i="1"/>
  <c r="H183" i="1"/>
  <c r="J178" i="1"/>
  <c r="J179" i="1" s="1"/>
  <c r="H178" i="1"/>
  <c r="H179" i="1" s="1"/>
  <c r="N169" i="1"/>
  <c r="L169" i="1"/>
  <c r="I169" i="1"/>
  <c r="J171" i="1" s="1"/>
  <c r="J173" i="1" s="1"/>
  <c r="G169" i="1"/>
  <c r="H171" i="1" s="1"/>
  <c r="H173" i="1" s="1"/>
  <c r="D169" i="1"/>
  <c r="E171" i="1" s="1"/>
  <c r="E173" i="1" s="1"/>
  <c r="N166" i="1"/>
  <c r="L166" i="1"/>
  <c r="I166" i="1"/>
  <c r="G166" i="1"/>
  <c r="D166" i="1"/>
  <c r="N165" i="1"/>
  <c r="L165" i="1"/>
  <c r="I165" i="1"/>
  <c r="G165" i="1"/>
  <c r="D165" i="1"/>
  <c r="N163" i="1"/>
  <c r="L163" i="1"/>
  <c r="I163" i="1"/>
  <c r="G163" i="1"/>
  <c r="D163" i="1"/>
  <c r="N162" i="1"/>
  <c r="L162" i="1"/>
  <c r="I162" i="1"/>
  <c r="G162" i="1"/>
  <c r="D162" i="1"/>
  <c r="N160" i="1"/>
  <c r="L160" i="1"/>
  <c r="I160" i="1"/>
  <c r="G160" i="1"/>
  <c r="D160" i="1"/>
  <c r="N159" i="1"/>
  <c r="L159" i="1"/>
  <c r="I159" i="1"/>
  <c r="G159" i="1"/>
  <c r="D159" i="1"/>
  <c r="Q157" i="1"/>
  <c r="N156" i="1"/>
  <c r="L156" i="1"/>
  <c r="I156" i="1"/>
  <c r="G156" i="1"/>
  <c r="D156" i="1"/>
  <c r="N155" i="1"/>
  <c r="L155" i="1"/>
  <c r="I155" i="1"/>
  <c r="G155" i="1"/>
  <c r="D155" i="1"/>
  <c r="N152" i="1"/>
  <c r="L152" i="1"/>
  <c r="I152" i="1"/>
  <c r="G152" i="1"/>
  <c r="D152" i="1"/>
  <c r="N149" i="1"/>
  <c r="L149" i="1"/>
  <c r="I149" i="1"/>
  <c r="J151" i="1" s="1"/>
  <c r="G149" i="1"/>
  <c r="H151" i="1" s="1"/>
  <c r="D149" i="1"/>
  <c r="E151" i="1" s="1"/>
  <c r="N146" i="1"/>
  <c r="L146" i="1"/>
  <c r="I146" i="1"/>
  <c r="G146" i="1"/>
  <c r="D146" i="1"/>
  <c r="N145" i="1"/>
  <c r="L145" i="1"/>
  <c r="I145" i="1"/>
  <c r="G145" i="1"/>
  <c r="D145" i="1"/>
  <c r="N142" i="1"/>
  <c r="L142" i="1"/>
  <c r="I142" i="1"/>
  <c r="G142" i="1"/>
  <c r="D142" i="1"/>
  <c r="N140" i="1"/>
  <c r="L140" i="1"/>
  <c r="I140" i="1"/>
  <c r="G140" i="1"/>
  <c r="D140" i="1"/>
  <c r="N136" i="1"/>
  <c r="L136" i="1"/>
  <c r="I136" i="1"/>
  <c r="J137" i="1" s="1"/>
  <c r="G136" i="1"/>
  <c r="H137" i="1" s="1"/>
  <c r="D136" i="1"/>
  <c r="E137" i="1" s="1"/>
  <c r="N133" i="1"/>
  <c r="L133" i="1"/>
  <c r="I133" i="1"/>
  <c r="G133" i="1"/>
  <c r="D133" i="1"/>
  <c r="N130" i="1"/>
  <c r="L130" i="1"/>
  <c r="I130" i="1"/>
  <c r="G130" i="1"/>
  <c r="D130" i="1"/>
  <c r="N129" i="1"/>
  <c r="L129" i="1"/>
  <c r="I129" i="1"/>
  <c r="G129" i="1"/>
  <c r="D129" i="1"/>
  <c r="N126" i="1"/>
  <c r="L126" i="1"/>
  <c r="I126" i="1"/>
  <c r="G126" i="1"/>
  <c r="D126" i="1"/>
  <c r="N124" i="1"/>
  <c r="L124" i="1"/>
  <c r="I124" i="1"/>
  <c r="G124" i="1"/>
  <c r="D124" i="1"/>
  <c r="N122" i="1"/>
  <c r="L122" i="1"/>
  <c r="I122" i="1"/>
  <c r="G122" i="1"/>
  <c r="D122" i="1"/>
  <c r="N120" i="1"/>
  <c r="L120" i="1"/>
  <c r="I120" i="1"/>
  <c r="J121" i="1" s="1"/>
  <c r="G120" i="1"/>
  <c r="H121" i="1" s="1"/>
  <c r="D120" i="1"/>
  <c r="E121" i="1" s="1"/>
  <c r="N116" i="1"/>
  <c r="L116" i="1"/>
  <c r="I116" i="1"/>
  <c r="G116" i="1"/>
  <c r="D116" i="1"/>
  <c r="N115" i="1"/>
  <c r="L115" i="1"/>
  <c r="I115" i="1"/>
  <c r="G115" i="1"/>
  <c r="D115" i="1"/>
  <c r="N113" i="1"/>
  <c r="L113" i="1"/>
  <c r="I113" i="1"/>
  <c r="J114" i="1" s="1"/>
  <c r="G113" i="1"/>
  <c r="H114" i="1" s="1"/>
  <c r="D113" i="1"/>
  <c r="E114" i="1" s="1"/>
  <c r="N109" i="1"/>
  <c r="L109" i="1"/>
  <c r="I109" i="1"/>
  <c r="G109" i="1"/>
  <c r="D109" i="1"/>
  <c r="N108" i="1"/>
  <c r="L108" i="1"/>
  <c r="I108" i="1"/>
  <c r="G108" i="1"/>
  <c r="D108" i="1"/>
  <c r="N104" i="1"/>
  <c r="L104" i="1"/>
  <c r="I104" i="1"/>
  <c r="J105" i="1" s="1"/>
  <c r="G104" i="1"/>
  <c r="H105" i="1" s="1"/>
  <c r="D104" i="1"/>
  <c r="E105" i="1" s="1"/>
  <c r="N90" i="1"/>
  <c r="L90" i="1"/>
  <c r="I90" i="1"/>
  <c r="J91" i="1" s="1"/>
  <c r="G90" i="1"/>
  <c r="H91" i="1" s="1"/>
  <c r="D90" i="1"/>
  <c r="E91" i="1" s="1"/>
  <c r="N86" i="1"/>
  <c r="L86" i="1"/>
  <c r="I86" i="1"/>
  <c r="G86" i="1"/>
  <c r="D86" i="1"/>
  <c r="N84" i="1"/>
  <c r="L84" i="1"/>
  <c r="I84" i="1"/>
  <c r="G84" i="1"/>
  <c r="D84" i="1"/>
  <c r="N82" i="1"/>
  <c r="L82" i="1"/>
  <c r="I82" i="1"/>
  <c r="J83" i="1" s="1"/>
  <c r="G82" i="1"/>
  <c r="H83" i="1" s="1"/>
  <c r="D82" i="1"/>
  <c r="E83" i="1" s="1"/>
  <c r="N77" i="1"/>
  <c r="L77" i="1"/>
  <c r="I77" i="1"/>
  <c r="G77" i="1"/>
  <c r="D77" i="1"/>
  <c r="N74" i="1"/>
  <c r="L74" i="1"/>
  <c r="I74" i="1"/>
  <c r="G74" i="1"/>
  <c r="D74" i="1"/>
  <c r="N73" i="1"/>
  <c r="L73" i="1"/>
  <c r="I73" i="1"/>
  <c r="G73" i="1"/>
  <c r="D73" i="1"/>
  <c r="N69" i="1"/>
  <c r="L69" i="1"/>
  <c r="I69" i="1"/>
  <c r="G69" i="1"/>
  <c r="D69" i="1"/>
  <c r="N68" i="1"/>
  <c r="L68" i="1"/>
  <c r="I68" i="1"/>
  <c r="G68" i="1"/>
  <c r="D68" i="1"/>
  <c r="N65" i="1"/>
  <c r="L65" i="1"/>
  <c r="I65" i="1"/>
  <c r="G65" i="1"/>
  <c r="D65" i="1"/>
  <c r="N62" i="1"/>
  <c r="L62" i="1"/>
  <c r="I62" i="1"/>
  <c r="G62" i="1"/>
  <c r="D62" i="1"/>
  <c r="N61" i="1"/>
  <c r="L61" i="1"/>
  <c r="I61" i="1"/>
  <c r="G61" i="1"/>
  <c r="D61" i="1"/>
  <c r="N57" i="1"/>
  <c r="L57" i="1"/>
  <c r="I57" i="1"/>
  <c r="G57" i="1"/>
  <c r="D57" i="1"/>
  <c r="N56" i="1"/>
  <c r="L56" i="1"/>
  <c r="I56" i="1"/>
  <c r="G56" i="1"/>
  <c r="D56" i="1"/>
  <c r="N53" i="1"/>
  <c r="L53" i="1"/>
  <c r="I53" i="1"/>
  <c r="G53" i="1"/>
  <c r="D53" i="1"/>
  <c r="N52" i="1"/>
  <c r="L52" i="1"/>
  <c r="I52" i="1"/>
  <c r="G52" i="1"/>
  <c r="D52" i="1"/>
  <c r="N48" i="1"/>
  <c r="L48" i="1"/>
  <c r="I48" i="1"/>
  <c r="J49" i="1" s="1"/>
  <c r="G48" i="1"/>
  <c r="H49" i="1" s="1"/>
  <c r="D48" i="1"/>
  <c r="E49" i="1" s="1"/>
  <c r="N45" i="1"/>
  <c r="L45" i="1"/>
  <c r="I45" i="1"/>
  <c r="G45" i="1"/>
  <c r="D45" i="1"/>
  <c r="N43" i="1"/>
  <c r="L43" i="1"/>
  <c r="I43" i="1"/>
  <c r="J44" i="1" s="1"/>
  <c r="G43" i="1"/>
  <c r="H44" i="1" s="1"/>
  <c r="D43" i="1"/>
  <c r="E44" i="1" s="1"/>
  <c r="N40" i="1"/>
  <c r="L40" i="1"/>
  <c r="I40" i="1"/>
  <c r="G40" i="1"/>
  <c r="D40" i="1"/>
  <c r="N37" i="1"/>
  <c r="L37" i="1"/>
  <c r="I37" i="1"/>
  <c r="G37" i="1"/>
  <c r="D37" i="1"/>
  <c r="N36" i="1"/>
  <c r="L36" i="1"/>
  <c r="I36" i="1"/>
  <c r="G36" i="1"/>
  <c r="D36" i="1"/>
  <c r="N32" i="1"/>
  <c r="L32" i="1"/>
  <c r="I32" i="1"/>
  <c r="J33" i="1" s="1"/>
  <c r="G32" i="1"/>
  <c r="H33" i="1" s="1"/>
  <c r="D32" i="1"/>
  <c r="E33" i="1" s="1"/>
  <c r="K324" i="4" l="1"/>
  <c r="P323" i="4"/>
  <c r="Q321" i="4" s="1"/>
  <c r="R321" i="4" s="1"/>
  <c r="V625" i="4"/>
  <c r="Q298" i="1"/>
  <c r="R298" i="1" s="1"/>
  <c r="H428" i="4" s="1"/>
  <c r="L428" i="4" s="1"/>
  <c r="M428" i="4" s="1"/>
  <c r="P433" i="4"/>
  <c r="Q433" i="4" s="1"/>
  <c r="R433" i="4" s="1"/>
  <c r="K434" i="4"/>
  <c r="Z608" i="1"/>
  <c r="AB608" i="1" s="1"/>
  <c r="Z647" i="1"/>
  <c r="AB647" i="1" s="1"/>
  <c r="Z651" i="1"/>
  <c r="AB651" i="1" s="1"/>
  <c r="K231" i="4"/>
  <c r="K232" i="4" s="1"/>
  <c r="K223" i="4"/>
  <c r="J143" i="1"/>
  <c r="E143" i="1"/>
  <c r="H143" i="1"/>
  <c r="E157" i="1"/>
  <c r="H157" i="1"/>
  <c r="J157" i="1"/>
  <c r="R157" i="1" s="1"/>
  <c r="H193" i="4" s="1"/>
  <c r="E123" i="1"/>
  <c r="E125" i="1" s="1"/>
  <c r="E127" i="1" s="1"/>
  <c r="E131" i="1"/>
  <c r="H131" i="1"/>
  <c r="J131" i="1"/>
  <c r="E100" i="1"/>
  <c r="H117" i="1"/>
  <c r="J110" i="1"/>
  <c r="J123" i="1"/>
  <c r="J125" i="1" s="1"/>
  <c r="J127" i="1" s="1"/>
  <c r="H123" i="1"/>
  <c r="H125" i="1" s="1"/>
  <c r="H127" i="1" s="1"/>
  <c r="J117" i="1"/>
  <c r="E110" i="1"/>
  <c r="H110" i="1"/>
  <c r="E117" i="1"/>
  <c r="J100" i="1"/>
  <c r="H100" i="1"/>
  <c r="J85" i="1"/>
  <c r="J87" i="1" s="1"/>
  <c r="H85" i="1"/>
  <c r="H87" i="1" s="1"/>
  <c r="E85" i="1"/>
  <c r="E87" i="1" s="1"/>
  <c r="J75" i="1"/>
  <c r="H63" i="1"/>
  <c r="E75" i="1"/>
  <c r="H75" i="1"/>
  <c r="J70" i="1"/>
  <c r="H70" i="1"/>
  <c r="E70" i="1"/>
  <c r="E63" i="1"/>
  <c r="E54" i="1"/>
  <c r="H58" i="1"/>
  <c r="J63" i="1"/>
  <c r="E58" i="1"/>
  <c r="J58" i="1"/>
  <c r="J54" i="1"/>
  <c r="E38" i="1"/>
  <c r="H54" i="1"/>
  <c r="E46" i="1"/>
  <c r="H38" i="1"/>
  <c r="H46" i="1"/>
  <c r="J46" i="1"/>
  <c r="J38" i="1"/>
  <c r="N29" i="1"/>
  <c r="L29" i="1"/>
  <c r="I29" i="1"/>
  <c r="G29" i="1"/>
  <c r="D29" i="1"/>
  <c r="N27" i="1"/>
  <c r="L27" i="1"/>
  <c r="I27" i="1"/>
  <c r="G27" i="1"/>
  <c r="D27" i="1"/>
  <c r="N25" i="1"/>
  <c r="L25" i="1"/>
  <c r="I25" i="1"/>
  <c r="G25" i="1"/>
  <c r="D25" i="1"/>
  <c r="N22" i="1"/>
  <c r="L22" i="1"/>
  <c r="I22" i="1"/>
  <c r="G22" i="1"/>
  <c r="D22" i="1"/>
  <c r="N20" i="1"/>
  <c r="L20" i="1"/>
  <c r="I20" i="1"/>
  <c r="G20" i="1"/>
  <c r="D20" i="1"/>
  <c r="N17" i="1"/>
  <c r="L17" i="1"/>
  <c r="I17" i="1"/>
  <c r="G17" i="1"/>
  <c r="D17" i="1"/>
  <c r="N15" i="1"/>
  <c r="L15" i="1"/>
  <c r="I15" i="1"/>
  <c r="G15" i="1"/>
  <c r="D15" i="1"/>
  <c r="N12" i="1"/>
  <c r="L12" i="1"/>
  <c r="I12" i="1"/>
  <c r="G12" i="1"/>
  <c r="D12" i="1"/>
  <c r="N11" i="1"/>
  <c r="L11" i="1"/>
  <c r="I11" i="1"/>
  <c r="G11" i="1"/>
  <c r="D11" i="1"/>
  <c r="U298" i="1" l="1"/>
  <c r="Y298" i="1" s="1"/>
  <c r="J428" i="4"/>
  <c r="K428" i="4" s="1"/>
  <c r="K429" i="4" s="1"/>
  <c r="T298" i="1"/>
  <c r="W298" i="1" s="1"/>
  <c r="X298" i="1" s="1"/>
  <c r="P308" i="1" s="1"/>
  <c r="Q308" i="1" s="1"/>
  <c r="R308" i="1" s="1"/>
  <c r="H425" i="4" s="1"/>
  <c r="L425" i="4" s="1"/>
  <c r="M425" i="4" s="1"/>
  <c r="E23" i="1"/>
  <c r="E24" i="1" s="1"/>
  <c r="E26" i="1" s="1"/>
  <c r="J23" i="1"/>
  <c r="H23" i="1"/>
  <c r="H24" i="1" s="1"/>
  <c r="H26" i="1" s="1"/>
  <c r="Z602" i="1"/>
  <c r="AB602" i="1" s="1"/>
  <c r="Z641" i="1"/>
  <c r="Z633" i="1" s="1"/>
  <c r="Z607" i="1"/>
  <c r="Z605" i="1" s="1"/>
  <c r="AB605" i="1" s="1"/>
  <c r="Z645" i="1"/>
  <c r="AB645" i="1" s="1"/>
  <c r="P231" i="4"/>
  <c r="Q228" i="4" s="1"/>
  <c r="R228" i="4" s="1"/>
  <c r="K224" i="4"/>
  <c r="P224" i="4" s="1"/>
  <c r="P223" i="4"/>
  <c r="L193" i="4"/>
  <c r="M193" i="4" s="1"/>
  <c r="R193" i="4" s="1"/>
  <c r="J193" i="4"/>
  <c r="K193" i="4" s="1"/>
  <c r="U157" i="1"/>
  <c r="Y157" i="1" s="1"/>
  <c r="T157" i="1"/>
  <c r="W157" i="1" s="1"/>
  <c r="X157" i="1" s="1"/>
  <c r="E132" i="1"/>
  <c r="E134" i="1" s="1"/>
  <c r="H132" i="1"/>
  <c r="H134" i="1" s="1"/>
  <c r="J132" i="1"/>
  <c r="J134" i="1" s="1"/>
  <c r="H59" i="1"/>
  <c r="H64" i="1" s="1"/>
  <c r="H66" i="1" s="1"/>
  <c r="H71" i="1" s="1"/>
  <c r="H76" i="1" s="1"/>
  <c r="H78" i="1" s="1"/>
  <c r="E59" i="1"/>
  <c r="E64" i="1" s="1"/>
  <c r="E66" i="1" s="1"/>
  <c r="E71" i="1" s="1"/>
  <c r="E76" i="1" s="1"/>
  <c r="E78" i="1" s="1"/>
  <c r="J59" i="1"/>
  <c r="J64" i="1" s="1"/>
  <c r="J66" i="1" s="1"/>
  <c r="J71" i="1" s="1"/>
  <c r="J76" i="1" s="1"/>
  <c r="J78" i="1" s="1"/>
  <c r="E13" i="1"/>
  <c r="E16" i="1" s="1"/>
  <c r="E18" i="1" s="1"/>
  <c r="H13" i="1"/>
  <c r="H16" i="1" s="1"/>
  <c r="H18" i="1" s="1"/>
  <c r="J13" i="1"/>
  <c r="J16" i="1" s="1"/>
  <c r="J18" i="1" s="1"/>
  <c r="J103" i="3"/>
  <c r="F103" i="3"/>
  <c r="F225" i="1" s="1"/>
  <c r="J102" i="3"/>
  <c r="F102" i="3"/>
  <c r="F224" i="1" s="1"/>
  <c r="J101" i="3"/>
  <c r="F101" i="3"/>
  <c r="F223" i="1" s="1"/>
  <c r="J94" i="3"/>
  <c r="K204" i="1" s="1"/>
  <c r="M204" i="1" s="1"/>
  <c r="O204" i="1" s="1"/>
  <c r="P204" i="1" s="1"/>
  <c r="Q204" i="1" s="1"/>
  <c r="R204" i="1" s="1"/>
  <c r="F94" i="3"/>
  <c r="F204" i="1" s="1"/>
  <c r="J93" i="3"/>
  <c r="F93" i="3"/>
  <c r="F201" i="1" s="1"/>
  <c r="J92" i="3"/>
  <c r="F92" i="3"/>
  <c r="F198" i="1" s="1"/>
  <c r="J91" i="3"/>
  <c r="F91" i="3"/>
  <c r="F196" i="1" s="1"/>
  <c r="J90" i="3"/>
  <c r="F90" i="3"/>
  <c r="F195" i="1" s="1"/>
  <c r="J89" i="3"/>
  <c r="F89" i="3"/>
  <c r="F192" i="1" s="1"/>
  <c r="J88" i="3"/>
  <c r="F88" i="3"/>
  <c r="F187" i="1" s="1"/>
  <c r="J87" i="3"/>
  <c r="K189" i="1" s="1"/>
  <c r="M189" i="1" s="1"/>
  <c r="O189" i="1" s="1"/>
  <c r="P189" i="1" s="1"/>
  <c r="Q189" i="1" s="1"/>
  <c r="R189" i="1" s="1"/>
  <c r="F87" i="3"/>
  <c r="F189" i="1" s="1"/>
  <c r="J86" i="3"/>
  <c r="K186" i="1" s="1"/>
  <c r="M186" i="1" s="1"/>
  <c r="O186" i="1" s="1"/>
  <c r="P186" i="1" s="1"/>
  <c r="Q186" i="1" s="1"/>
  <c r="R186" i="1" s="1"/>
  <c r="F86" i="3"/>
  <c r="F186" i="1" s="1"/>
  <c r="J85" i="3"/>
  <c r="F85" i="3"/>
  <c r="F182" i="1" s="1"/>
  <c r="J84" i="3"/>
  <c r="F84" i="3"/>
  <c r="F181" i="1" s="1"/>
  <c r="J78" i="3"/>
  <c r="K166" i="1" s="1"/>
  <c r="M166" i="1" s="1"/>
  <c r="O166" i="1" s="1"/>
  <c r="P166" i="1" s="1"/>
  <c r="Q166" i="1" s="1"/>
  <c r="R166" i="1" s="1"/>
  <c r="F78" i="3"/>
  <c r="F166" i="1" s="1"/>
  <c r="J77" i="3"/>
  <c r="F77" i="3"/>
  <c r="F165" i="1" s="1"/>
  <c r="J80" i="3"/>
  <c r="F80" i="3"/>
  <c r="F170" i="1" s="1"/>
  <c r="J79" i="3"/>
  <c r="F79" i="3"/>
  <c r="F169" i="1" s="1"/>
  <c r="J83" i="3"/>
  <c r="F83" i="3"/>
  <c r="F177" i="1" s="1"/>
  <c r="J82" i="3"/>
  <c r="F82" i="3"/>
  <c r="F176" i="1" s="1"/>
  <c r="J76" i="3"/>
  <c r="K163" i="1" s="1"/>
  <c r="M163" i="1" s="1"/>
  <c r="O163" i="1" s="1"/>
  <c r="P163" i="1" s="1"/>
  <c r="Q163" i="1" s="1"/>
  <c r="R163" i="1" s="1"/>
  <c r="F76" i="3"/>
  <c r="F163" i="1" s="1"/>
  <c r="J75" i="3"/>
  <c r="K162" i="1" s="1"/>
  <c r="M162" i="1" s="1"/>
  <c r="O162" i="1" s="1"/>
  <c r="P162" i="1" s="1"/>
  <c r="Q162" i="1" s="1"/>
  <c r="R162" i="1" s="1"/>
  <c r="F75" i="3"/>
  <c r="F162" i="1" s="1"/>
  <c r="J74" i="3"/>
  <c r="F74" i="3"/>
  <c r="F160" i="1" s="1"/>
  <c r="J73" i="3"/>
  <c r="F73" i="3"/>
  <c r="F159" i="1" s="1"/>
  <c r="J72" i="3"/>
  <c r="F72" i="3"/>
  <c r="F156" i="1" s="1"/>
  <c r="J71" i="3"/>
  <c r="F71" i="3"/>
  <c r="F155" i="1" s="1"/>
  <c r="J70" i="3"/>
  <c r="K152" i="1" s="1"/>
  <c r="M152" i="1" s="1"/>
  <c r="O152" i="1" s="1"/>
  <c r="P152" i="1" s="1"/>
  <c r="Q152" i="1" s="1"/>
  <c r="R152" i="1" s="1"/>
  <c r="F70" i="3"/>
  <c r="F152" i="1" s="1"/>
  <c r="J68" i="3"/>
  <c r="K149" i="1" s="1"/>
  <c r="M149" i="1" s="1"/>
  <c r="O149" i="1" s="1"/>
  <c r="P149" i="1" s="1"/>
  <c r="Q149" i="1" s="1"/>
  <c r="R149" i="1" s="1"/>
  <c r="F68" i="3"/>
  <c r="F149" i="1" s="1"/>
  <c r="J67" i="3"/>
  <c r="F67" i="3"/>
  <c r="F146" i="1" s="1"/>
  <c r="J66" i="3"/>
  <c r="F66" i="3"/>
  <c r="F145" i="1" s="1"/>
  <c r="J65" i="3"/>
  <c r="F65" i="3"/>
  <c r="F142" i="1" s="1"/>
  <c r="J63" i="3"/>
  <c r="F63" i="3"/>
  <c r="F140" i="1" s="1"/>
  <c r="J62" i="3"/>
  <c r="K136" i="1" s="1"/>
  <c r="M136" i="1" s="1"/>
  <c r="O136" i="1" s="1"/>
  <c r="P136" i="1" s="1"/>
  <c r="Q136" i="1" s="1"/>
  <c r="R136" i="1" s="1"/>
  <c r="F62" i="3"/>
  <c r="F136" i="1" s="1"/>
  <c r="J61" i="3"/>
  <c r="K133" i="1" s="1"/>
  <c r="M133" i="1" s="1"/>
  <c r="O133" i="1" s="1"/>
  <c r="P133" i="1" s="1"/>
  <c r="Q133" i="1" s="1"/>
  <c r="R133" i="1" s="1"/>
  <c r="F61" i="3"/>
  <c r="F133" i="1" s="1"/>
  <c r="J60" i="3"/>
  <c r="K130" i="1" s="1"/>
  <c r="M130" i="1" s="1"/>
  <c r="O130" i="1" s="1"/>
  <c r="P130" i="1" s="1"/>
  <c r="Q130" i="1" s="1"/>
  <c r="R130" i="1" s="1"/>
  <c r="F60" i="3"/>
  <c r="F130" i="1" s="1"/>
  <c r="J59" i="3"/>
  <c r="F59" i="3"/>
  <c r="F129" i="1" s="1"/>
  <c r="J58" i="3"/>
  <c r="F58" i="3"/>
  <c r="F126" i="1" s="1"/>
  <c r="J57" i="3"/>
  <c r="F57" i="3"/>
  <c r="F124" i="1" s="1"/>
  <c r="J56" i="3"/>
  <c r="F56" i="3"/>
  <c r="F122" i="1" s="1"/>
  <c r="J55" i="3"/>
  <c r="F55" i="3"/>
  <c r="F120" i="1" s="1"/>
  <c r="J54" i="3"/>
  <c r="K116" i="1" s="1"/>
  <c r="M116" i="1" s="1"/>
  <c r="O116" i="1" s="1"/>
  <c r="P116" i="1" s="1"/>
  <c r="Q116" i="1" s="1"/>
  <c r="R116" i="1" s="1"/>
  <c r="F54" i="3"/>
  <c r="F116" i="1" s="1"/>
  <c r="J53" i="3"/>
  <c r="K115" i="1" s="1"/>
  <c r="M115" i="1" s="1"/>
  <c r="O115" i="1" s="1"/>
  <c r="P115" i="1" s="1"/>
  <c r="Q115" i="1" s="1"/>
  <c r="R115" i="1" s="1"/>
  <c r="F53" i="3"/>
  <c r="F115" i="1" s="1"/>
  <c r="J52" i="3"/>
  <c r="K113" i="1" s="1"/>
  <c r="M113" i="1" s="1"/>
  <c r="O113" i="1" s="1"/>
  <c r="P113" i="1" s="1"/>
  <c r="Q113" i="1" s="1"/>
  <c r="R113" i="1" s="1"/>
  <c r="F52" i="3"/>
  <c r="F113" i="1" s="1"/>
  <c r="J51" i="3"/>
  <c r="F51" i="3"/>
  <c r="F109" i="1" s="1"/>
  <c r="J50" i="3"/>
  <c r="F50" i="3"/>
  <c r="F108" i="1" s="1"/>
  <c r="J49" i="3"/>
  <c r="F49" i="3"/>
  <c r="F104" i="1" s="1"/>
  <c r="J47" i="3"/>
  <c r="K98" i="1" s="1"/>
  <c r="M98" i="1" s="1"/>
  <c r="O98" i="1" s="1"/>
  <c r="P98" i="1" s="1"/>
  <c r="Q98" i="1" s="1"/>
  <c r="R98" i="1" s="1"/>
  <c r="F47" i="3"/>
  <c r="F98" i="1" s="1"/>
  <c r="J46" i="3"/>
  <c r="K95" i="1" s="1"/>
  <c r="M95" i="1" s="1"/>
  <c r="O95" i="1" s="1"/>
  <c r="P95" i="1" s="1"/>
  <c r="Q95" i="1" s="1"/>
  <c r="R95" i="1" s="1"/>
  <c r="F46" i="3"/>
  <c r="F95" i="1" s="1"/>
  <c r="J45" i="3"/>
  <c r="K94" i="1" s="1"/>
  <c r="M94" i="1" s="1"/>
  <c r="O94" i="1" s="1"/>
  <c r="P94" i="1" s="1"/>
  <c r="Q94" i="1" s="1"/>
  <c r="R94" i="1" s="1"/>
  <c r="F45" i="3"/>
  <c r="F94" i="1" s="1"/>
  <c r="J48" i="3"/>
  <c r="K101" i="1" s="1"/>
  <c r="M101" i="1" s="1"/>
  <c r="O101" i="1" s="1"/>
  <c r="P101" i="1" s="1"/>
  <c r="Q101" i="1" s="1"/>
  <c r="R101" i="1" s="1"/>
  <c r="F48" i="3"/>
  <c r="F101" i="1" s="1"/>
  <c r="J44" i="3"/>
  <c r="K90" i="1" s="1"/>
  <c r="M90" i="1" s="1"/>
  <c r="O90" i="1" s="1"/>
  <c r="P90" i="1" s="1"/>
  <c r="Q90" i="1" s="1"/>
  <c r="R90" i="1" s="1"/>
  <c r="F44" i="3"/>
  <c r="F90" i="1" s="1"/>
  <c r="J43" i="3"/>
  <c r="F43" i="3"/>
  <c r="F86" i="1" s="1"/>
  <c r="J42" i="3"/>
  <c r="F42" i="3"/>
  <c r="F84" i="1" s="1"/>
  <c r="J41" i="3"/>
  <c r="F41" i="3"/>
  <c r="F82" i="1" s="1"/>
  <c r="J39" i="3"/>
  <c r="F39" i="3"/>
  <c r="F77" i="1" s="1"/>
  <c r="J38" i="3"/>
  <c r="F38" i="3"/>
  <c r="F74" i="1" s="1"/>
  <c r="J37" i="3"/>
  <c r="K73" i="1" s="1"/>
  <c r="M73" i="1" s="1"/>
  <c r="O73" i="1" s="1"/>
  <c r="P73" i="1" s="1"/>
  <c r="Q73" i="1" s="1"/>
  <c r="R73" i="1" s="1"/>
  <c r="F37" i="3"/>
  <c r="F73" i="1" s="1"/>
  <c r="J36" i="3"/>
  <c r="K69" i="1" s="1"/>
  <c r="M69" i="1" s="1"/>
  <c r="O69" i="1" s="1"/>
  <c r="P69" i="1" s="1"/>
  <c r="Q69" i="1" s="1"/>
  <c r="R69" i="1" s="1"/>
  <c r="F36" i="3"/>
  <c r="F69" i="1" s="1"/>
  <c r="J35" i="3"/>
  <c r="K68" i="1" s="1"/>
  <c r="M68" i="1" s="1"/>
  <c r="O68" i="1" s="1"/>
  <c r="P68" i="1" s="1"/>
  <c r="Q68" i="1" s="1"/>
  <c r="R68" i="1" s="1"/>
  <c r="F35" i="3"/>
  <c r="F68" i="1" s="1"/>
  <c r="J34" i="3"/>
  <c r="F34" i="3"/>
  <c r="F65" i="1" s="1"/>
  <c r="J33" i="3"/>
  <c r="F33" i="3"/>
  <c r="F62" i="1" s="1"/>
  <c r="J32" i="3"/>
  <c r="F32" i="3"/>
  <c r="F61" i="1" s="1"/>
  <c r="J31" i="3"/>
  <c r="F31" i="3"/>
  <c r="F57" i="1" s="1"/>
  <c r="J30" i="3"/>
  <c r="F30" i="3"/>
  <c r="F56" i="1" s="1"/>
  <c r="J29" i="3"/>
  <c r="K53" i="1" s="1"/>
  <c r="M53" i="1" s="1"/>
  <c r="O53" i="1" s="1"/>
  <c r="P53" i="1" s="1"/>
  <c r="Q53" i="1" s="1"/>
  <c r="R53" i="1" s="1"/>
  <c r="F29" i="3"/>
  <c r="F53" i="1" s="1"/>
  <c r="J28" i="3"/>
  <c r="K52" i="1" s="1"/>
  <c r="M52" i="1" s="1"/>
  <c r="O52" i="1" s="1"/>
  <c r="P52" i="1" s="1"/>
  <c r="Q52" i="1" s="1"/>
  <c r="R52" i="1" s="1"/>
  <c r="F28" i="3"/>
  <c r="F52" i="1" s="1"/>
  <c r="J27" i="3"/>
  <c r="K48" i="1" s="1"/>
  <c r="M48" i="1" s="1"/>
  <c r="O48" i="1" s="1"/>
  <c r="P48" i="1" s="1"/>
  <c r="P49" i="1" s="1"/>
  <c r="Q49" i="1" s="1"/>
  <c r="R49" i="1" s="1"/>
  <c r="H102" i="4" s="1"/>
  <c r="F27" i="3"/>
  <c r="F48" i="1" s="1"/>
  <c r="J26" i="3"/>
  <c r="F26" i="3"/>
  <c r="F45" i="1" s="1"/>
  <c r="J25" i="3"/>
  <c r="F25" i="3"/>
  <c r="F43" i="1" s="1"/>
  <c r="J24" i="3"/>
  <c r="F24" i="3"/>
  <c r="F40" i="1" s="1"/>
  <c r="J23" i="3"/>
  <c r="F23" i="3"/>
  <c r="F37" i="1" s="1"/>
  <c r="J22" i="3"/>
  <c r="F22" i="3"/>
  <c r="F36" i="1" s="1"/>
  <c r="J21" i="3"/>
  <c r="K32" i="1" s="1"/>
  <c r="M32" i="1" s="1"/>
  <c r="O32" i="1" s="1"/>
  <c r="P32" i="1" s="1"/>
  <c r="Q32" i="1" s="1"/>
  <c r="R32" i="1" s="1"/>
  <c r="F21" i="3"/>
  <c r="F32" i="1" s="1"/>
  <c r="J20" i="3"/>
  <c r="K29" i="1" s="1"/>
  <c r="M29" i="1" s="1"/>
  <c r="O29" i="1" s="1"/>
  <c r="P29" i="1" s="1"/>
  <c r="Q29" i="1" s="1"/>
  <c r="R29" i="1" s="1"/>
  <c r="F20" i="3"/>
  <c r="F29" i="1" s="1"/>
  <c r="J19" i="3"/>
  <c r="K27" i="1" s="1"/>
  <c r="M27" i="1" s="1"/>
  <c r="O27" i="1" s="1"/>
  <c r="P27" i="1" s="1"/>
  <c r="Q27" i="1" s="1"/>
  <c r="R27" i="1" s="1"/>
  <c r="F19" i="3"/>
  <c r="F27" i="1" s="1"/>
  <c r="J17" i="3"/>
  <c r="F17" i="3"/>
  <c r="F25" i="1" s="1"/>
  <c r="J16" i="3"/>
  <c r="K21" i="1" s="1"/>
  <c r="M21" i="1" s="1"/>
  <c r="O21" i="1" s="1"/>
  <c r="P21" i="1" s="1"/>
  <c r="Q21" i="1" s="1"/>
  <c r="R21" i="1" s="1"/>
  <c r="F16" i="3"/>
  <c r="J15" i="3"/>
  <c r="L15" i="3" s="1"/>
  <c r="F15" i="3"/>
  <c r="F20" i="1" s="1"/>
  <c r="J14" i="3"/>
  <c r="F14" i="3"/>
  <c r="F17" i="1" s="1"/>
  <c r="J13" i="3"/>
  <c r="K15" i="1" s="1"/>
  <c r="M15" i="1" s="1"/>
  <c r="O15" i="1" s="1"/>
  <c r="P15" i="1" s="1"/>
  <c r="Q15" i="1" s="1"/>
  <c r="R15" i="1" s="1"/>
  <c r="F13" i="3"/>
  <c r="F15" i="1" s="1"/>
  <c r="J12" i="3"/>
  <c r="K12" i="1" s="1"/>
  <c r="M12" i="1" s="1"/>
  <c r="O12" i="1" s="1"/>
  <c r="P12" i="1" s="1"/>
  <c r="Q12" i="1" s="1"/>
  <c r="R12" i="1" s="1"/>
  <c r="F12" i="3"/>
  <c r="F12" i="1" s="1"/>
  <c r="F11" i="3"/>
  <c r="F11" i="1" s="1"/>
  <c r="J24" i="1" l="1"/>
  <c r="J26" i="1" s="1"/>
  <c r="J28" i="1" s="1"/>
  <c r="J30" i="1" s="1"/>
  <c r="J34" i="1" s="1"/>
  <c r="J39" i="1" s="1"/>
  <c r="J41" i="1" s="1"/>
  <c r="J50" i="1" s="1"/>
  <c r="J88" i="1" s="1"/>
  <c r="J92" i="1" s="1"/>
  <c r="P428" i="4"/>
  <c r="J425" i="4"/>
  <c r="K425" i="4" s="1"/>
  <c r="P425" i="4" s="1"/>
  <c r="T308" i="1"/>
  <c r="W308" i="1" s="1"/>
  <c r="X308" i="1" s="1"/>
  <c r="P311" i="1" s="1"/>
  <c r="Q311" i="1" s="1"/>
  <c r="R311" i="1" s="1"/>
  <c r="H420" i="4" s="1"/>
  <c r="L420" i="4" s="1"/>
  <c r="M420" i="4" s="1"/>
  <c r="U308" i="1"/>
  <c r="Y308" i="1" s="1"/>
  <c r="K430" i="4"/>
  <c r="P429" i="4"/>
  <c r="F22" i="1"/>
  <c r="F21" i="1"/>
  <c r="AB607" i="1"/>
  <c r="Z599" i="1"/>
  <c r="AB599" i="1" s="1"/>
  <c r="Z636" i="1"/>
  <c r="Z640" i="1"/>
  <c r="AB640" i="1" s="1"/>
  <c r="AB641" i="1"/>
  <c r="AB633" i="1"/>
  <c r="Z630" i="1"/>
  <c r="Z620" i="1"/>
  <c r="Q222" i="4"/>
  <c r="R222" i="4" s="1"/>
  <c r="J102" i="4"/>
  <c r="K102" i="4" s="1"/>
  <c r="L102" i="4"/>
  <c r="M102" i="4" s="1"/>
  <c r="R102" i="4" s="1"/>
  <c r="L84" i="3"/>
  <c r="K181" i="1"/>
  <c r="M181" i="1" s="1"/>
  <c r="O181" i="1" s="1"/>
  <c r="P181" i="1" s="1"/>
  <c r="L87" i="3"/>
  <c r="L91" i="3"/>
  <c r="K196" i="1"/>
  <c r="M196" i="1" s="1"/>
  <c r="O196" i="1" s="1"/>
  <c r="P196" i="1" s="1"/>
  <c r="Q196" i="1" s="1"/>
  <c r="R196" i="1" s="1"/>
  <c r="L93" i="3"/>
  <c r="K201" i="1"/>
  <c r="M201" i="1" s="1"/>
  <c r="O201" i="1" s="1"/>
  <c r="P201" i="1" s="1"/>
  <c r="Q201" i="1" s="1"/>
  <c r="R201" i="1" s="1"/>
  <c r="L90" i="3"/>
  <c r="K195" i="1"/>
  <c r="M195" i="1" s="1"/>
  <c r="O195" i="1" s="1"/>
  <c r="P195" i="1" s="1"/>
  <c r="Q195" i="1" s="1"/>
  <c r="R195" i="1" s="1"/>
  <c r="L85" i="3"/>
  <c r="K182" i="1"/>
  <c r="M182" i="1" s="1"/>
  <c r="O182" i="1" s="1"/>
  <c r="P182" i="1" s="1"/>
  <c r="Q182" i="1" s="1"/>
  <c r="R182" i="1" s="1"/>
  <c r="L88" i="3"/>
  <c r="K187" i="1"/>
  <c r="M187" i="1" s="1"/>
  <c r="O187" i="1" s="1"/>
  <c r="P187" i="1" s="1"/>
  <c r="Q187" i="1" s="1"/>
  <c r="R187" i="1" s="1"/>
  <c r="L92" i="3"/>
  <c r="K198" i="1"/>
  <c r="M198" i="1" s="1"/>
  <c r="O198" i="1" s="1"/>
  <c r="P198" i="1" s="1"/>
  <c r="Q198" i="1" s="1"/>
  <c r="R198" i="1" s="1"/>
  <c r="L102" i="3"/>
  <c r="K224" i="1"/>
  <c r="M224" i="1" s="1"/>
  <c r="O224" i="1" s="1"/>
  <c r="P224" i="1" s="1"/>
  <c r="Q224" i="1" s="1"/>
  <c r="R224" i="1" s="1"/>
  <c r="L89" i="3"/>
  <c r="K192" i="1"/>
  <c r="M192" i="1" s="1"/>
  <c r="O192" i="1" s="1"/>
  <c r="P192" i="1" s="1"/>
  <c r="L103" i="3"/>
  <c r="K225" i="1"/>
  <c r="M225" i="1" s="1"/>
  <c r="O225" i="1" s="1"/>
  <c r="P225" i="1" s="1"/>
  <c r="Q225" i="1" s="1"/>
  <c r="R225" i="1" s="1"/>
  <c r="L86" i="3"/>
  <c r="L94" i="3"/>
  <c r="L101" i="3"/>
  <c r="K223" i="1"/>
  <c r="M223" i="1" s="1"/>
  <c r="O223" i="1" s="1"/>
  <c r="P223" i="1" s="1"/>
  <c r="Q223" i="1" s="1"/>
  <c r="R223" i="1" s="1"/>
  <c r="T49" i="1"/>
  <c r="W49" i="1" s="1"/>
  <c r="X49" i="1" s="1"/>
  <c r="L27" i="3"/>
  <c r="L82" i="3"/>
  <c r="K176" i="1"/>
  <c r="M176" i="1" s="1"/>
  <c r="O176" i="1" s="1"/>
  <c r="P176" i="1" s="1"/>
  <c r="Q48" i="1"/>
  <c r="R48" i="1" s="1"/>
  <c r="L83" i="3"/>
  <c r="K177" i="1"/>
  <c r="M177" i="1" s="1"/>
  <c r="O177" i="1" s="1"/>
  <c r="P177" i="1" s="1"/>
  <c r="Q177" i="1" s="1"/>
  <c r="R177" i="1" s="1"/>
  <c r="L70" i="3"/>
  <c r="L80" i="3"/>
  <c r="K170" i="1"/>
  <c r="M170" i="1" s="1"/>
  <c r="O170" i="1" s="1"/>
  <c r="P170" i="1" s="1"/>
  <c r="L20" i="3"/>
  <c r="L13" i="3"/>
  <c r="P91" i="1"/>
  <c r="Q91" i="1" s="1"/>
  <c r="R91" i="1" s="1"/>
  <c r="H140" i="4" s="1"/>
  <c r="P137" i="1"/>
  <c r="Q137" i="1" s="1"/>
  <c r="R137" i="1" s="1"/>
  <c r="L75" i="3"/>
  <c r="Q151" i="1"/>
  <c r="R151" i="1" s="1"/>
  <c r="H190" i="4" s="1"/>
  <c r="L62" i="3"/>
  <c r="L17" i="3"/>
  <c r="K25" i="1"/>
  <c r="M25" i="1" s="1"/>
  <c r="O25" i="1" s="1"/>
  <c r="P25" i="1" s="1"/>
  <c r="Q25" i="1" s="1"/>
  <c r="R25" i="1" s="1"/>
  <c r="L56" i="3"/>
  <c r="K122" i="1"/>
  <c r="M122" i="1" s="1"/>
  <c r="O122" i="1" s="1"/>
  <c r="P122" i="1" s="1"/>
  <c r="Q122" i="1" s="1"/>
  <c r="R122" i="1" s="1"/>
  <c r="L73" i="3"/>
  <c r="K159" i="1"/>
  <c r="M159" i="1" s="1"/>
  <c r="O159" i="1" s="1"/>
  <c r="P159" i="1" s="1"/>
  <c r="Q159" i="1" s="1"/>
  <c r="R159" i="1" s="1"/>
  <c r="L16" i="3"/>
  <c r="K22" i="1"/>
  <c r="M22" i="1" s="1"/>
  <c r="O22" i="1" s="1"/>
  <c r="P22" i="1" s="1"/>
  <c r="Q22" i="1" s="1"/>
  <c r="R22" i="1" s="1"/>
  <c r="L30" i="3"/>
  <c r="K56" i="1"/>
  <c r="M56" i="1" s="1"/>
  <c r="O56" i="1" s="1"/>
  <c r="P56" i="1" s="1"/>
  <c r="L34" i="3"/>
  <c r="K65" i="1"/>
  <c r="M65" i="1" s="1"/>
  <c r="O65" i="1" s="1"/>
  <c r="P65" i="1" s="1"/>
  <c r="Q65" i="1" s="1"/>
  <c r="R65" i="1" s="1"/>
  <c r="L47" i="3"/>
  <c r="L65" i="3"/>
  <c r="K142" i="1"/>
  <c r="M142" i="1" s="1"/>
  <c r="O142" i="1" s="1"/>
  <c r="P142" i="1" s="1"/>
  <c r="Q142" i="1" s="1"/>
  <c r="R142" i="1" s="1"/>
  <c r="P33" i="1"/>
  <c r="Q33" i="1" s="1"/>
  <c r="R33" i="1" s="1"/>
  <c r="H91" i="4" s="1"/>
  <c r="L24" i="3"/>
  <c r="K40" i="1"/>
  <c r="M40" i="1" s="1"/>
  <c r="O40" i="1" s="1"/>
  <c r="P40" i="1" s="1"/>
  <c r="Q40" i="1" s="1"/>
  <c r="R40" i="1" s="1"/>
  <c r="L37" i="3"/>
  <c r="L42" i="3"/>
  <c r="K84" i="1"/>
  <c r="M84" i="1" s="1"/>
  <c r="O84" i="1" s="1"/>
  <c r="P84" i="1" s="1"/>
  <c r="Q84" i="1" s="1"/>
  <c r="R84" i="1" s="1"/>
  <c r="L48" i="3"/>
  <c r="L52" i="3"/>
  <c r="L55" i="3"/>
  <c r="K120" i="1"/>
  <c r="M120" i="1" s="1"/>
  <c r="O120" i="1" s="1"/>
  <c r="P120" i="1" s="1"/>
  <c r="L59" i="3"/>
  <c r="K129" i="1"/>
  <c r="M129" i="1" s="1"/>
  <c r="O129" i="1" s="1"/>
  <c r="P129" i="1" s="1"/>
  <c r="L72" i="3"/>
  <c r="K156" i="1"/>
  <c r="M156" i="1" s="1"/>
  <c r="O156" i="1" s="1"/>
  <c r="P156" i="1" s="1"/>
  <c r="Q156" i="1" s="1"/>
  <c r="R156" i="1" s="1"/>
  <c r="L66" i="3"/>
  <c r="K145" i="1"/>
  <c r="M145" i="1" s="1"/>
  <c r="O145" i="1" s="1"/>
  <c r="P145" i="1" s="1"/>
  <c r="Q145" i="1" s="1"/>
  <c r="R145" i="1" s="1"/>
  <c r="L77" i="3"/>
  <c r="K165" i="1"/>
  <c r="M165" i="1" s="1"/>
  <c r="O165" i="1" s="1"/>
  <c r="P165" i="1" s="1"/>
  <c r="Q165" i="1" s="1"/>
  <c r="R165" i="1" s="1"/>
  <c r="P54" i="1"/>
  <c r="Q54" i="1" s="1"/>
  <c r="R54" i="1" s="1"/>
  <c r="H117" i="4" s="1"/>
  <c r="L39" i="3"/>
  <c r="K77" i="1"/>
  <c r="M77" i="1" s="1"/>
  <c r="O77" i="1" s="1"/>
  <c r="P77" i="1" s="1"/>
  <c r="Q77" i="1" s="1"/>
  <c r="R77" i="1" s="1"/>
  <c r="L57" i="3"/>
  <c r="K124" i="1"/>
  <c r="M124" i="1" s="1"/>
  <c r="O124" i="1" s="1"/>
  <c r="P124" i="1" s="1"/>
  <c r="Q124" i="1" s="1"/>
  <c r="R124" i="1" s="1"/>
  <c r="L74" i="3"/>
  <c r="K160" i="1"/>
  <c r="M160" i="1" s="1"/>
  <c r="O160" i="1" s="1"/>
  <c r="P160" i="1" s="1"/>
  <c r="Q160" i="1" s="1"/>
  <c r="R160" i="1" s="1"/>
  <c r="L76" i="3"/>
  <c r="L78" i="3"/>
  <c r="L25" i="3"/>
  <c r="K43" i="1"/>
  <c r="M43" i="1" s="1"/>
  <c r="O43" i="1" s="1"/>
  <c r="P43" i="1" s="1"/>
  <c r="L14" i="3"/>
  <c r="K17" i="1"/>
  <c r="M17" i="1" s="1"/>
  <c r="O17" i="1" s="1"/>
  <c r="P17" i="1" s="1"/>
  <c r="Q17" i="1" s="1"/>
  <c r="R17" i="1" s="1"/>
  <c r="L45" i="3"/>
  <c r="L12" i="3"/>
  <c r="L19" i="3"/>
  <c r="L26" i="3"/>
  <c r="K45" i="1"/>
  <c r="M45" i="1" s="1"/>
  <c r="O45" i="1" s="1"/>
  <c r="P45" i="1" s="1"/>
  <c r="Q45" i="1" s="1"/>
  <c r="R45" i="1" s="1"/>
  <c r="K20" i="1"/>
  <c r="M20" i="1" s="1"/>
  <c r="O20" i="1" s="1"/>
  <c r="P20" i="1" s="1"/>
  <c r="Q20" i="1" s="1"/>
  <c r="R20" i="1" s="1"/>
  <c r="L63" i="3"/>
  <c r="K140" i="1"/>
  <c r="M140" i="1" s="1"/>
  <c r="O140" i="1" s="1"/>
  <c r="P140" i="1" s="1"/>
  <c r="L79" i="3"/>
  <c r="K169" i="1"/>
  <c r="M169" i="1" s="1"/>
  <c r="O169" i="1" s="1"/>
  <c r="P169" i="1" s="1"/>
  <c r="P70" i="1"/>
  <c r="Q70" i="1" s="1"/>
  <c r="R70" i="1" s="1"/>
  <c r="H126" i="4" s="1"/>
  <c r="P96" i="1"/>
  <c r="Q96" i="1" s="1"/>
  <c r="R96" i="1" s="1"/>
  <c r="H147" i="4" s="1"/>
  <c r="P114" i="1"/>
  <c r="Q114" i="1" s="1"/>
  <c r="R114" i="1" s="1"/>
  <c r="H161" i="4" s="1"/>
  <c r="L31" i="3"/>
  <c r="K57" i="1"/>
  <c r="M57" i="1" s="1"/>
  <c r="O57" i="1" s="1"/>
  <c r="P57" i="1" s="1"/>
  <c r="Q57" i="1" s="1"/>
  <c r="R57" i="1" s="1"/>
  <c r="L49" i="3"/>
  <c r="K104" i="1"/>
  <c r="M104" i="1" s="1"/>
  <c r="O104" i="1" s="1"/>
  <c r="P104" i="1" s="1"/>
  <c r="L21" i="3"/>
  <c r="L28" i="3"/>
  <c r="L35" i="3"/>
  <c r="L38" i="3"/>
  <c r="K74" i="1"/>
  <c r="M74" i="1" s="1"/>
  <c r="O74" i="1" s="1"/>
  <c r="P74" i="1" s="1"/>
  <c r="L43" i="3"/>
  <c r="K86" i="1"/>
  <c r="M86" i="1" s="1"/>
  <c r="O86" i="1" s="1"/>
  <c r="P86" i="1" s="1"/>
  <c r="Q86" i="1" s="1"/>
  <c r="R86" i="1" s="1"/>
  <c r="L32" i="3"/>
  <c r="K61" i="1"/>
  <c r="M61" i="1" s="1"/>
  <c r="O61" i="1" s="1"/>
  <c r="P61" i="1" s="1"/>
  <c r="L50" i="3"/>
  <c r="K108" i="1"/>
  <c r="M108" i="1" s="1"/>
  <c r="O108" i="1" s="1"/>
  <c r="P108" i="1" s="1"/>
  <c r="Q108" i="1" s="1"/>
  <c r="R108" i="1" s="1"/>
  <c r="L53" i="3"/>
  <c r="L60" i="3"/>
  <c r="L67" i="3"/>
  <c r="K146" i="1"/>
  <c r="M146" i="1" s="1"/>
  <c r="O146" i="1" s="1"/>
  <c r="P146" i="1" s="1"/>
  <c r="Q146" i="1" s="1"/>
  <c r="R146" i="1" s="1"/>
  <c r="L22" i="3"/>
  <c r="K36" i="1"/>
  <c r="M36" i="1" s="1"/>
  <c r="O36" i="1" s="1"/>
  <c r="P36" i="1" s="1"/>
  <c r="Q36" i="1" s="1"/>
  <c r="R36" i="1" s="1"/>
  <c r="L29" i="3"/>
  <c r="L33" i="3"/>
  <c r="K62" i="1"/>
  <c r="M62" i="1" s="1"/>
  <c r="O62" i="1" s="1"/>
  <c r="P62" i="1" s="1"/>
  <c r="Q62" i="1" s="1"/>
  <c r="R62" i="1" s="1"/>
  <c r="L36" i="3"/>
  <c r="L44" i="3"/>
  <c r="L46" i="3"/>
  <c r="L51" i="3"/>
  <c r="K109" i="1"/>
  <c r="M109" i="1" s="1"/>
  <c r="O109" i="1" s="1"/>
  <c r="P109" i="1" s="1"/>
  <c r="L23" i="3"/>
  <c r="K37" i="1"/>
  <c r="M37" i="1" s="1"/>
  <c r="O37" i="1" s="1"/>
  <c r="P37" i="1" s="1"/>
  <c r="L41" i="3"/>
  <c r="K82" i="1"/>
  <c r="M82" i="1" s="1"/>
  <c r="O82" i="1" s="1"/>
  <c r="P82" i="1" s="1"/>
  <c r="L54" i="3"/>
  <c r="L58" i="3"/>
  <c r="K126" i="1"/>
  <c r="M126" i="1" s="1"/>
  <c r="O126" i="1" s="1"/>
  <c r="P126" i="1" s="1"/>
  <c r="Q126" i="1" s="1"/>
  <c r="R126" i="1" s="1"/>
  <c r="L61" i="3"/>
  <c r="L68" i="3"/>
  <c r="L71" i="3"/>
  <c r="K155" i="1"/>
  <c r="M155" i="1" s="1"/>
  <c r="O155" i="1" s="1"/>
  <c r="P155" i="1" s="1"/>
  <c r="Q155" i="1" s="1"/>
  <c r="R155" i="1" s="1"/>
  <c r="U49" i="1"/>
  <c r="Y49" i="1" s="1"/>
  <c r="E28" i="1"/>
  <c r="E30" i="1" s="1"/>
  <c r="E34" i="1" s="1"/>
  <c r="E39" i="1" s="1"/>
  <c r="E41" i="1" s="1"/>
  <c r="E50" i="1" s="1"/>
  <c r="E88" i="1" s="1"/>
  <c r="E92" i="1" s="1"/>
  <c r="H28" i="1"/>
  <c r="H30" i="1" s="1"/>
  <c r="H34" i="1" s="1"/>
  <c r="H39" i="1" s="1"/>
  <c r="H41" i="1" s="1"/>
  <c r="H50" i="1" s="1"/>
  <c r="H88" i="1" s="1"/>
  <c r="H92" i="1" s="1"/>
  <c r="R11" i="1"/>
  <c r="P13" i="1"/>
  <c r="Q13" i="1" s="1"/>
  <c r="R13" i="1" s="1"/>
  <c r="H80" i="4" s="1"/>
  <c r="AB636" i="1" l="1"/>
  <c r="Z593" i="1"/>
  <c r="K426" i="4"/>
  <c r="K427" i="4" s="1"/>
  <c r="J420" i="4"/>
  <c r="K420" i="4" s="1"/>
  <c r="P420" i="4" s="1"/>
  <c r="U311" i="1"/>
  <c r="Y311" i="1" s="1"/>
  <c r="T311" i="1"/>
  <c r="W311" i="1" s="1"/>
  <c r="X311" i="1" s="1"/>
  <c r="P321" i="1" s="1"/>
  <c r="Q321" i="1" s="1"/>
  <c r="R321" i="1" s="1"/>
  <c r="H418" i="4" s="1"/>
  <c r="L418" i="4" s="1"/>
  <c r="M418" i="4" s="1"/>
  <c r="K431" i="4"/>
  <c r="P430" i="4"/>
  <c r="J102" i="1"/>
  <c r="J106" i="1" s="1"/>
  <c r="J111" i="1" s="1"/>
  <c r="J118" i="1" s="1"/>
  <c r="J138" i="1" s="1"/>
  <c r="J144" i="1" s="1"/>
  <c r="J147" i="1" s="1"/>
  <c r="J153" i="1" s="1"/>
  <c r="J158" i="1" s="1"/>
  <c r="J161" i="1" s="1"/>
  <c r="J164" i="1" s="1"/>
  <c r="H102" i="1"/>
  <c r="H106" i="1" s="1"/>
  <c r="H111" i="1" s="1"/>
  <c r="H118" i="1" s="1"/>
  <c r="H138" i="1" s="1"/>
  <c r="H144" i="1" s="1"/>
  <c r="H147" i="1" s="1"/>
  <c r="H153" i="1" s="1"/>
  <c r="H158" i="1" s="1"/>
  <c r="H161" i="1" s="1"/>
  <c r="E102" i="1"/>
  <c r="E106" i="1" s="1"/>
  <c r="E111" i="1" s="1"/>
  <c r="E118" i="1" s="1"/>
  <c r="E138" i="1" s="1"/>
  <c r="E144" i="1" s="1"/>
  <c r="E147" i="1" s="1"/>
  <c r="E153" i="1" s="1"/>
  <c r="E158" i="1" s="1"/>
  <c r="E161" i="1" s="1"/>
  <c r="Z596" i="1"/>
  <c r="Z592" i="1" s="1"/>
  <c r="AB630" i="1"/>
  <c r="Z627" i="1"/>
  <c r="AB620" i="1"/>
  <c r="Z617" i="1"/>
  <c r="L161" i="4"/>
  <c r="M161" i="4" s="1"/>
  <c r="J161" i="4"/>
  <c r="K161" i="4" s="1"/>
  <c r="L147" i="4"/>
  <c r="M147" i="4" s="1"/>
  <c r="R147" i="4" s="1"/>
  <c r="J147" i="4"/>
  <c r="K147" i="4" s="1"/>
  <c r="J140" i="4"/>
  <c r="K140" i="4" s="1"/>
  <c r="L140" i="4"/>
  <c r="M140" i="4" s="1"/>
  <c r="R140" i="4" s="1"/>
  <c r="L117" i="4"/>
  <c r="M117" i="4" s="1"/>
  <c r="J117" i="4"/>
  <c r="K117" i="4" s="1"/>
  <c r="H164" i="4"/>
  <c r="H184" i="4"/>
  <c r="J91" i="4"/>
  <c r="K91" i="4" s="1"/>
  <c r="L91" i="4"/>
  <c r="M91" i="4" s="1"/>
  <c r="L190" i="4"/>
  <c r="M190" i="4" s="1"/>
  <c r="J190" i="4"/>
  <c r="K190" i="4" s="1"/>
  <c r="J126" i="4"/>
  <c r="K126" i="4" s="1"/>
  <c r="L126" i="4"/>
  <c r="M126" i="4" s="1"/>
  <c r="R126" i="4" s="1"/>
  <c r="Q169" i="1"/>
  <c r="R169" i="1" s="1"/>
  <c r="P171" i="1"/>
  <c r="Q171" i="1" s="1"/>
  <c r="R171" i="1" s="1"/>
  <c r="H199" i="4" s="1"/>
  <c r="P188" i="1"/>
  <c r="Q188" i="1" s="1"/>
  <c r="R188" i="1" s="1"/>
  <c r="H216" i="4" s="1"/>
  <c r="P183" i="1"/>
  <c r="Q183" i="1" s="1"/>
  <c r="R183" i="1" s="1"/>
  <c r="H207" i="4" s="1"/>
  <c r="Q181" i="1"/>
  <c r="R181" i="1" s="1"/>
  <c r="Q192" i="1"/>
  <c r="R192" i="1" s="1"/>
  <c r="P193" i="1"/>
  <c r="Q193" i="1" s="1"/>
  <c r="R193" i="1" s="1"/>
  <c r="H219" i="4" s="1"/>
  <c r="T96" i="1"/>
  <c r="W96" i="1" s="1"/>
  <c r="X96" i="1" s="1"/>
  <c r="P100" i="1" s="1"/>
  <c r="Q100" i="1" s="1"/>
  <c r="R100" i="1" s="1"/>
  <c r="H143" i="4" s="1"/>
  <c r="T70" i="1"/>
  <c r="W70" i="1" s="1"/>
  <c r="X70" i="1" s="1"/>
  <c r="U151" i="1"/>
  <c r="Y151" i="1" s="1"/>
  <c r="L80" i="4"/>
  <c r="M80" i="4" s="1"/>
  <c r="J80" i="4"/>
  <c r="K80" i="4" s="1"/>
  <c r="Q80" i="4" s="1"/>
  <c r="T91" i="1"/>
  <c r="W91" i="1" s="1"/>
  <c r="X91" i="1" s="1"/>
  <c r="U114" i="1"/>
  <c r="Y114" i="1" s="1"/>
  <c r="U54" i="1"/>
  <c r="Y54" i="1" s="1"/>
  <c r="U137" i="1"/>
  <c r="Y137" i="1" s="1"/>
  <c r="U33" i="1"/>
  <c r="Y33" i="1" s="1"/>
  <c r="P23" i="1"/>
  <c r="Q23" i="1" s="1"/>
  <c r="R23" i="1" s="1"/>
  <c r="H86" i="4" s="1"/>
  <c r="Q176" i="1"/>
  <c r="R176" i="1" s="1"/>
  <c r="P178" i="1"/>
  <c r="Q178" i="1" s="1"/>
  <c r="R178" i="1" s="1"/>
  <c r="H204" i="4" s="1"/>
  <c r="U91" i="1"/>
  <c r="Y91" i="1" s="1"/>
  <c r="T114" i="1"/>
  <c r="W114" i="1" s="1"/>
  <c r="X114" i="1" s="1"/>
  <c r="P117" i="1" s="1"/>
  <c r="Q117" i="1" s="1"/>
  <c r="R117" i="1" s="1"/>
  <c r="H159" i="4" s="1"/>
  <c r="T137" i="1"/>
  <c r="W137" i="1" s="1"/>
  <c r="X137" i="1" s="1"/>
  <c r="U70" i="1"/>
  <c r="Y70" i="1" s="1"/>
  <c r="Q170" i="1"/>
  <c r="R170" i="1" s="1"/>
  <c r="T151" i="1"/>
  <c r="W151" i="1" s="1"/>
  <c r="X151" i="1" s="1"/>
  <c r="T33" i="1"/>
  <c r="W33" i="1" s="1"/>
  <c r="X33" i="1" s="1"/>
  <c r="T54" i="1"/>
  <c r="W54" i="1" s="1"/>
  <c r="X54" i="1" s="1"/>
  <c r="Q140" i="1"/>
  <c r="R140" i="1" s="1"/>
  <c r="P143" i="1"/>
  <c r="Q143" i="1" s="1"/>
  <c r="R143" i="1" s="1"/>
  <c r="H187" i="4" s="1"/>
  <c r="Q120" i="1"/>
  <c r="R120" i="1" s="1"/>
  <c r="P121" i="1"/>
  <c r="Q121" i="1" s="1"/>
  <c r="R121" i="1" s="1"/>
  <c r="H178" i="4" s="1"/>
  <c r="U96" i="1"/>
  <c r="Y96" i="1" s="1"/>
  <c r="Q37" i="1"/>
  <c r="R37" i="1" s="1"/>
  <c r="P38" i="1"/>
  <c r="Q38" i="1" s="1"/>
  <c r="R38" i="1" s="1"/>
  <c r="H94" i="4" s="1"/>
  <c r="Q61" i="1"/>
  <c r="R61" i="1" s="1"/>
  <c r="P63" i="1"/>
  <c r="Q63" i="1" s="1"/>
  <c r="R63" i="1" s="1"/>
  <c r="H123" i="4" s="1"/>
  <c r="Q129" i="1"/>
  <c r="R129" i="1" s="1"/>
  <c r="P131" i="1"/>
  <c r="Q131" i="1" s="1"/>
  <c r="R131" i="1" s="1"/>
  <c r="H181" i="4" s="1"/>
  <c r="Q82" i="1"/>
  <c r="R82" i="1" s="1"/>
  <c r="P83" i="1"/>
  <c r="Q83" i="1" s="1"/>
  <c r="R83" i="1" s="1"/>
  <c r="H136" i="4" s="1"/>
  <c r="Q56" i="1"/>
  <c r="R56" i="1" s="1"/>
  <c r="P58" i="1"/>
  <c r="Q58" i="1" s="1"/>
  <c r="R58" i="1" s="1"/>
  <c r="H120" i="4" s="1"/>
  <c r="Q74" i="1"/>
  <c r="R74" i="1" s="1"/>
  <c r="P75" i="1"/>
  <c r="Q75" i="1" s="1"/>
  <c r="R75" i="1" s="1"/>
  <c r="H129" i="4" s="1"/>
  <c r="P99" i="1"/>
  <c r="Q99" i="1" s="1"/>
  <c r="R99" i="1" s="1"/>
  <c r="H150" i="4" s="1"/>
  <c r="Q104" i="1"/>
  <c r="R104" i="1" s="1"/>
  <c r="P105" i="1"/>
  <c r="Q105" i="1" s="1"/>
  <c r="R105" i="1" s="1"/>
  <c r="H153" i="4" s="1"/>
  <c r="Q109" i="1"/>
  <c r="R109" i="1" s="1"/>
  <c r="P110" i="1"/>
  <c r="Q110" i="1" s="1"/>
  <c r="R110" i="1" s="1"/>
  <c r="H156" i="4" s="1"/>
  <c r="Q43" i="1"/>
  <c r="R43" i="1" s="1"/>
  <c r="P44" i="1"/>
  <c r="Q44" i="1" s="1"/>
  <c r="R44" i="1" s="1"/>
  <c r="H99" i="4" s="1"/>
  <c r="U13" i="1"/>
  <c r="Y13" i="1" s="1"/>
  <c r="T13" i="1"/>
  <c r="W13" i="1" s="1"/>
  <c r="X13" i="1" s="1"/>
  <c r="P16" i="1" s="1"/>
  <c r="Q16" i="1" s="1"/>
  <c r="R16" i="1" s="1"/>
  <c r="H77" i="4" s="1"/>
  <c r="E4" i="4"/>
  <c r="D5" i="3"/>
  <c r="I5" i="3"/>
  <c r="I4" i="3"/>
  <c r="D4" i="3"/>
  <c r="I33" i="7"/>
  <c r="K33" i="7"/>
  <c r="Z33" i="7"/>
  <c r="W33" i="7"/>
  <c r="S23" i="7"/>
  <c r="T23" i="7" s="1"/>
  <c r="M21" i="7"/>
  <c r="O21" i="7" s="1"/>
  <c r="L11" i="7"/>
  <c r="N11" i="7" s="1"/>
  <c r="D11" i="7"/>
  <c r="P21" i="7"/>
  <c r="N21" i="7"/>
  <c r="K21" i="7"/>
  <c r="I21" i="7"/>
  <c r="H21" i="7"/>
  <c r="F21" i="7"/>
  <c r="AD23" i="7"/>
  <c r="H11" i="7"/>
  <c r="J33" i="7"/>
  <c r="X5" i="4"/>
  <c r="X3" i="4"/>
  <c r="Q5" i="4"/>
  <c r="Q4" i="4"/>
  <c r="E5" i="4"/>
  <c r="P426" i="4" l="1"/>
  <c r="Q425" i="4" s="1"/>
  <c r="R425" i="4" s="1"/>
  <c r="K421" i="4"/>
  <c r="K422" i="4" s="1"/>
  <c r="J418" i="4"/>
  <c r="K418" i="4" s="1"/>
  <c r="K419" i="4" s="1"/>
  <c r="U321" i="1"/>
  <c r="Y321" i="1" s="1"/>
  <c r="T321" i="1"/>
  <c r="W321" i="1" s="1"/>
  <c r="X321" i="1" s="1"/>
  <c r="P327" i="1" s="1"/>
  <c r="Q327" i="1" s="1"/>
  <c r="R327" i="1" s="1"/>
  <c r="H416" i="4" s="1"/>
  <c r="L416" i="4" s="1"/>
  <c r="M416" i="4" s="1"/>
  <c r="P431" i="4"/>
  <c r="Q428" i="4" s="1"/>
  <c r="R428" i="4" s="1"/>
  <c r="K432" i="4"/>
  <c r="AB593" i="1"/>
  <c r="AB596" i="1"/>
  <c r="AB592" i="1"/>
  <c r="Z589" i="1"/>
  <c r="AB627" i="1"/>
  <c r="Z625" i="1"/>
  <c r="AB625" i="1" s="1"/>
  <c r="Z616" i="1"/>
  <c r="AB616" i="1" s="1"/>
  <c r="AB617" i="1"/>
  <c r="Z612" i="1"/>
  <c r="AB612" i="1" s="1"/>
  <c r="L181" i="4"/>
  <c r="M181" i="4" s="1"/>
  <c r="J181" i="4"/>
  <c r="K181" i="4" s="1"/>
  <c r="Q181" i="4" s="1"/>
  <c r="J187" i="4"/>
  <c r="K187" i="4" s="1"/>
  <c r="L187" i="4"/>
  <c r="M187" i="4" s="1"/>
  <c r="R187" i="4" s="1"/>
  <c r="J99" i="4"/>
  <c r="K99" i="4" s="1"/>
  <c r="L99" i="4"/>
  <c r="M99" i="4" s="1"/>
  <c r="R99" i="4" s="1"/>
  <c r="L159" i="4"/>
  <c r="M159" i="4" s="1"/>
  <c r="J159" i="4"/>
  <c r="K159" i="4" s="1"/>
  <c r="J120" i="4"/>
  <c r="K120" i="4" s="1"/>
  <c r="L120" i="4"/>
  <c r="M120" i="4" s="1"/>
  <c r="R120" i="4" s="1"/>
  <c r="L204" i="4"/>
  <c r="M204" i="4" s="1"/>
  <c r="J204" i="4"/>
  <c r="K204" i="4" s="1"/>
  <c r="Q204" i="4" s="1"/>
  <c r="P91" i="4"/>
  <c r="Q91" i="4" s="1"/>
  <c r="R91" i="4" s="1"/>
  <c r="K92" i="4"/>
  <c r="L150" i="4"/>
  <c r="M150" i="4" s="1"/>
  <c r="R150" i="4" s="1"/>
  <c r="J150" i="4"/>
  <c r="K150" i="4" s="1"/>
  <c r="J94" i="4"/>
  <c r="K94" i="4" s="1"/>
  <c r="L94" i="4"/>
  <c r="M94" i="4" s="1"/>
  <c r="R94" i="4" s="1"/>
  <c r="L184" i="4"/>
  <c r="M184" i="4" s="1"/>
  <c r="J184" i="4"/>
  <c r="K184" i="4" s="1"/>
  <c r="Q184" i="4" s="1"/>
  <c r="K162" i="4"/>
  <c r="P161" i="4"/>
  <c r="Q161" i="4" s="1"/>
  <c r="R161" i="4" s="1"/>
  <c r="L178" i="4"/>
  <c r="M178" i="4" s="1"/>
  <c r="R178" i="4" s="1"/>
  <c r="J178" i="4"/>
  <c r="K178" i="4" s="1"/>
  <c r="P117" i="4"/>
  <c r="Q117" i="4" s="1"/>
  <c r="R117" i="4" s="1"/>
  <c r="K118" i="4"/>
  <c r="J216" i="4"/>
  <c r="K216" i="4" s="1"/>
  <c r="L216" i="4"/>
  <c r="M216" i="4" s="1"/>
  <c r="R216" i="4" s="1"/>
  <c r="K191" i="4"/>
  <c r="P190" i="4"/>
  <c r="Q190" i="4" s="1"/>
  <c r="R190" i="4" s="1"/>
  <c r="L129" i="4"/>
  <c r="M129" i="4" s="1"/>
  <c r="R129" i="4" s="1"/>
  <c r="J129" i="4"/>
  <c r="K129" i="4" s="1"/>
  <c r="J123" i="4"/>
  <c r="K123" i="4" s="1"/>
  <c r="L123" i="4"/>
  <c r="M123" i="4" s="1"/>
  <c r="R123" i="4" s="1"/>
  <c r="L143" i="4"/>
  <c r="M143" i="4" s="1"/>
  <c r="J143" i="4"/>
  <c r="K143" i="4" s="1"/>
  <c r="J219" i="4"/>
  <c r="K219" i="4" s="1"/>
  <c r="L219" i="4"/>
  <c r="M219" i="4" s="1"/>
  <c r="R219" i="4" s="1"/>
  <c r="J156" i="4"/>
  <c r="K156" i="4" s="1"/>
  <c r="L156" i="4"/>
  <c r="M156" i="4" s="1"/>
  <c r="R156" i="4" s="1"/>
  <c r="J153" i="4"/>
  <c r="K153" i="4" s="1"/>
  <c r="L153" i="4"/>
  <c r="M153" i="4" s="1"/>
  <c r="R153" i="4" s="1"/>
  <c r="L136" i="4"/>
  <c r="M136" i="4" s="1"/>
  <c r="J136" i="4"/>
  <c r="K136" i="4" s="1"/>
  <c r="L199" i="4"/>
  <c r="M199" i="4" s="1"/>
  <c r="J199" i="4"/>
  <c r="K199" i="4" s="1"/>
  <c r="J86" i="4"/>
  <c r="K86" i="4" s="1"/>
  <c r="L86" i="4"/>
  <c r="M86" i="4" s="1"/>
  <c r="J207" i="4"/>
  <c r="K207" i="4" s="1"/>
  <c r="L207" i="4"/>
  <c r="M207" i="4" s="1"/>
  <c r="R207" i="4" s="1"/>
  <c r="J164" i="4"/>
  <c r="K164" i="4" s="1"/>
  <c r="L164" i="4"/>
  <c r="M164" i="4" s="1"/>
  <c r="R164" i="4" s="1"/>
  <c r="J167" i="1"/>
  <c r="H164" i="1"/>
  <c r="H167" i="1" s="1"/>
  <c r="E164" i="1"/>
  <c r="E167" i="1" s="1"/>
  <c r="R80" i="4"/>
  <c r="T193" i="1"/>
  <c r="W193" i="1" s="1"/>
  <c r="X193" i="1" s="1"/>
  <c r="U193" i="1"/>
  <c r="Y193" i="1" s="1"/>
  <c r="T100" i="1"/>
  <c r="W100" i="1" s="1"/>
  <c r="X100" i="1" s="1"/>
  <c r="T183" i="1"/>
  <c r="W183" i="1" s="1"/>
  <c r="X183" i="1" s="1"/>
  <c r="U183" i="1"/>
  <c r="Y183" i="1" s="1"/>
  <c r="U100" i="1"/>
  <c r="Y100" i="1" s="1"/>
  <c r="T188" i="1"/>
  <c r="W188" i="1" s="1"/>
  <c r="X188" i="1" s="1"/>
  <c r="U188" i="1"/>
  <c r="Y188" i="1" s="1"/>
  <c r="U117" i="1"/>
  <c r="Y117" i="1" s="1"/>
  <c r="L77" i="4"/>
  <c r="M77" i="4" s="1"/>
  <c r="J77" i="4"/>
  <c r="K77" i="4" s="1"/>
  <c r="U23" i="1"/>
  <c r="Y23" i="1" s="1"/>
  <c r="T23" i="1"/>
  <c r="W23" i="1" s="1"/>
  <c r="X23" i="1" s="1"/>
  <c r="U178" i="1"/>
  <c r="Y178" i="1" s="1"/>
  <c r="T178" i="1"/>
  <c r="W178" i="1" s="1"/>
  <c r="X178" i="1" s="1"/>
  <c r="P179" i="1" s="1"/>
  <c r="T117" i="1"/>
  <c r="W117" i="1" s="1"/>
  <c r="X117" i="1" s="1"/>
  <c r="T171" i="1"/>
  <c r="W171" i="1" s="1"/>
  <c r="X171" i="1" s="1"/>
  <c r="P173" i="1" s="1"/>
  <c r="Q173" i="1" s="1"/>
  <c r="R173" i="1" s="1"/>
  <c r="H197" i="4" s="1"/>
  <c r="U171" i="1"/>
  <c r="Y171" i="1" s="1"/>
  <c r="T44" i="1"/>
  <c r="W44" i="1" s="1"/>
  <c r="X44" i="1" s="1"/>
  <c r="P46" i="1" s="1"/>
  <c r="Q46" i="1" s="1"/>
  <c r="R46" i="1" s="1"/>
  <c r="H97" i="4" s="1"/>
  <c r="U44" i="1"/>
  <c r="Y44" i="1" s="1"/>
  <c r="U110" i="1"/>
  <c r="Y110" i="1" s="1"/>
  <c r="T110" i="1"/>
  <c r="W110" i="1" s="1"/>
  <c r="X110" i="1" s="1"/>
  <c r="U58" i="1"/>
  <c r="Y58" i="1" s="1"/>
  <c r="T58" i="1"/>
  <c r="W58" i="1" s="1"/>
  <c r="X58" i="1" s="1"/>
  <c r="P59" i="1" s="1"/>
  <c r="Q59" i="1" s="1"/>
  <c r="R59" i="1" s="1"/>
  <c r="H115" i="4" s="1"/>
  <c r="T38" i="1"/>
  <c r="W38" i="1" s="1"/>
  <c r="X38" i="1" s="1"/>
  <c r="U38" i="1"/>
  <c r="Y38" i="1" s="1"/>
  <c r="U99" i="1"/>
  <c r="Y99" i="1" s="1"/>
  <c r="T99" i="1"/>
  <c r="W99" i="1" s="1"/>
  <c r="X99" i="1" s="1"/>
  <c r="U131" i="1"/>
  <c r="Y131" i="1" s="1"/>
  <c r="T131" i="1"/>
  <c r="W131" i="1" s="1"/>
  <c r="X131" i="1" s="1"/>
  <c r="T83" i="1"/>
  <c r="W83" i="1" s="1"/>
  <c r="X83" i="1" s="1"/>
  <c r="P85" i="1" s="1"/>
  <c r="Q85" i="1" s="1"/>
  <c r="R85" i="1" s="1"/>
  <c r="H134" i="4" s="1"/>
  <c r="U83" i="1"/>
  <c r="Y83" i="1" s="1"/>
  <c r="U121" i="1"/>
  <c r="Y121" i="1" s="1"/>
  <c r="T121" i="1"/>
  <c r="W121" i="1" s="1"/>
  <c r="X121" i="1" s="1"/>
  <c r="P123" i="1" s="1"/>
  <c r="Q123" i="1" s="1"/>
  <c r="R123" i="1" s="1"/>
  <c r="H175" i="4" s="1"/>
  <c r="T143" i="1"/>
  <c r="W143" i="1" s="1"/>
  <c r="X143" i="1" s="1"/>
  <c r="U143" i="1"/>
  <c r="Y143" i="1" s="1"/>
  <c r="T105" i="1"/>
  <c r="W105" i="1" s="1"/>
  <c r="X105" i="1" s="1"/>
  <c r="U105" i="1"/>
  <c r="Y105" i="1" s="1"/>
  <c r="U75" i="1"/>
  <c r="Y75" i="1" s="1"/>
  <c r="T75" i="1"/>
  <c r="W75" i="1" s="1"/>
  <c r="X75" i="1" s="1"/>
  <c r="T63" i="1"/>
  <c r="W63" i="1" s="1"/>
  <c r="X63" i="1" s="1"/>
  <c r="U63" i="1"/>
  <c r="Y63" i="1" s="1"/>
  <c r="Q21" i="7"/>
  <c r="R21" i="7" s="1"/>
  <c r="S21" i="7" s="1"/>
  <c r="T21" i="7" s="1"/>
  <c r="U16" i="1"/>
  <c r="Y16" i="1" s="1"/>
  <c r="T16" i="1"/>
  <c r="W16" i="1" s="1"/>
  <c r="X16" i="1" s="1"/>
  <c r="N33" i="7"/>
  <c r="O33" i="7" s="1"/>
  <c r="L33" i="7"/>
  <c r="M33" i="7" s="1"/>
  <c r="R33" i="7" s="1"/>
  <c r="S33" i="7" s="1"/>
  <c r="V23" i="7"/>
  <c r="Y23" i="7" s="1"/>
  <c r="Z23" i="7" s="1"/>
  <c r="W23" i="7"/>
  <c r="AA23" i="7" s="1"/>
  <c r="P194" i="1" l="1"/>
  <c r="Q194" i="1" s="1"/>
  <c r="R194" i="1" s="1"/>
  <c r="H214" i="4" s="1"/>
  <c r="J214" i="4" s="1"/>
  <c r="K214" i="4" s="1"/>
  <c r="P190" i="1"/>
  <c r="Q190" i="1" s="1"/>
  <c r="R190" i="1" s="1"/>
  <c r="P421" i="4"/>
  <c r="P24" i="1"/>
  <c r="Q24" i="1" s="1"/>
  <c r="R24" i="1" s="1"/>
  <c r="P418" i="4"/>
  <c r="Q418" i="4" s="1"/>
  <c r="R418" i="4" s="1"/>
  <c r="J416" i="4"/>
  <c r="K416" i="4" s="1"/>
  <c r="P416" i="4" s="1"/>
  <c r="Q416" i="4" s="1"/>
  <c r="R416" i="4" s="1"/>
  <c r="T327" i="1"/>
  <c r="W327" i="1" s="1"/>
  <c r="X327" i="1" s="1"/>
  <c r="U327" i="1"/>
  <c r="Y327" i="1" s="1"/>
  <c r="P422" i="4"/>
  <c r="K423" i="4"/>
  <c r="P18" i="1"/>
  <c r="Q18" i="1" s="1"/>
  <c r="R18" i="1" s="1"/>
  <c r="R184" i="4"/>
  <c r="R181" i="4"/>
  <c r="R204" i="4"/>
  <c r="K200" i="4"/>
  <c r="P199" i="4"/>
  <c r="Q199" i="4" s="1"/>
  <c r="R199" i="4" s="1"/>
  <c r="L197" i="4"/>
  <c r="M197" i="4" s="1"/>
  <c r="J197" i="4"/>
  <c r="K197" i="4" s="1"/>
  <c r="K87" i="4"/>
  <c r="P86" i="4"/>
  <c r="J97" i="4"/>
  <c r="K97" i="4" s="1"/>
  <c r="L97" i="4"/>
  <c r="M97" i="4" s="1"/>
  <c r="J175" i="4"/>
  <c r="K175" i="4" s="1"/>
  <c r="L175" i="4"/>
  <c r="M175" i="4" s="1"/>
  <c r="J115" i="4"/>
  <c r="K115" i="4" s="1"/>
  <c r="L115" i="4"/>
  <c r="M115" i="4" s="1"/>
  <c r="P159" i="4"/>
  <c r="Q159" i="4" s="1"/>
  <c r="R159" i="4" s="1"/>
  <c r="K160" i="4"/>
  <c r="K137" i="4"/>
  <c r="P136" i="4"/>
  <c r="P143" i="4"/>
  <c r="K144" i="4"/>
  <c r="L134" i="4"/>
  <c r="M134" i="4" s="1"/>
  <c r="J134" i="4"/>
  <c r="K134" i="4" s="1"/>
  <c r="J174" i="1"/>
  <c r="J184" i="1" s="1"/>
  <c r="J200" i="1" s="1"/>
  <c r="H174" i="1"/>
  <c r="H184" i="1" s="1"/>
  <c r="H200" i="1" s="1"/>
  <c r="E174" i="1"/>
  <c r="E184" i="1" s="1"/>
  <c r="E200" i="1" s="1"/>
  <c r="U173" i="1"/>
  <c r="Y173" i="1" s="1"/>
  <c r="T173" i="1"/>
  <c r="W173" i="1" s="1"/>
  <c r="X173" i="1" s="1"/>
  <c r="P77" i="4"/>
  <c r="Q77" i="4" s="1"/>
  <c r="R77" i="4" s="1"/>
  <c r="K78" i="4"/>
  <c r="T123" i="1"/>
  <c r="W123" i="1" s="1"/>
  <c r="X123" i="1" s="1"/>
  <c r="P125" i="1" s="1"/>
  <c r="Q125" i="1" s="1"/>
  <c r="R125" i="1" s="1"/>
  <c r="H173" i="4" s="1"/>
  <c r="U123" i="1"/>
  <c r="Y123" i="1" s="1"/>
  <c r="T59" i="1"/>
  <c r="W59" i="1" s="1"/>
  <c r="X59" i="1" s="1"/>
  <c r="P64" i="1" s="1"/>
  <c r="Q64" i="1" s="1"/>
  <c r="R64" i="1" s="1"/>
  <c r="H113" i="4" s="1"/>
  <c r="U59" i="1"/>
  <c r="Y59" i="1" s="1"/>
  <c r="U85" i="1"/>
  <c r="Y85" i="1" s="1"/>
  <c r="T85" i="1"/>
  <c r="W85" i="1" s="1"/>
  <c r="X85" i="1" s="1"/>
  <c r="P87" i="1" s="1"/>
  <c r="Q87" i="1" s="1"/>
  <c r="R87" i="1" s="1"/>
  <c r="H132" i="4" s="1"/>
  <c r="U46" i="1"/>
  <c r="Y46" i="1" s="1"/>
  <c r="T46" i="1"/>
  <c r="W46" i="1" s="1"/>
  <c r="X46" i="1" s="1"/>
  <c r="T33" i="7"/>
  <c r="U194" i="1" l="1"/>
  <c r="Y194" i="1" s="1"/>
  <c r="L214" i="4"/>
  <c r="M214" i="4" s="1"/>
  <c r="T194" i="1"/>
  <c r="W194" i="1" s="1"/>
  <c r="X194" i="1" s="1"/>
  <c r="P197" i="1" s="1"/>
  <c r="Q197" i="1" s="1"/>
  <c r="R197" i="1" s="1"/>
  <c r="H212" i="4" s="1"/>
  <c r="J212" i="4" s="1"/>
  <c r="K212" i="4" s="1"/>
  <c r="T190" i="1"/>
  <c r="W190" i="1" s="1"/>
  <c r="X190" i="1" s="1"/>
  <c r="U190" i="1"/>
  <c r="Y190" i="1" s="1"/>
  <c r="U24" i="1"/>
  <c r="Y24" i="1" s="1"/>
  <c r="T24" i="1"/>
  <c r="W24" i="1" s="1"/>
  <c r="X24" i="1" s="1"/>
  <c r="P26" i="1" s="1"/>
  <c r="Q26" i="1" s="1"/>
  <c r="R26" i="1" s="1"/>
  <c r="K417" i="4"/>
  <c r="P423" i="4"/>
  <c r="Q420" i="4" s="1"/>
  <c r="R420" i="4" s="1"/>
  <c r="K424" i="4"/>
  <c r="H74" i="4"/>
  <c r="T18" i="1"/>
  <c r="W18" i="1" s="1"/>
  <c r="X18" i="1" s="1"/>
  <c r="P28" i="1" s="1"/>
  <c r="Q28" i="1" s="1"/>
  <c r="R28" i="1" s="1"/>
  <c r="H72" i="4" s="1"/>
  <c r="L72" i="4" s="1"/>
  <c r="M72" i="4" s="1"/>
  <c r="U18" i="1"/>
  <c r="Y18" i="1" s="1"/>
  <c r="J202" i="1"/>
  <c r="J220" i="1" s="1"/>
  <c r="J221" i="1" s="1"/>
  <c r="H202" i="1"/>
  <c r="H220" i="1" s="1"/>
  <c r="H221" i="1" s="1"/>
  <c r="E202" i="1"/>
  <c r="E220" i="1" s="1"/>
  <c r="E221" i="1" s="1"/>
  <c r="P137" i="4"/>
  <c r="Q136" i="4" s="1"/>
  <c r="R136" i="4" s="1"/>
  <c r="K138" i="4"/>
  <c r="P97" i="4"/>
  <c r="Q97" i="4" s="1"/>
  <c r="R97" i="4" s="1"/>
  <c r="K98" i="4"/>
  <c r="L173" i="4"/>
  <c r="M173" i="4" s="1"/>
  <c r="J173" i="4"/>
  <c r="K173" i="4" s="1"/>
  <c r="K116" i="4"/>
  <c r="P115" i="4"/>
  <c r="Q115" i="4" s="1"/>
  <c r="R115" i="4" s="1"/>
  <c r="P175" i="4"/>
  <c r="K176" i="4"/>
  <c r="P134" i="4"/>
  <c r="Q134" i="4" s="1"/>
  <c r="R134" i="4" s="1"/>
  <c r="K135" i="4"/>
  <c r="K215" i="4"/>
  <c r="P214" i="4"/>
  <c r="Q214" i="4" s="1"/>
  <c r="K145" i="4"/>
  <c r="P144" i="4"/>
  <c r="J132" i="4"/>
  <c r="K132" i="4" s="1"/>
  <c r="L132" i="4"/>
  <c r="M132" i="4" s="1"/>
  <c r="P197" i="4"/>
  <c r="Q197" i="4" s="1"/>
  <c r="R197" i="4" s="1"/>
  <c r="K198" i="4"/>
  <c r="L113" i="4"/>
  <c r="M113" i="4" s="1"/>
  <c r="J113" i="4"/>
  <c r="K113" i="4" s="1"/>
  <c r="K88" i="4"/>
  <c r="P87" i="4"/>
  <c r="U64" i="1"/>
  <c r="Y64" i="1" s="1"/>
  <c r="T64" i="1"/>
  <c r="W64" i="1" s="1"/>
  <c r="X64" i="1" s="1"/>
  <c r="P66" i="1" s="1"/>
  <c r="Q66" i="1" s="1"/>
  <c r="R66" i="1" s="1"/>
  <c r="H111" i="4" s="1"/>
  <c r="U125" i="1"/>
  <c r="Y125" i="1" s="1"/>
  <c r="T125" i="1"/>
  <c r="W125" i="1" s="1"/>
  <c r="X125" i="1" s="1"/>
  <c r="U87" i="1"/>
  <c r="Y87" i="1" s="1"/>
  <c r="T87" i="1"/>
  <c r="W87" i="1" s="1"/>
  <c r="X87" i="1" s="1"/>
  <c r="R214" i="4" l="1"/>
  <c r="T197" i="1"/>
  <c r="W197" i="1" s="1"/>
  <c r="X197" i="1" s="1"/>
  <c r="P199" i="1" s="1"/>
  <c r="Q199" i="1" s="1"/>
  <c r="R199" i="1" s="1"/>
  <c r="H210" i="4" s="1"/>
  <c r="J210" i="4" s="1"/>
  <c r="K210" i="4" s="1"/>
  <c r="L212" i="4"/>
  <c r="M212" i="4" s="1"/>
  <c r="U197" i="1"/>
  <c r="Y197" i="1" s="1"/>
  <c r="H83" i="4"/>
  <c r="T26" i="1"/>
  <c r="W26" i="1" s="1"/>
  <c r="X26" i="1" s="1"/>
  <c r="U26" i="1"/>
  <c r="Y26" i="1" s="1"/>
  <c r="T28" i="1"/>
  <c r="W28" i="1" s="1"/>
  <c r="X28" i="1" s="1"/>
  <c r="P30" i="1" s="1"/>
  <c r="Q30" i="1" s="1"/>
  <c r="R30" i="1" s="1"/>
  <c r="H70" i="4" s="1"/>
  <c r="L70" i="4" s="1"/>
  <c r="M70" i="4" s="1"/>
  <c r="J72" i="4"/>
  <c r="K72" i="4" s="1"/>
  <c r="K73" i="4" s="1"/>
  <c r="U28" i="1"/>
  <c r="Y28" i="1" s="1"/>
  <c r="J74" i="4"/>
  <c r="K74" i="4" s="1"/>
  <c r="L74" i="4"/>
  <c r="M74" i="4" s="1"/>
  <c r="J222" i="1"/>
  <c r="J226" i="1" s="1"/>
  <c r="J230" i="1" s="1"/>
  <c r="E222" i="1"/>
  <c r="E226" i="1" s="1"/>
  <c r="E230" i="1" s="1"/>
  <c r="H222" i="1"/>
  <c r="H226" i="1" s="1"/>
  <c r="H230" i="1" s="1"/>
  <c r="P127" i="1"/>
  <c r="Q127" i="1" s="1"/>
  <c r="R127" i="1" s="1"/>
  <c r="H171" i="4" s="1"/>
  <c r="J171" i="4" s="1"/>
  <c r="K171" i="4" s="1"/>
  <c r="L111" i="4"/>
  <c r="M111" i="4" s="1"/>
  <c r="J111" i="4"/>
  <c r="K111" i="4" s="1"/>
  <c r="P113" i="4"/>
  <c r="Q113" i="4" s="1"/>
  <c r="R113" i="4" s="1"/>
  <c r="K114" i="4"/>
  <c r="P145" i="4"/>
  <c r="Q143" i="4" s="1"/>
  <c r="R143" i="4" s="1"/>
  <c r="K146" i="4"/>
  <c r="P173" i="4"/>
  <c r="Q173" i="4" s="1"/>
  <c r="R173" i="4" s="1"/>
  <c r="K174" i="4"/>
  <c r="K133" i="4"/>
  <c r="P132" i="4"/>
  <c r="Q132" i="4" s="1"/>
  <c r="R132" i="4" s="1"/>
  <c r="K89" i="4"/>
  <c r="P88" i="4"/>
  <c r="Q86" i="4" s="1"/>
  <c r="R86" i="4" s="1"/>
  <c r="K177" i="4"/>
  <c r="P176" i="4"/>
  <c r="Q175" i="4" s="1"/>
  <c r="R175" i="4" s="1"/>
  <c r="K213" i="4"/>
  <c r="P212" i="4"/>
  <c r="Q212" i="4" s="1"/>
  <c r="T66" i="1"/>
  <c r="W66" i="1" s="1"/>
  <c r="X66" i="1" s="1"/>
  <c r="P71" i="1" s="1"/>
  <c r="Q71" i="1" s="1"/>
  <c r="R71" i="1" s="1"/>
  <c r="H109" i="4" s="1"/>
  <c r="U66" i="1"/>
  <c r="Y66" i="1" s="1"/>
  <c r="R212" i="4" l="1"/>
  <c r="T199" i="1"/>
  <c r="W199" i="1" s="1"/>
  <c r="X199" i="1" s="1"/>
  <c r="L210" i="4"/>
  <c r="M210" i="4" s="1"/>
  <c r="U199" i="1"/>
  <c r="Y199" i="1" s="1"/>
  <c r="J83" i="4"/>
  <c r="K83" i="4" s="1"/>
  <c r="L83" i="4"/>
  <c r="M83" i="4" s="1"/>
  <c r="J70" i="4"/>
  <c r="K70" i="4" s="1"/>
  <c r="Q70" i="4" s="1"/>
  <c r="R70" i="4" s="1"/>
  <c r="P72" i="4"/>
  <c r="Q72" i="4" s="1"/>
  <c r="R72" i="4" s="1"/>
  <c r="T30" i="1"/>
  <c r="W30" i="1" s="1"/>
  <c r="X30" i="1" s="1"/>
  <c r="P34" i="1" s="1"/>
  <c r="Q34" i="1" s="1"/>
  <c r="R34" i="1" s="1"/>
  <c r="H68" i="4" s="1"/>
  <c r="L68" i="4" s="1"/>
  <c r="M68" i="4" s="1"/>
  <c r="U30" i="1"/>
  <c r="Y30" i="1" s="1"/>
  <c r="P74" i="4"/>
  <c r="K75" i="4"/>
  <c r="T127" i="1"/>
  <c r="W127" i="1" s="1"/>
  <c r="X127" i="1" s="1"/>
  <c r="P132" i="1" s="1"/>
  <c r="Q132" i="1" s="1"/>
  <c r="R132" i="1" s="1"/>
  <c r="U127" i="1"/>
  <c r="Y127" i="1" s="1"/>
  <c r="L171" i="4"/>
  <c r="M171" i="4" s="1"/>
  <c r="P111" i="4"/>
  <c r="Q111" i="4" s="1"/>
  <c r="R111" i="4" s="1"/>
  <c r="K112" i="4"/>
  <c r="K211" i="4"/>
  <c r="P210" i="4"/>
  <c r="Q210" i="4" s="1"/>
  <c r="L109" i="4"/>
  <c r="M109" i="4" s="1"/>
  <c r="J109" i="4"/>
  <c r="K109" i="4" s="1"/>
  <c r="K172" i="4"/>
  <c r="P171" i="4"/>
  <c r="Q171" i="4" s="1"/>
  <c r="U71" i="1"/>
  <c r="Y71" i="1" s="1"/>
  <c r="T71" i="1"/>
  <c r="W71" i="1" s="1"/>
  <c r="X71" i="1" s="1"/>
  <c r="P76" i="1" s="1"/>
  <c r="Q76" i="1" s="1"/>
  <c r="R76" i="1" s="1"/>
  <c r="H107" i="4" s="1"/>
  <c r="R210" i="4" l="1"/>
  <c r="K84" i="4"/>
  <c r="P83" i="4"/>
  <c r="R171" i="4"/>
  <c r="J68" i="4"/>
  <c r="K68" i="4" s="1"/>
  <c r="Q68" i="4" s="1"/>
  <c r="R68" i="4" s="1"/>
  <c r="T34" i="1"/>
  <c r="W34" i="1" s="1"/>
  <c r="X34" i="1" s="1"/>
  <c r="P39" i="1" s="1"/>
  <c r="Q39" i="1" s="1"/>
  <c r="R39" i="1" s="1"/>
  <c r="H66" i="4" s="1"/>
  <c r="J66" i="4" s="1"/>
  <c r="K66" i="4" s="1"/>
  <c r="U34" i="1"/>
  <c r="Y34" i="1" s="1"/>
  <c r="P75" i="4"/>
  <c r="Q74" i="4" s="1"/>
  <c r="R74" i="4" s="1"/>
  <c r="K76" i="4"/>
  <c r="H169" i="4"/>
  <c r="T132" i="1"/>
  <c r="W132" i="1" s="1"/>
  <c r="X132" i="1" s="1"/>
  <c r="P134" i="1" s="1"/>
  <c r="Q134" i="1" s="1"/>
  <c r="R134" i="1" s="1"/>
  <c r="H167" i="4" s="1"/>
  <c r="L167" i="4" s="1"/>
  <c r="M167" i="4" s="1"/>
  <c r="U132" i="1"/>
  <c r="Y132" i="1" s="1"/>
  <c r="L107" i="4"/>
  <c r="M107" i="4" s="1"/>
  <c r="J107" i="4"/>
  <c r="K107" i="4" s="1"/>
  <c r="P109" i="4"/>
  <c r="Q109" i="4" s="1"/>
  <c r="R109" i="4" s="1"/>
  <c r="K110" i="4"/>
  <c r="U76" i="1"/>
  <c r="Y76" i="1" s="1"/>
  <c r="T76" i="1"/>
  <c r="W76" i="1" s="1"/>
  <c r="X76" i="1" s="1"/>
  <c r="P78" i="1" s="1"/>
  <c r="Q78" i="1" s="1"/>
  <c r="R78" i="1" s="1"/>
  <c r="H105" i="4" s="1"/>
  <c r="K85" i="4" l="1"/>
  <c r="P84" i="4"/>
  <c r="Q83" i="4" s="1"/>
  <c r="R83" i="4" s="1"/>
  <c r="U39" i="1"/>
  <c r="Y39" i="1" s="1"/>
  <c r="T39" i="1"/>
  <c r="W39" i="1" s="1"/>
  <c r="X39" i="1" s="1"/>
  <c r="P41" i="1" s="1"/>
  <c r="Q41" i="1" s="1"/>
  <c r="R41" i="1" s="1"/>
  <c r="H64" i="4" s="1"/>
  <c r="J64" i="4" s="1"/>
  <c r="K64" i="4" s="1"/>
  <c r="L66" i="4"/>
  <c r="M66" i="4" s="1"/>
  <c r="J167" i="4"/>
  <c r="K167" i="4" s="1"/>
  <c r="P167" i="4" s="1"/>
  <c r="Q167" i="4" s="1"/>
  <c r="R167" i="4" s="1"/>
  <c r="U134" i="1"/>
  <c r="Y134" i="1" s="1"/>
  <c r="T134" i="1"/>
  <c r="W134" i="1" s="1"/>
  <c r="X134" i="1" s="1"/>
  <c r="L169" i="4"/>
  <c r="M169" i="4" s="1"/>
  <c r="J169" i="4"/>
  <c r="K169" i="4" s="1"/>
  <c r="J105" i="4"/>
  <c r="K105" i="4" s="1"/>
  <c r="L105" i="4"/>
  <c r="M105" i="4" s="1"/>
  <c r="K108" i="4"/>
  <c r="P107" i="4"/>
  <c r="Q107" i="4" s="1"/>
  <c r="R107" i="4" s="1"/>
  <c r="K67" i="4"/>
  <c r="P66" i="4"/>
  <c r="Q66" i="4" s="1"/>
  <c r="T78" i="1"/>
  <c r="W78" i="1" s="1"/>
  <c r="X78" i="1" s="1"/>
  <c r="U78" i="1"/>
  <c r="Y78" i="1" s="1"/>
  <c r="T41" i="1" l="1"/>
  <c r="W41" i="1" s="1"/>
  <c r="X41" i="1" s="1"/>
  <c r="P50" i="1" s="1"/>
  <c r="Q50" i="1" s="1"/>
  <c r="R50" i="1" s="1"/>
  <c r="H62" i="4" s="1"/>
  <c r="L62" i="4" s="1"/>
  <c r="M62" i="4" s="1"/>
  <c r="U41" i="1"/>
  <c r="Y41" i="1" s="1"/>
  <c r="L64" i="4"/>
  <c r="M64" i="4" s="1"/>
  <c r="R66" i="4"/>
  <c r="K168" i="4"/>
  <c r="K170" i="4"/>
  <c r="P169" i="4"/>
  <c r="Q169" i="4" s="1"/>
  <c r="R169" i="4" s="1"/>
  <c r="P105" i="4"/>
  <c r="Q105" i="4" s="1"/>
  <c r="R105" i="4" s="1"/>
  <c r="K106" i="4"/>
  <c r="P64" i="4"/>
  <c r="Q64" i="4" s="1"/>
  <c r="K65" i="4"/>
  <c r="J62" i="4" l="1"/>
  <c r="K62" i="4" s="1"/>
  <c r="K63" i="4" s="1"/>
  <c r="T50" i="1"/>
  <c r="W50" i="1" s="1"/>
  <c r="X50" i="1" s="1"/>
  <c r="P88" i="1" s="1"/>
  <c r="Q88" i="1" s="1"/>
  <c r="R88" i="1" s="1"/>
  <c r="H60" i="4" s="1"/>
  <c r="J60" i="4" s="1"/>
  <c r="K60" i="4" s="1"/>
  <c r="U50" i="1"/>
  <c r="Y50" i="1" s="1"/>
  <c r="R64" i="4"/>
  <c r="P62" i="4" l="1"/>
  <c r="Q62" i="4" s="1"/>
  <c r="R62" i="4" s="1"/>
  <c r="U88" i="1"/>
  <c r="Y88" i="1" s="1"/>
  <c r="T88" i="1"/>
  <c r="W88" i="1" s="1"/>
  <c r="X88" i="1" s="1"/>
  <c r="P92" i="1" s="1"/>
  <c r="Q92" i="1" s="1"/>
  <c r="R92" i="1" s="1"/>
  <c r="H58" i="4" s="1"/>
  <c r="L58" i="4" s="1"/>
  <c r="M58" i="4" s="1"/>
  <c r="L60" i="4"/>
  <c r="M60" i="4" s="1"/>
  <c r="P60" i="4"/>
  <c r="Q60" i="4" s="1"/>
  <c r="K61" i="4"/>
  <c r="R60" i="4" l="1"/>
  <c r="J58" i="4"/>
  <c r="K58" i="4" s="1"/>
  <c r="Q58" i="4" s="1"/>
  <c r="R58" i="4" s="1"/>
  <c r="T92" i="1"/>
  <c r="W92" i="1" s="1"/>
  <c r="X92" i="1" s="1"/>
  <c r="P102" i="1" s="1"/>
  <c r="Q102" i="1" s="1"/>
  <c r="R102" i="1" s="1"/>
  <c r="H56" i="4" s="1"/>
  <c r="J56" i="4" s="1"/>
  <c r="K56" i="4" s="1"/>
  <c r="Q56" i="4" s="1"/>
  <c r="U92" i="1"/>
  <c r="Y92" i="1" s="1"/>
  <c r="T102" i="1" l="1"/>
  <c r="W102" i="1" s="1"/>
  <c r="X102" i="1" s="1"/>
  <c r="P106" i="1" s="1"/>
  <c r="Q106" i="1" s="1"/>
  <c r="R106" i="1" s="1"/>
  <c r="H54" i="4" s="1"/>
  <c r="L54" i="4" s="1"/>
  <c r="M54" i="4" s="1"/>
  <c r="U102" i="1"/>
  <c r="Y102" i="1" s="1"/>
  <c r="L56" i="4"/>
  <c r="M56" i="4" s="1"/>
  <c r="R56" i="4" s="1"/>
  <c r="T106" i="1" l="1"/>
  <c r="W106" i="1" s="1"/>
  <c r="X106" i="1" s="1"/>
  <c r="P111" i="1" s="1"/>
  <c r="Q111" i="1" s="1"/>
  <c r="R111" i="1" s="1"/>
  <c r="H52" i="4" s="1"/>
  <c r="J52" i="4" s="1"/>
  <c r="K52" i="4" s="1"/>
  <c r="Q52" i="4" s="1"/>
  <c r="U106" i="1"/>
  <c r="Y106" i="1" s="1"/>
  <c r="J54" i="4"/>
  <c r="K54" i="4" s="1"/>
  <c r="Q54" i="4" s="1"/>
  <c r="R54" i="4" s="1"/>
  <c r="U111" i="1" l="1"/>
  <c r="Y111" i="1" s="1"/>
  <c r="T111" i="1"/>
  <c r="W111" i="1" s="1"/>
  <c r="X111" i="1" s="1"/>
  <c r="P118" i="1" s="1"/>
  <c r="Q118" i="1" s="1"/>
  <c r="R118" i="1" s="1"/>
  <c r="H50" i="4" s="1"/>
  <c r="L50" i="4" s="1"/>
  <c r="M50" i="4" s="1"/>
  <c r="L52" i="4"/>
  <c r="M52" i="4" s="1"/>
  <c r="R52" i="4" s="1"/>
  <c r="T118" i="1" l="1"/>
  <c r="W118" i="1" s="1"/>
  <c r="X118" i="1" s="1"/>
  <c r="P138" i="1" s="1"/>
  <c r="Q138" i="1" s="1"/>
  <c r="R138" i="1" s="1"/>
  <c r="H48" i="4" s="1"/>
  <c r="L48" i="4" s="1"/>
  <c r="M48" i="4" s="1"/>
  <c r="U118" i="1"/>
  <c r="Y118" i="1" s="1"/>
  <c r="J50" i="4"/>
  <c r="K50" i="4" s="1"/>
  <c r="P50" i="4" s="1"/>
  <c r="Q50" i="4" s="1"/>
  <c r="R50" i="4" s="1"/>
  <c r="U138" i="1" l="1"/>
  <c r="Y138" i="1" s="1"/>
  <c r="T138" i="1"/>
  <c r="W138" i="1" s="1"/>
  <c r="X138" i="1" s="1"/>
  <c r="P144" i="1" s="1"/>
  <c r="Q144" i="1" s="1"/>
  <c r="R144" i="1" s="1"/>
  <c r="H46" i="4" s="1"/>
  <c r="J46" i="4" s="1"/>
  <c r="K46" i="4" s="1"/>
  <c r="J48" i="4"/>
  <c r="K48" i="4" s="1"/>
  <c r="P48" i="4" s="1"/>
  <c r="Q48" i="4" s="1"/>
  <c r="R48" i="4" s="1"/>
  <c r="T144" i="1" l="1"/>
  <c r="W144" i="1" s="1"/>
  <c r="X144" i="1" s="1"/>
  <c r="P147" i="1" s="1"/>
  <c r="Q147" i="1" s="1"/>
  <c r="R147" i="1" s="1"/>
  <c r="H44" i="4" s="1"/>
  <c r="L44" i="4" s="1"/>
  <c r="M44" i="4" s="1"/>
  <c r="U144" i="1"/>
  <c r="Y144" i="1" s="1"/>
  <c r="L46" i="4"/>
  <c r="M46" i="4" s="1"/>
  <c r="P46" i="4"/>
  <c r="Q46" i="4" s="1"/>
  <c r="K47" i="4"/>
  <c r="R46" i="4" l="1"/>
  <c r="U147" i="1"/>
  <c r="Y147" i="1" s="1"/>
  <c r="T147" i="1"/>
  <c r="W147" i="1" s="1"/>
  <c r="X147" i="1" s="1"/>
  <c r="P153" i="1" s="1"/>
  <c r="Q153" i="1" s="1"/>
  <c r="R153" i="1" s="1"/>
  <c r="U153" i="1" s="1"/>
  <c r="Y153" i="1" s="1"/>
  <c r="J44" i="4"/>
  <c r="K44" i="4" s="1"/>
  <c r="Q44" i="4" s="1"/>
  <c r="R44" i="4" s="1"/>
  <c r="T153" i="1" l="1"/>
  <c r="W153" i="1" s="1"/>
  <c r="X153" i="1" s="1"/>
  <c r="P158" i="1" s="1"/>
  <c r="Q158" i="1" s="1"/>
  <c r="R158" i="1" s="1"/>
  <c r="H40" i="4" s="1"/>
  <c r="H42" i="4"/>
  <c r="L42" i="4" s="1"/>
  <c r="M42" i="4" s="1"/>
  <c r="J42" i="4" l="1"/>
  <c r="K42" i="4" s="1"/>
  <c r="J40" i="4"/>
  <c r="K40" i="4" s="1"/>
  <c r="L40" i="4"/>
  <c r="M40" i="4" s="1"/>
  <c r="U158" i="1"/>
  <c r="Y158" i="1" s="1"/>
  <c r="T158" i="1"/>
  <c r="W158" i="1" s="1"/>
  <c r="X158" i="1" s="1"/>
  <c r="P161" i="1" s="1"/>
  <c r="Q161" i="1" s="1"/>
  <c r="R161" i="1" s="1"/>
  <c r="H38" i="4" s="1"/>
  <c r="P40" i="4" l="1"/>
  <c r="Q40" i="4" s="1"/>
  <c r="R40" i="4" s="1"/>
  <c r="P42" i="4"/>
  <c r="Q42" i="4" s="1"/>
  <c r="R42" i="4" s="1"/>
  <c r="L38" i="4"/>
  <c r="M38" i="4" s="1"/>
  <c r="J38" i="4"/>
  <c r="K38" i="4" s="1"/>
  <c r="Q38" i="4" s="1"/>
  <c r="U161" i="1"/>
  <c r="Y161" i="1" s="1"/>
  <c r="T161" i="1"/>
  <c r="W161" i="1" s="1"/>
  <c r="X161" i="1" s="1"/>
  <c r="P164" i="1" s="1"/>
  <c r="Q164" i="1" s="1"/>
  <c r="R164" i="1" s="1"/>
  <c r="H34" i="4" s="1"/>
  <c r="R38" i="4" l="1"/>
  <c r="J34" i="4"/>
  <c r="K34" i="4" s="1"/>
  <c r="L34" i="4"/>
  <c r="M34" i="4" s="1"/>
  <c r="U164" i="1"/>
  <c r="Y164" i="1" s="1"/>
  <c r="T164" i="1"/>
  <c r="W164" i="1" s="1"/>
  <c r="X164" i="1" s="1"/>
  <c r="P167" i="1" s="1"/>
  <c r="Q167" i="1" s="1"/>
  <c r="R167" i="1" s="1"/>
  <c r="H32" i="4" s="1"/>
  <c r="L32" i="4" l="1"/>
  <c r="M32" i="4" s="1"/>
  <c r="J32" i="4"/>
  <c r="K32" i="4" s="1"/>
  <c r="Q32" i="4" s="1"/>
  <c r="P34" i="4"/>
  <c r="K35" i="4"/>
  <c r="U167" i="1"/>
  <c r="Y167" i="1" s="1"/>
  <c r="T167" i="1"/>
  <c r="W167" i="1" s="1"/>
  <c r="X167" i="1" s="1"/>
  <c r="P174" i="1" s="1"/>
  <c r="Q174" i="1" s="1"/>
  <c r="R174" i="1" s="1"/>
  <c r="H30" i="4" s="1"/>
  <c r="R32" i="4" l="1"/>
  <c r="J30" i="4"/>
  <c r="K30" i="4" s="1"/>
  <c r="L30" i="4"/>
  <c r="M30" i="4" s="1"/>
  <c r="K36" i="4"/>
  <c r="P36" i="4" s="1"/>
  <c r="P35" i="4"/>
  <c r="U174" i="1"/>
  <c r="Y174" i="1" s="1"/>
  <c r="T174" i="1"/>
  <c r="W174" i="1" s="1"/>
  <c r="X174" i="1" s="1"/>
  <c r="P184" i="1" s="1"/>
  <c r="Q184" i="1" s="1"/>
  <c r="R184" i="1" s="1"/>
  <c r="H28" i="4" s="1"/>
  <c r="Q34" i="4" l="1"/>
  <c r="R34" i="4" s="1"/>
  <c r="J28" i="4"/>
  <c r="K28" i="4" s="1"/>
  <c r="L28" i="4"/>
  <c r="M28" i="4" s="1"/>
  <c r="P30" i="4"/>
  <c r="Q30" i="4" s="1"/>
  <c r="R30" i="4" s="1"/>
  <c r="K31" i="4"/>
  <c r="T184" i="1"/>
  <c r="W184" i="1" s="1"/>
  <c r="X184" i="1" s="1"/>
  <c r="P200" i="1" s="1"/>
  <c r="Q200" i="1" s="1"/>
  <c r="R200" i="1" s="1"/>
  <c r="H26" i="4" s="1"/>
  <c r="U184" i="1"/>
  <c r="Y184" i="1" s="1"/>
  <c r="L26" i="4" l="1"/>
  <c r="M26" i="4" s="1"/>
  <c r="J26" i="4"/>
  <c r="K26" i="4" s="1"/>
  <c r="P28" i="4"/>
  <c r="Q28" i="4" s="1"/>
  <c r="R28" i="4" s="1"/>
  <c r="K29" i="4"/>
  <c r="U200" i="1"/>
  <c r="Y200" i="1" s="1"/>
  <c r="T200" i="1"/>
  <c r="W200" i="1" s="1"/>
  <c r="X200" i="1" s="1"/>
  <c r="P202" i="1" l="1"/>
  <c r="Q202" i="1" s="1"/>
  <c r="R202" i="1" s="1"/>
  <c r="P26" i="4"/>
  <c r="Q26" i="4" s="1"/>
  <c r="R26" i="4" s="1"/>
  <c r="K27" i="4"/>
  <c r="H24" i="4" l="1"/>
  <c r="T202" i="1"/>
  <c r="W202" i="1" s="1"/>
  <c r="X202" i="1" s="1"/>
  <c r="P220" i="1" s="1"/>
  <c r="Q220" i="1" s="1"/>
  <c r="R220" i="1" s="1"/>
  <c r="R222" i="1" s="1"/>
  <c r="U202" i="1"/>
  <c r="Y202" i="1" s="1"/>
  <c r="Q22" i="4"/>
  <c r="H22" i="4" l="1"/>
  <c r="J24" i="4"/>
  <c r="K24" i="4" s="1"/>
  <c r="L24" i="4"/>
  <c r="M24" i="4" s="1"/>
  <c r="T220" i="1"/>
  <c r="W220" i="1" s="1"/>
  <c r="X220" i="1" s="1"/>
  <c r="P221" i="1" s="1"/>
  <c r="Q221" i="1" s="1"/>
  <c r="R221" i="1"/>
  <c r="T221" i="1" s="1"/>
  <c r="W221" i="1" s="1"/>
  <c r="U220" i="1"/>
  <c r="Y220" i="1" s="1"/>
  <c r="P24" i="4" l="1"/>
  <c r="Q24" i="4" s="1"/>
  <c r="R24" i="4" s="1"/>
  <c r="K25" i="4"/>
  <c r="L22" i="4"/>
  <c r="M22" i="4" s="1"/>
  <c r="R22" i="4" s="1"/>
  <c r="J22" i="4"/>
  <c r="K22" i="4" s="1"/>
  <c r="K23" i="4" s="1"/>
  <c r="X221" i="1"/>
  <c r="P222" i="1" s="1"/>
  <c r="Q222" i="1" s="1"/>
  <c r="H20" i="4"/>
  <c r="J20" i="4" s="1"/>
  <c r="K20" i="4" s="1"/>
  <c r="U221" i="1"/>
  <c r="Y221" i="1" s="1"/>
  <c r="U222" i="1"/>
  <c r="Y222" i="1" s="1"/>
  <c r="H17" i="4"/>
  <c r="J17" i="4" s="1"/>
  <c r="K17" i="4" s="1"/>
  <c r="K18" i="4" s="1"/>
  <c r="T222" i="1"/>
  <c r="W222" i="1" s="1"/>
  <c r="X222" i="1" l="1"/>
  <c r="P226" i="1" s="1"/>
  <c r="Q226" i="1" s="1"/>
  <c r="R226" i="1" s="1"/>
  <c r="H14" i="4" s="1"/>
  <c r="L20" i="4"/>
  <c r="M20" i="4" s="1"/>
  <c r="P17" i="4"/>
  <c r="P20" i="4"/>
  <c r="Q20" i="4" s="1"/>
  <c r="K21" i="4"/>
  <c r="L17" i="4"/>
  <c r="M17" i="4" s="1"/>
  <c r="P18" i="4"/>
  <c r="K19" i="4"/>
  <c r="L14" i="4" l="1"/>
  <c r="M14" i="4" s="1"/>
  <c r="J14" i="4"/>
  <c r="K14" i="4" s="1"/>
  <c r="U226" i="1"/>
  <c r="Y226" i="1" s="1"/>
  <c r="Z226" i="1" s="1"/>
  <c r="AB226" i="1" s="1"/>
  <c r="T226" i="1"/>
  <c r="W226" i="1" s="1"/>
  <c r="X226" i="1" s="1"/>
  <c r="P230" i="1" s="1"/>
  <c r="Q230" i="1" s="1"/>
  <c r="R230" i="1" s="1"/>
  <c r="H11" i="4" s="1"/>
  <c r="R20" i="4"/>
  <c r="Q17" i="4"/>
  <c r="R17" i="4" s="1"/>
  <c r="L11" i="4" l="1"/>
  <c r="M11" i="4" s="1"/>
  <c r="J11" i="4"/>
  <c r="K11" i="4" s="1"/>
  <c r="K15" i="4"/>
  <c r="P15" i="4" s="1"/>
  <c r="P14" i="4"/>
  <c r="U230" i="1"/>
  <c r="Y230" i="1" s="1"/>
  <c r="Z230" i="1" s="1"/>
  <c r="AB230" i="1" s="1"/>
  <c r="T230" i="1"/>
  <c r="W230" i="1" s="1"/>
  <c r="X230" i="1" s="1"/>
  <c r="Z222" i="1"/>
  <c r="AB222" i="1" s="1"/>
  <c r="Q14" i="4" l="1"/>
  <c r="R14" i="4" s="1"/>
  <c r="P11" i="4"/>
  <c r="K12" i="4"/>
  <c r="F11" i="4"/>
  <c r="Z229" i="1"/>
  <c r="AB229" i="1" s="1"/>
  <c r="Z221" i="1"/>
  <c r="Z220" i="1" l="1"/>
  <c r="Z219" i="1" s="1"/>
  <c r="AB219" i="1" s="1"/>
  <c r="Z202" i="1"/>
  <c r="AB202" i="1" s="1"/>
  <c r="P12" i="4"/>
  <c r="Q11" i="4" s="1"/>
  <c r="R11" i="4" s="1"/>
  <c r="T11" i="4" s="1"/>
  <c r="S11" i="4" s="1"/>
  <c r="K13" i="4"/>
  <c r="AB221" i="1"/>
  <c r="Z200" i="1" l="1"/>
  <c r="AB220" i="1"/>
  <c r="F14" i="4"/>
  <c r="T14" i="4" s="1"/>
  <c r="S14" i="4" s="1"/>
  <c r="V14" i="4" s="1"/>
  <c r="E14" i="4"/>
  <c r="V11" i="4"/>
  <c r="Z217" i="1"/>
  <c r="AB217" i="1" s="1"/>
  <c r="Z216" i="1" l="1"/>
  <c r="AB216" i="1" s="1"/>
  <c r="Z210" i="1"/>
  <c r="Z206" i="1" s="1"/>
  <c r="AB206" i="1" s="1"/>
  <c r="Z209" i="1" l="1"/>
  <c r="AB209" i="1" s="1"/>
  <c r="AB210" i="1"/>
  <c r="Z214" i="1"/>
  <c r="AB214" i="1" s="1"/>
  <c r="AB200" i="1"/>
  <c r="Z199" i="1" l="1"/>
  <c r="AB199" i="1" s="1"/>
  <c r="Z184" i="1"/>
  <c r="Z174" i="1" s="1"/>
  <c r="Z173" i="1" s="1"/>
  <c r="Z171" i="1" s="1"/>
  <c r="AB171" i="1" s="1"/>
  <c r="AB173" i="1" l="1"/>
  <c r="AB184" i="1"/>
  <c r="AB174" i="1"/>
  <c r="Z197" i="1"/>
  <c r="AB197" i="1" s="1"/>
  <c r="Z183" i="1"/>
  <c r="AB183" i="1" s="1"/>
  <c r="Z167" i="1"/>
  <c r="AB167" i="1" s="1"/>
  <c r="Z194" i="1" l="1"/>
  <c r="Z164" i="1"/>
  <c r="AB164" i="1" s="1"/>
  <c r="Z188" i="1" l="1"/>
  <c r="AB188" i="1" s="1"/>
  <c r="Z190" i="1"/>
  <c r="AB190" i="1" s="1"/>
  <c r="Z193" i="1"/>
  <c r="AB193" i="1" s="1"/>
  <c r="AB194" i="1"/>
  <c r="Z161" i="1"/>
  <c r="AB161" i="1" s="1"/>
  <c r="Z158" i="1" l="1"/>
  <c r="Z153" i="1" s="1"/>
  <c r="Z151" i="1" s="1"/>
  <c r="Z147" i="1" l="1"/>
  <c r="AB147" i="1" s="1"/>
  <c r="AB153" i="1"/>
  <c r="Z157" i="1"/>
  <c r="AB157" i="1" s="1"/>
  <c r="AB158" i="1"/>
  <c r="AB151" i="1"/>
  <c r="Z144" i="1" l="1"/>
  <c r="AB144" i="1" s="1"/>
  <c r="Z138" i="1" l="1"/>
  <c r="AB138" i="1" s="1"/>
  <c r="Z143" i="1"/>
  <c r="AB143" i="1" s="1"/>
  <c r="Z118" i="1" l="1"/>
  <c r="Z117" i="1" s="1"/>
  <c r="Z137" i="1"/>
  <c r="AB137" i="1" s="1"/>
  <c r="Z134" i="1"/>
  <c r="Z132" i="1" s="1"/>
  <c r="Z111" i="1" l="1"/>
  <c r="AB111" i="1" s="1"/>
  <c r="AB118" i="1"/>
  <c r="AB134" i="1"/>
  <c r="AB117" i="1"/>
  <c r="Z114" i="1"/>
  <c r="AB114" i="1" s="1"/>
  <c r="Z131" i="1"/>
  <c r="AB131" i="1" s="1"/>
  <c r="AB132" i="1"/>
  <c r="Z127" i="1"/>
  <c r="Z110" i="1" l="1"/>
  <c r="AB110" i="1" s="1"/>
  <c r="Z106" i="1"/>
  <c r="Z105" i="1" s="1"/>
  <c r="AB105" i="1" s="1"/>
  <c r="Z125" i="1"/>
  <c r="AB127" i="1"/>
  <c r="Z102" i="1" l="1"/>
  <c r="AB102" i="1" s="1"/>
  <c r="AB106" i="1"/>
  <c r="AB125" i="1"/>
  <c r="Z123" i="1"/>
  <c r="Z100" i="1" l="1"/>
  <c r="AB100" i="1" s="1"/>
  <c r="Z92" i="1"/>
  <c r="Z91" i="1" s="1"/>
  <c r="AB91" i="1" s="1"/>
  <c r="AB123" i="1"/>
  <c r="Z121" i="1"/>
  <c r="AB121" i="1" s="1"/>
  <c r="Z96" i="1" l="1"/>
  <c r="AB96" i="1" s="1"/>
  <c r="Z99" i="1"/>
  <c r="AB99" i="1" s="1"/>
  <c r="Z88" i="1"/>
  <c r="AB88" i="1" s="1"/>
  <c r="AB92" i="1"/>
  <c r="Z87" i="1" l="1"/>
  <c r="AB87" i="1" s="1"/>
  <c r="Z50" i="1"/>
  <c r="Z41" i="1" s="1"/>
  <c r="Z78" i="1"/>
  <c r="AB78" i="1" s="1"/>
  <c r="Z85" i="1" l="1"/>
  <c r="Z83" i="1" s="1"/>
  <c r="Z81" i="1" s="1"/>
  <c r="AB81" i="1" s="1"/>
  <c r="Z76" i="1"/>
  <c r="Z71" i="1" s="1"/>
  <c r="Z49" i="1"/>
  <c r="AB49" i="1" s="1"/>
  <c r="Z46" i="1"/>
  <c r="Z44" i="1" s="1"/>
  <c r="AB44" i="1" s="1"/>
  <c r="AB50" i="1"/>
  <c r="AB41" i="1"/>
  <c r="Z39" i="1"/>
  <c r="AB83" i="1" l="1"/>
  <c r="AB85" i="1"/>
  <c r="AB46" i="1"/>
  <c r="Z75" i="1"/>
  <c r="AB75" i="1" s="1"/>
  <c r="AB76" i="1"/>
  <c r="Z38" i="1"/>
  <c r="AB38" i="1" s="1"/>
  <c r="AB39" i="1"/>
  <c r="Z34" i="1"/>
  <c r="Z66" i="1"/>
  <c r="Z70" i="1"/>
  <c r="AB70" i="1" s="1"/>
  <c r="AB71" i="1"/>
  <c r="AB66" i="1" l="1"/>
  <c r="Z64" i="1"/>
  <c r="Z33" i="1"/>
  <c r="AB33" i="1" s="1"/>
  <c r="AB34" i="1"/>
  <c r="Z30" i="1"/>
  <c r="AB30" i="1" l="1"/>
  <c r="Z28" i="1"/>
  <c r="AB64" i="1"/>
  <c r="Z59" i="1"/>
  <c r="Z63" i="1"/>
  <c r="AB63" i="1" s="1"/>
  <c r="AB59" i="1" l="1"/>
  <c r="Z58" i="1"/>
  <c r="AB58" i="1" s="1"/>
  <c r="Z54" i="1"/>
  <c r="AB54" i="1" s="1"/>
  <c r="AB28" i="1"/>
  <c r="Z26" i="1"/>
  <c r="Z24" i="1" s="1"/>
  <c r="Z18" i="1"/>
  <c r="Z16" i="1" s="1"/>
  <c r="Z13" i="1" s="1"/>
  <c r="AB24" i="1" l="1"/>
  <c r="Z23" i="1"/>
  <c r="AB23" i="1" s="1"/>
  <c r="AB18" i="1"/>
  <c r="AB26" i="1"/>
  <c r="AB13" i="1" l="1"/>
  <c r="AB16" i="1"/>
  <c r="E17" i="4" l="1"/>
  <c r="F17" i="4"/>
  <c r="T17" i="4" s="1"/>
  <c r="S17" i="4" s="1"/>
  <c r="Q179" i="1"/>
  <c r="R179" i="1" s="1"/>
  <c r="E20" i="4" l="1"/>
  <c r="V17" i="4"/>
  <c r="F20" i="4"/>
  <c r="T20" i="4" s="1"/>
  <c r="S20" i="4" s="1"/>
  <c r="U179" i="1"/>
  <c r="Y179" i="1" s="1"/>
  <c r="Z179" i="1" s="1"/>
  <c r="Z178" i="1" s="1"/>
  <c r="AB178" i="1" s="1"/>
  <c r="H202" i="4"/>
  <c r="T179" i="1"/>
  <c r="W179" i="1" s="1"/>
  <c r="X179" i="1" s="1"/>
  <c r="E22" i="4" l="1"/>
  <c r="V20" i="4"/>
  <c r="F22" i="4"/>
  <c r="T22" i="4" s="1"/>
  <c r="S22" i="4" s="1"/>
  <c r="AB179" i="1"/>
  <c r="J202" i="4"/>
  <c r="K202" i="4" s="1"/>
  <c r="L202" i="4"/>
  <c r="M202" i="4" s="1"/>
  <c r="E24" i="4" l="1"/>
  <c r="F24" i="4" s="1"/>
  <c r="T24" i="4" s="1"/>
  <c r="S24" i="4" s="1"/>
  <c r="V22" i="4"/>
  <c r="E222" i="4"/>
  <c r="F222" i="4" s="1"/>
  <c r="T222" i="4" s="1"/>
  <c r="S222" i="4" s="1"/>
  <c r="Q202" i="4"/>
  <c r="R202" i="4" s="1"/>
  <c r="V222" i="4" l="1"/>
  <c r="F226" i="4"/>
  <c r="T226" i="4" s="1"/>
  <c r="S226" i="4" s="1"/>
  <c r="E226" i="4"/>
  <c r="V24" i="4"/>
  <c r="F26" i="4"/>
  <c r="T26" i="4" s="1"/>
  <c r="S26" i="4" s="1"/>
  <c r="E26" i="4"/>
  <c r="E28" i="4" l="1"/>
  <c r="V26" i="4"/>
  <c r="F28" i="4"/>
  <c r="T28" i="4" s="1"/>
  <c r="S28" i="4" s="1"/>
  <c r="F210" i="4"/>
  <c r="T210" i="4" s="1"/>
  <c r="S210" i="4" s="1"/>
  <c r="E210" i="4"/>
  <c r="E239" i="4"/>
  <c r="V226" i="4"/>
  <c r="E228" i="4"/>
  <c r="F228" i="4"/>
  <c r="T228" i="4" s="1"/>
  <c r="S228" i="4" s="1"/>
  <c r="F239" i="4"/>
  <c r="T239" i="4" s="1"/>
  <c r="S239" i="4" s="1"/>
  <c r="E202" i="4" l="1"/>
  <c r="F202" i="4" s="1"/>
  <c r="T202" i="4" s="1"/>
  <c r="S202" i="4" s="1"/>
  <c r="E207" i="4"/>
  <c r="F207" i="4" s="1"/>
  <c r="T207" i="4" s="1"/>
  <c r="S207" i="4" s="1"/>
  <c r="V207" i="4" s="1"/>
  <c r="V28" i="4"/>
  <c r="E30" i="4"/>
  <c r="F30" i="4" s="1"/>
  <c r="T30" i="4" s="1"/>
  <c r="S30" i="4" s="1"/>
  <c r="F212" i="4"/>
  <c r="T212" i="4" s="1"/>
  <c r="S212" i="4" s="1"/>
  <c r="E212" i="4"/>
  <c r="V210" i="4"/>
  <c r="V239" i="4"/>
  <c r="F242" i="4"/>
  <c r="T242" i="4" s="1"/>
  <c r="S242" i="4" s="1"/>
  <c r="V242" i="4" s="1"/>
  <c r="E242" i="4"/>
  <c r="V228" i="4"/>
  <c r="F233" i="4"/>
  <c r="T233" i="4" s="1"/>
  <c r="S233" i="4" s="1"/>
  <c r="V233" i="4" s="1"/>
  <c r="F236" i="4"/>
  <c r="T236" i="4" s="1"/>
  <c r="S236" i="4" s="1"/>
  <c r="V236" i="4" s="1"/>
  <c r="E233" i="4"/>
  <c r="E236" i="4"/>
  <c r="F32" i="4" l="1"/>
  <c r="T32" i="4" s="1"/>
  <c r="S32" i="4" s="1"/>
  <c r="F197" i="4"/>
  <c r="T197" i="4" s="1"/>
  <c r="S197" i="4" s="1"/>
  <c r="E32" i="4"/>
  <c r="E197" i="4"/>
  <c r="V30" i="4"/>
  <c r="V212" i="4"/>
  <c r="F214" i="4"/>
  <c r="T214" i="4" s="1"/>
  <c r="S214" i="4" s="1"/>
  <c r="E214" i="4"/>
  <c r="E204" i="4"/>
  <c r="F204" i="4"/>
  <c r="T204" i="4" s="1"/>
  <c r="S204" i="4" s="1"/>
  <c r="V204" i="4" s="1"/>
  <c r="V202" i="4"/>
  <c r="V214" i="4" l="1"/>
  <c r="F216" i="4"/>
  <c r="T216" i="4" s="1"/>
  <c r="S216" i="4" s="1"/>
  <c r="V216" i="4" s="1"/>
  <c r="E219" i="4"/>
  <c r="E216" i="4"/>
  <c r="F219" i="4"/>
  <c r="T219" i="4" s="1"/>
  <c r="S219" i="4" s="1"/>
  <c r="V219" i="4" s="1"/>
  <c r="V197" i="4"/>
  <c r="F199" i="4"/>
  <c r="T199" i="4" s="1"/>
  <c r="S199" i="4" s="1"/>
  <c r="V199" i="4" s="1"/>
  <c r="E199" i="4"/>
  <c r="E34" i="4"/>
  <c r="F34" i="4" s="1"/>
  <c r="T34" i="4" s="1"/>
  <c r="S34" i="4" s="1"/>
  <c r="V32" i="4"/>
  <c r="F38" i="4" l="1"/>
  <c r="T38" i="4" s="1"/>
  <c r="S38" i="4" s="1"/>
  <c r="V34" i="4"/>
  <c r="E38" i="4"/>
  <c r="E40" i="4" l="1"/>
  <c r="F40" i="4" s="1"/>
  <c r="T40" i="4" s="1"/>
  <c r="S40" i="4" s="1"/>
  <c r="V38" i="4"/>
  <c r="E193" i="4" l="1"/>
  <c r="F193" i="4" s="1"/>
  <c r="T193" i="4" s="1"/>
  <c r="S193" i="4" s="1"/>
  <c r="V193" i="4" s="1"/>
  <c r="E42" i="4"/>
  <c r="F42" i="4" s="1"/>
  <c r="T42" i="4" s="1"/>
  <c r="S42" i="4" s="1"/>
  <c r="V40" i="4"/>
  <c r="V42" i="4" l="1"/>
  <c r="E44" i="4"/>
  <c r="F44" i="4" s="1"/>
  <c r="T44" i="4" s="1"/>
  <c r="S44" i="4" s="1"/>
  <c r="E190" i="4"/>
  <c r="F190" i="4" s="1"/>
  <c r="T190" i="4" s="1"/>
  <c r="S190" i="4" s="1"/>
  <c r="V190" i="4" s="1"/>
  <c r="V44" i="4" l="1"/>
  <c r="E46" i="4"/>
  <c r="F46" i="4" s="1"/>
  <c r="T46" i="4" s="1"/>
  <c r="S46" i="4" s="1"/>
  <c r="E187" i="4" l="1"/>
  <c r="F187" i="4" s="1"/>
  <c r="T187" i="4" s="1"/>
  <c r="S187" i="4" s="1"/>
  <c r="V187" i="4" s="1"/>
  <c r="V46" i="4"/>
  <c r="E48" i="4"/>
  <c r="F48" i="4" s="1"/>
  <c r="T48" i="4" s="1"/>
  <c r="S48" i="4" s="1"/>
  <c r="E167" i="4" l="1"/>
  <c r="F167" i="4" s="1"/>
  <c r="T167" i="4" s="1"/>
  <c r="S167" i="4" s="1"/>
  <c r="E164" i="4"/>
  <c r="F164" i="4" s="1"/>
  <c r="T164" i="4" s="1"/>
  <c r="S164" i="4" s="1"/>
  <c r="V164" i="4" s="1"/>
  <c r="V48" i="4"/>
  <c r="E50" i="4"/>
  <c r="F50" i="4" s="1"/>
  <c r="T50" i="4" s="1"/>
  <c r="S50" i="4" s="1"/>
  <c r="E184" i="4"/>
  <c r="F184" i="4" s="1"/>
  <c r="T184" i="4" s="1"/>
  <c r="S184" i="4" s="1"/>
  <c r="V184" i="4" s="1"/>
  <c r="F159" i="4" l="1"/>
  <c r="T159" i="4" s="1"/>
  <c r="S159" i="4" s="1"/>
  <c r="E52" i="4"/>
  <c r="V50" i="4"/>
  <c r="F52" i="4"/>
  <c r="T52" i="4" s="1"/>
  <c r="S52" i="4" s="1"/>
  <c r="E159" i="4"/>
  <c r="F169" i="4"/>
  <c r="T169" i="4" s="1"/>
  <c r="S169" i="4" s="1"/>
  <c r="E169" i="4"/>
  <c r="V167" i="4"/>
  <c r="E156" i="4" l="1"/>
  <c r="F156" i="4"/>
  <c r="T156" i="4" s="1"/>
  <c r="S156" i="4" s="1"/>
  <c r="V156" i="4" s="1"/>
  <c r="F54" i="4"/>
  <c r="T54" i="4" s="1"/>
  <c r="S54" i="4" s="1"/>
  <c r="V52" i="4"/>
  <c r="E54" i="4"/>
  <c r="E171" i="4"/>
  <c r="F171" i="4"/>
  <c r="T171" i="4" s="1"/>
  <c r="S171" i="4" s="1"/>
  <c r="V169" i="4"/>
  <c r="F181" i="4"/>
  <c r="T181" i="4" s="1"/>
  <c r="S181" i="4" s="1"/>
  <c r="V181" i="4" s="1"/>
  <c r="E181" i="4"/>
  <c r="V159" i="4"/>
  <c r="E161" i="4"/>
  <c r="F161" i="4"/>
  <c r="T161" i="4" s="1"/>
  <c r="S161" i="4" s="1"/>
  <c r="V161" i="4" s="1"/>
  <c r="F56" i="4" l="1"/>
  <c r="T56" i="4" s="1"/>
  <c r="S56" i="4" s="1"/>
  <c r="E56" i="4"/>
  <c r="V54" i="4"/>
  <c r="E153" i="4"/>
  <c r="F153" i="4"/>
  <c r="T153" i="4" s="1"/>
  <c r="S153" i="4" s="1"/>
  <c r="V153" i="4" s="1"/>
  <c r="V171" i="4"/>
  <c r="E173" i="4"/>
  <c r="F173" i="4" s="1"/>
  <c r="T173" i="4" s="1"/>
  <c r="S173" i="4" s="1"/>
  <c r="E175" i="4" l="1"/>
  <c r="F175" i="4" s="1"/>
  <c r="T175" i="4" s="1"/>
  <c r="S175" i="4" s="1"/>
  <c r="V173" i="4"/>
  <c r="F58" i="4"/>
  <c r="T58" i="4" s="1"/>
  <c r="S58" i="4" s="1"/>
  <c r="F143" i="4"/>
  <c r="T143" i="4" s="1"/>
  <c r="S143" i="4" s="1"/>
  <c r="E58" i="4"/>
  <c r="V56" i="4"/>
  <c r="E143" i="4"/>
  <c r="F150" i="4" l="1"/>
  <c r="T150" i="4" s="1"/>
  <c r="S150" i="4" s="1"/>
  <c r="V150" i="4" s="1"/>
  <c r="E147" i="4"/>
  <c r="E150" i="4"/>
  <c r="F147" i="4"/>
  <c r="T147" i="4" s="1"/>
  <c r="S147" i="4" s="1"/>
  <c r="V147" i="4" s="1"/>
  <c r="V143" i="4"/>
  <c r="E140" i="4"/>
  <c r="V58" i="4"/>
  <c r="F140" i="4"/>
  <c r="T140" i="4" s="1"/>
  <c r="S140" i="4" s="1"/>
  <c r="V140" i="4" s="1"/>
  <c r="F60" i="4"/>
  <c r="T60" i="4" s="1"/>
  <c r="S60" i="4" s="1"/>
  <c r="E60" i="4"/>
  <c r="E178" i="4"/>
  <c r="F178" i="4" s="1"/>
  <c r="T178" i="4" s="1"/>
  <c r="S178" i="4" s="1"/>
  <c r="V178" i="4" s="1"/>
  <c r="V175" i="4"/>
  <c r="E105" i="4" l="1"/>
  <c r="F132" i="4"/>
  <c r="T132" i="4" s="1"/>
  <c r="S132" i="4" s="1"/>
  <c r="F105" i="4"/>
  <c r="T105" i="4" s="1"/>
  <c r="S105" i="4" s="1"/>
  <c r="V60" i="4"/>
  <c r="E62" i="4"/>
  <c r="F62" i="4"/>
  <c r="T62" i="4" s="1"/>
  <c r="S62" i="4" s="1"/>
  <c r="E132" i="4"/>
  <c r="E64" i="4" l="1"/>
  <c r="F64" i="4" s="1"/>
  <c r="T64" i="4" s="1"/>
  <c r="S64" i="4" s="1"/>
  <c r="E97" i="4"/>
  <c r="F97" i="4" s="1"/>
  <c r="T97" i="4" s="1"/>
  <c r="S97" i="4" s="1"/>
  <c r="E102" i="4"/>
  <c r="F102" i="4" s="1"/>
  <c r="T102" i="4" s="1"/>
  <c r="S102" i="4" s="1"/>
  <c r="V102" i="4" s="1"/>
  <c r="V62" i="4"/>
  <c r="E134" i="4"/>
  <c r="F134" i="4"/>
  <c r="T134" i="4" s="1"/>
  <c r="S134" i="4" s="1"/>
  <c r="V132" i="4"/>
  <c r="E107" i="4"/>
  <c r="F107" i="4" s="1"/>
  <c r="T107" i="4" s="1"/>
  <c r="S107" i="4" s="1"/>
  <c r="V105" i="4"/>
  <c r="E129" i="4" l="1"/>
  <c r="F129" i="4"/>
  <c r="T129" i="4" s="1"/>
  <c r="S129" i="4" s="1"/>
  <c r="V129" i="4" s="1"/>
  <c r="E109" i="4"/>
  <c r="F109" i="4"/>
  <c r="T109" i="4" s="1"/>
  <c r="S109" i="4" s="1"/>
  <c r="V107" i="4"/>
  <c r="E136" i="4"/>
  <c r="F136" i="4"/>
  <c r="T136" i="4" s="1"/>
  <c r="S136" i="4" s="1"/>
  <c r="V136" i="4" s="1"/>
  <c r="V134" i="4"/>
  <c r="E99" i="4"/>
  <c r="F99" i="4" s="1"/>
  <c r="T99" i="4" s="1"/>
  <c r="S99" i="4" s="1"/>
  <c r="V99" i="4" s="1"/>
  <c r="V97" i="4"/>
  <c r="V64" i="4"/>
  <c r="F66" i="4"/>
  <c r="T66" i="4" s="1"/>
  <c r="S66" i="4" s="1"/>
  <c r="E66" i="4"/>
  <c r="F111" i="4" l="1"/>
  <c r="T111" i="4" s="1"/>
  <c r="S111" i="4" s="1"/>
  <c r="F126" i="4"/>
  <c r="T126" i="4" s="1"/>
  <c r="S126" i="4" s="1"/>
  <c r="V126" i="4" s="1"/>
  <c r="V109" i="4"/>
  <c r="E111" i="4"/>
  <c r="E126" i="4"/>
  <c r="E94" i="4"/>
  <c r="F94" i="4" s="1"/>
  <c r="T94" i="4" s="1"/>
  <c r="S94" i="4" s="1"/>
  <c r="V94" i="4" s="1"/>
  <c r="V66" i="4"/>
  <c r="E68" i="4"/>
  <c r="F68" i="4" s="1"/>
  <c r="T68" i="4" s="1"/>
  <c r="S68" i="4" s="1"/>
  <c r="E91" i="4" l="1"/>
  <c r="F91" i="4"/>
  <c r="T91" i="4" s="1"/>
  <c r="S91" i="4" s="1"/>
  <c r="V91" i="4" s="1"/>
  <c r="V68" i="4"/>
  <c r="F70" i="4"/>
  <c r="T70" i="4" s="1"/>
  <c r="S70" i="4" s="1"/>
  <c r="E70" i="4"/>
  <c r="V111" i="4"/>
  <c r="E113" i="4"/>
  <c r="F113" i="4"/>
  <c r="T113" i="4" s="1"/>
  <c r="S113" i="4" s="1"/>
  <c r="E123" i="4" l="1"/>
  <c r="F123" i="4"/>
  <c r="T123" i="4" s="1"/>
  <c r="S123" i="4" s="1"/>
  <c r="V123" i="4" s="1"/>
  <c r="V113" i="4"/>
  <c r="F115" i="4"/>
  <c r="T115" i="4" s="1"/>
  <c r="S115" i="4" s="1"/>
  <c r="E115" i="4"/>
  <c r="V70" i="4"/>
  <c r="E72" i="4"/>
  <c r="F72" i="4"/>
  <c r="T72" i="4" s="1"/>
  <c r="S72" i="4" s="1"/>
  <c r="E117" i="4" l="1"/>
  <c r="F117" i="4" s="1"/>
  <c r="T117" i="4" s="1"/>
  <c r="S117" i="4" s="1"/>
  <c r="V117" i="4" s="1"/>
  <c r="V115" i="4"/>
  <c r="E120" i="4"/>
  <c r="F120" i="4" s="1"/>
  <c r="T120" i="4" s="1"/>
  <c r="S120" i="4" s="1"/>
  <c r="V120" i="4" s="1"/>
  <c r="E83" i="4"/>
  <c r="F83" i="4" s="1"/>
  <c r="T83" i="4" s="1"/>
  <c r="S83" i="4" s="1"/>
  <c r="E74" i="4"/>
  <c r="F74" i="4" s="1"/>
  <c r="T74" i="4" s="1"/>
  <c r="S74" i="4" s="1"/>
  <c r="V72" i="4"/>
  <c r="V74" i="4" l="1"/>
  <c r="E77" i="4"/>
  <c r="F77" i="4" s="1"/>
  <c r="T77" i="4" s="1"/>
  <c r="S77" i="4" s="1"/>
  <c r="E86" i="4"/>
  <c r="F86" i="4" s="1"/>
  <c r="T86" i="4" s="1"/>
  <c r="S86" i="4" s="1"/>
  <c r="V83" i="4"/>
  <c r="E247" i="4" l="1"/>
  <c r="F247" i="4"/>
  <c r="T247" i="4" s="1"/>
  <c r="S247" i="4" s="1"/>
  <c r="V247" i="4" s="1"/>
  <c r="H33" i="7"/>
  <c r="V33" i="7" s="1"/>
  <c r="U33" i="7" s="1"/>
  <c r="X33" i="7" s="1"/>
  <c r="G33" i="7"/>
  <c r="V86" i="4"/>
  <c r="V77" i="4"/>
  <c r="F80" i="4" l="1"/>
  <c r="T80" i="4" s="1"/>
  <c r="S80" i="4" s="1"/>
  <c r="V80" i="4" s="1"/>
  <c r="E80" i="4"/>
  <c r="Q250" i="4" l="1"/>
  <c r="AB589" i="1" l="1"/>
  <c r="Z587" i="1" l="1"/>
  <c r="AB587" i="1" l="1"/>
  <c r="Z585" i="1"/>
  <c r="AB585" i="1" s="1"/>
  <c r="Q260" i="4" l="1"/>
  <c r="Q262" i="4"/>
  <c r="R383" i="1" l="1"/>
  <c r="H319" i="4" l="1"/>
  <c r="U383" i="1"/>
  <c r="Y383" i="1" s="1"/>
  <c r="T383" i="1"/>
  <c r="W383" i="1" s="1"/>
  <c r="X383" i="1" s="1"/>
  <c r="L319" i="4" l="1"/>
  <c r="M319" i="4" s="1"/>
  <c r="J319" i="4"/>
  <c r="K319" i="4" s="1"/>
  <c r="P319" i="4" l="1"/>
  <c r="Q319" i="4" s="1"/>
  <c r="R319" i="4" s="1"/>
  <c r="K320" i="4"/>
  <c r="R505" i="1" l="1"/>
  <c r="J512" i="1" l="1"/>
  <c r="J515" i="1" s="1"/>
  <c r="J520" i="1" s="1"/>
  <c r="J527" i="1" s="1"/>
  <c r="H512" i="1"/>
  <c r="H515" i="1" s="1"/>
  <c r="H520" i="1" s="1"/>
  <c r="H527" i="1" s="1"/>
  <c r="H530" i="1" s="1"/>
  <c r="H539" i="1" s="1"/>
  <c r="H543" i="1" s="1"/>
  <c r="H549" i="1" s="1"/>
  <c r="H572" i="1" s="1"/>
  <c r="H575" i="1" s="1"/>
  <c r="H577" i="1" s="1"/>
  <c r="H580" i="1" s="1"/>
  <c r="E512" i="1"/>
  <c r="E515" i="1" s="1"/>
  <c r="E520" i="1" s="1"/>
  <c r="E527" i="1" s="1"/>
  <c r="E530" i="1" s="1"/>
  <c r="E539" i="1" s="1"/>
  <c r="E543" i="1" s="1"/>
  <c r="E549" i="1" s="1"/>
  <c r="E572" i="1" s="1"/>
  <c r="E575" i="1" s="1"/>
  <c r="E577" i="1" s="1"/>
  <c r="E580" i="1" s="1"/>
  <c r="T505" i="1"/>
  <c r="W505" i="1" s="1"/>
  <c r="X505" i="1" s="1"/>
  <c r="P507" i="1" s="1"/>
  <c r="Q507" i="1" s="1"/>
  <c r="R507" i="1" s="1"/>
  <c r="H561" i="4" s="1"/>
  <c r="H563" i="4"/>
  <c r="U505" i="1"/>
  <c r="Y505" i="1" s="1"/>
  <c r="J530" i="1" l="1"/>
  <c r="J539" i="1" s="1"/>
  <c r="J543" i="1" s="1"/>
  <c r="J549" i="1" s="1"/>
  <c r="J572" i="1" s="1"/>
  <c r="J575" i="1" s="1"/>
  <c r="J577" i="1" s="1"/>
  <c r="J580" i="1" s="1"/>
  <c r="L563" i="4"/>
  <c r="M563" i="4" s="1"/>
  <c r="J563" i="4"/>
  <c r="K563" i="4" s="1"/>
  <c r="J561" i="4"/>
  <c r="K561" i="4" s="1"/>
  <c r="L561" i="4"/>
  <c r="M561" i="4" s="1"/>
  <c r="U507" i="1"/>
  <c r="Y507" i="1" s="1"/>
  <c r="T507" i="1"/>
  <c r="W507" i="1" s="1"/>
  <c r="X507" i="1" s="1"/>
  <c r="P509" i="1" s="1"/>
  <c r="Q509" i="1" s="1"/>
  <c r="R509" i="1" s="1"/>
  <c r="H555" i="4" s="1"/>
  <c r="J555" i="4" l="1"/>
  <c r="K555" i="4" s="1"/>
  <c r="L555" i="4"/>
  <c r="M555" i="4" s="1"/>
  <c r="K562" i="4"/>
  <c r="P561" i="4"/>
  <c r="Q561" i="4" s="1"/>
  <c r="R561" i="4" s="1"/>
  <c r="P563" i="4"/>
  <c r="Q563" i="4" s="1"/>
  <c r="R563" i="4" s="1"/>
  <c r="K564" i="4"/>
  <c r="T509" i="1"/>
  <c r="W509" i="1" s="1"/>
  <c r="X509" i="1" s="1"/>
  <c r="P511" i="1" s="1"/>
  <c r="Q511" i="1" s="1"/>
  <c r="R511" i="1" s="1"/>
  <c r="H552" i="4" s="1"/>
  <c r="U509" i="1"/>
  <c r="Y509" i="1" s="1"/>
  <c r="L552" i="4" l="1"/>
  <c r="M552" i="4" s="1"/>
  <c r="J552" i="4"/>
  <c r="K552" i="4" s="1"/>
  <c r="P555" i="4"/>
  <c r="K556" i="4"/>
  <c r="T511" i="1"/>
  <c r="W511" i="1" s="1"/>
  <c r="X511" i="1" s="1"/>
  <c r="U511" i="1"/>
  <c r="Y511" i="1" s="1"/>
  <c r="Q524" i="1" l="1"/>
  <c r="R524" i="1" s="1"/>
  <c r="T524" i="1" s="1"/>
  <c r="W524" i="1" s="1"/>
  <c r="X524" i="1" s="1"/>
  <c r="P512" i="1"/>
  <c r="Q512" i="1" s="1"/>
  <c r="R512" i="1" s="1"/>
  <c r="K557" i="4"/>
  <c r="P556" i="4"/>
  <c r="Q555" i="4" s="1"/>
  <c r="R555" i="4" s="1"/>
  <c r="P552" i="4"/>
  <c r="K553" i="4"/>
  <c r="P526" i="1" l="1"/>
  <c r="Q526" i="1" s="1"/>
  <c r="R526" i="1" s="1"/>
  <c r="H550" i="4"/>
  <c r="J550" i="4" s="1"/>
  <c r="K550" i="4" s="1"/>
  <c r="P550" i="4" s="1"/>
  <c r="U524" i="1"/>
  <c r="Y524" i="1" s="1"/>
  <c r="T512" i="1"/>
  <c r="W512" i="1" s="1"/>
  <c r="X512" i="1" s="1"/>
  <c r="P515" i="1" s="1"/>
  <c r="Q515" i="1" s="1"/>
  <c r="R515" i="1" s="1"/>
  <c r="U512" i="1"/>
  <c r="Y512" i="1" s="1"/>
  <c r="K554" i="4"/>
  <c r="P553" i="4"/>
  <c r="Q552" i="4" s="1"/>
  <c r="R552" i="4" s="1"/>
  <c r="U526" i="1" l="1"/>
  <c r="Y526" i="1" s="1"/>
  <c r="T526" i="1"/>
  <c r="W526" i="1" s="1"/>
  <c r="X526" i="1" s="1"/>
  <c r="U515" i="1"/>
  <c r="Y515" i="1" s="1"/>
  <c r="T515" i="1"/>
  <c r="W515" i="1" s="1"/>
  <c r="X515" i="1" s="1"/>
  <c r="P520" i="1" s="1"/>
  <c r="Q520" i="1" s="1"/>
  <c r="R520" i="1" s="1"/>
  <c r="L550" i="4"/>
  <c r="M550" i="4" s="1"/>
  <c r="Q550" i="4"/>
  <c r="K551" i="4"/>
  <c r="U520" i="1" l="1"/>
  <c r="Y520" i="1" s="1"/>
  <c r="T520" i="1"/>
  <c r="W520" i="1" s="1"/>
  <c r="X520" i="1" s="1"/>
  <c r="P527" i="1" s="1"/>
  <c r="Q527" i="1" s="1"/>
  <c r="R527" i="1" s="1"/>
  <c r="R550" i="4"/>
  <c r="U527" i="1" l="1"/>
  <c r="Y527" i="1" s="1"/>
  <c r="T527" i="1"/>
  <c r="W527" i="1" s="1"/>
  <c r="X527" i="1" s="1"/>
  <c r="P530" i="1" s="1"/>
  <c r="Q530" i="1" s="1"/>
  <c r="R530" i="1" s="1"/>
  <c r="U530" i="1" s="1"/>
  <c r="Y530" i="1" s="1"/>
  <c r="H548" i="4" l="1"/>
  <c r="L548" i="4" s="1"/>
  <c r="M548" i="4" s="1"/>
  <c r="T530" i="1"/>
  <c r="W530" i="1" s="1"/>
  <c r="X530" i="1" s="1"/>
  <c r="P539" i="1" s="1"/>
  <c r="Q539" i="1" s="1"/>
  <c r="R539" i="1" s="1"/>
  <c r="U539" i="1" s="1"/>
  <c r="Y539" i="1" s="1"/>
  <c r="H545" i="4" l="1"/>
  <c r="J545" i="4" s="1"/>
  <c r="K545" i="4" s="1"/>
  <c r="J548" i="4"/>
  <c r="K548" i="4" s="1"/>
  <c r="T539" i="1"/>
  <c r="W539" i="1" s="1"/>
  <c r="X539" i="1" s="1"/>
  <c r="P543" i="1" s="1"/>
  <c r="Q543" i="1" s="1"/>
  <c r="R543" i="1" s="1"/>
  <c r="U543" i="1" s="1"/>
  <c r="Y543" i="1" s="1"/>
  <c r="K549" i="4"/>
  <c r="P548" i="4"/>
  <c r="Q548" i="4" s="1"/>
  <c r="R548" i="4" s="1"/>
  <c r="H541" i="4"/>
  <c r="L545" i="4" l="1"/>
  <c r="M545" i="4" s="1"/>
  <c r="T543" i="1"/>
  <c r="W543" i="1" s="1"/>
  <c r="X543" i="1" s="1"/>
  <c r="P547" i="1"/>
  <c r="Q547" i="1" s="1"/>
  <c r="R547" i="1" s="1"/>
  <c r="P549" i="1"/>
  <c r="Q549" i="1" s="1"/>
  <c r="R549" i="1" s="1"/>
  <c r="J541" i="4"/>
  <c r="K541" i="4" s="1"/>
  <c r="L541" i="4"/>
  <c r="M541" i="4" s="1"/>
  <c r="P545" i="4"/>
  <c r="K546" i="4"/>
  <c r="P546" i="4" l="1"/>
  <c r="Q545" i="4" s="1"/>
  <c r="R545" i="4" s="1"/>
  <c r="K547" i="4"/>
  <c r="K542" i="4"/>
  <c r="P541" i="4"/>
  <c r="T549" i="1"/>
  <c r="W549" i="1" s="1"/>
  <c r="X549" i="1" s="1"/>
  <c r="P572" i="1" s="1"/>
  <c r="Q572" i="1" s="1"/>
  <c r="R572" i="1" s="1"/>
  <c r="U549" i="1"/>
  <c r="Y549" i="1" s="1"/>
  <c r="H536" i="4"/>
  <c r="H578" i="4"/>
  <c r="U547" i="1"/>
  <c r="Y547" i="1" s="1"/>
  <c r="T547" i="1"/>
  <c r="W547" i="1" s="1"/>
  <c r="X547" i="1" s="1"/>
  <c r="J536" i="4" l="1"/>
  <c r="K536" i="4" s="1"/>
  <c r="L536" i="4"/>
  <c r="M536" i="4" s="1"/>
  <c r="H534" i="4"/>
  <c r="U572" i="1"/>
  <c r="Y572" i="1" s="1"/>
  <c r="T572" i="1"/>
  <c r="W572" i="1" s="1"/>
  <c r="X572" i="1" s="1"/>
  <c r="P575" i="1" s="1"/>
  <c r="Q575" i="1" s="1"/>
  <c r="R575" i="1" s="1"/>
  <c r="K543" i="4"/>
  <c r="P542" i="4"/>
  <c r="L578" i="4"/>
  <c r="M578" i="4" s="1"/>
  <c r="J578" i="4"/>
  <c r="K578" i="4" s="1"/>
  <c r="Q578" i="4" s="1"/>
  <c r="R578" i="4" l="1"/>
  <c r="U575" i="1"/>
  <c r="Y575" i="1" s="1"/>
  <c r="T575" i="1"/>
  <c r="W575" i="1" s="1"/>
  <c r="X575" i="1" s="1"/>
  <c r="P577" i="1" s="1"/>
  <c r="Q577" i="1" s="1"/>
  <c r="R577" i="1" s="1"/>
  <c r="H531" i="4"/>
  <c r="L534" i="4"/>
  <c r="M534" i="4" s="1"/>
  <c r="J534" i="4"/>
  <c r="K534" i="4" s="1"/>
  <c r="P543" i="4"/>
  <c r="Q541" i="4" s="1"/>
  <c r="R541" i="4" s="1"/>
  <c r="K544" i="4"/>
  <c r="P536" i="4"/>
  <c r="K537" i="4"/>
  <c r="P534" i="4" l="1"/>
  <c r="Q534" i="4" s="1"/>
  <c r="R534" i="4" s="1"/>
  <c r="K535" i="4"/>
  <c r="J531" i="4"/>
  <c r="K531" i="4" s="1"/>
  <c r="L531" i="4"/>
  <c r="M531" i="4" s="1"/>
  <c r="H527" i="4"/>
  <c r="U577" i="1"/>
  <c r="Y577" i="1" s="1"/>
  <c r="T577" i="1"/>
  <c r="W577" i="1" s="1"/>
  <c r="X577" i="1" s="1"/>
  <c r="P580" i="1" s="1"/>
  <c r="Q580" i="1" s="1"/>
  <c r="R580" i="1" s="1"/>
  <c r="K538" i="4"/>
  <c r="P537" i="4"/>
  <c r="H524" i="4" l="1"/>
  <c r="U580" i="1"/>
  <c r="Y580" i="1" s="1"/>
  <c r="Z580" i="1" s="1"/>
  <c r="T580" i="1"/>
  <c r="W580" i="1" s="1"/>
  <c r="X580" i="1" s="1"/>
  <c r="P531" i="4"/>
  <c r="K532" i="4"/>
  <c r="P538" i="4"/>
  <c r="K539" i="4"/>
  <c r="L527" i="4"/>
  <c r="M527" i="4" s="1"/>
  <c r="J527" i="4"/>
  <c r="K527" i="4" s="1"/>
  <c r="P539" i="4" l="1"/>
  <c r="Q536" i="4" s="1"/>
  <c r="R536" i="4" s="1"/>
  <c r="K540" i="4"/>
  <c r="P527" i="4"/>
  <c r="K528" i="4"/>
  <c r="P532" i="4"/>
  <c r="Q531" i="4" s="1"/>
  <c r="R531" i="4" s="1"/>
  <c r="K533" i="4"/>
  <c r="Z577" i="1"/>
  <c r="AB580" i="1"/>
  <c r="J524" i="4"/>
  <c r="K524" i="4" s="1"/>
  <c r="L524" i="4"/>
  <c r="M524" i="4" s="1"/>
  <c r="K525" i="4" l="1"/>
  <c r="F524" i="4"/>
  <c r="P524" i="4"/>
  <c r="AB577" i="1"/>
  <c r="Z575" i="1"/>
  <c r="K529" i="4"/>
  <c r="P528" i="4"/>
  <c r="P529" i="4" l="1"/>
  <c r="Q527" i="4" s="1"/>
  <c r="R527" i="4" s="1"/>
  <c r="K530" i="4"/>
  <c r="Z572" i="1"/>
  <c r="AB575" i="1"/>
  <c r="K526" i="4"/>
  <c r="P525" i="4"/>
  <c r="Q524" i="4" s="1"/>
  <c r="R524" i="4" s="1"/>
  <c r="T524" i="4" s="1"/>
  <c r="S524" i="4" s="1"/>
  <c r="Z564" i="1" l="1"/>
  <c r="Z549" i="1"/>
  <c r="Z571" i="1"/>
  <c r="AB572" i="1"/>
  <c r="E527" i="4"/>
  <c r="V524" i="4"/>
  <c r="Z524" i="4" s="1"/>
  <c r="F527" i="4"/>
  <c r="T527" i="4" s="1"/>
  <c r="S527" i="4" s="1"/>
  <c r="E531" i="4" l="1"/>
  <c r="F531" i="4" s="1"/>
  <c r="T531" i="4" s="1"/>
  <c r="S531" i="4" s="1"/>
  <c r="V527" i="4"/>
  <c r="Z527" i="4" s="1"/>
  <c r="Z569" i="1"/>
  <c r="AB569" i="1" s="1"/>
  <c r="AB571" i="1"/>
  <c r="AB549" i="1"/>
  <c r="Z543" i="1"/>
  <c r="Z547" i="1"/>
  <c r="AB547" i="1" s="1"/>
  <c r="AB564" i="1"/>
  <c r="Z561" i="1"/>
  <c r="Z542" i="1" l="1"/>
  <c r="AB542" i="1" s="1"/>
  <c r="AB543" i="1"/>
  <c r="Z539" i="1"/>
  <c r="AB561" i="1"/>
  <c r="Z559" i="1"/>
  <c r="F534" i="4"/>
  <c r="T534" i="4" s="1"/>
  <c r="S534" i="4" s="1"/>
  <c r="V531" i="4"/>
  <c r="Z531" i="4" s="1"/>
  <c r="E534" i="4"/>
  <c r="Z557" i="1" l="1"/>
  <c r="AB557" i="1" s="1"/>
  <c r="AB559" i="1"/>
  <c r="Z554" i="1"/>
  <c r="E536" i="4"/>
  <c r="F536" i="4" s="1"/>
  <c r="T536" i="4" s="1"/>
  <c r="S536" i="4" s="1"/>
  <c r="V534" i="4"/>
  <c r="Z534" i="4" s="1"/>
  <c r="E588" i="4"/>
  <c r="F588" i="4" s="1"/>
  <c r="T588" i="4" s="1"/>
  <c r="S588" i="4" s="1"/>
  <c r="E581" i="4"/>
  <c r="F581" i="4" s="1"/>
  <c r="T581" i="4" s="1"/>
  <c r="S581" i="4" s="1"/>
  <c r="Z536" i="1"/>
  <c r="Z530" i="1"/>
  <c r="AB539" i="1"/>
  <c r="AB536" i="1" l="1"/>
  <c r="Z534" i="1"/>
  <c r="AB534" i="1" s="1"/>
  <c r="Z527" i="1"/>
  <c r="AB530" i="1"/>
  <c r="V588" i="4"/>
  <c r="Z588" i="4" s="1"/>
  <c r="E590" i="4"/>
  <c r="F590" i="4"/>
  <c r="T590" i="4" s="1"/>
  <c r="S590" i="4" s="1"/>
  <c r="F585" i="4"/>
  <c r="T585" i="4" s="1"/>
  <c r="S585" i="4" s="1"/>
  <c r="V585" i="4" s="1"/>
  <c r="Z585" i="4" s="1"/>
  <c r="E585" i="4"/>
  <c r="V581" i="4"/>
  <c r="Z581" i="4" s="1"/>
  <c r="E578" i="4"/>
  <c r="F578" i="4" s="1"/>
  <c r="T578" i="4" s="1"/>
  <c r="S578" i="4" s="1"/>
  <c r="V578" i="4" s="1"/>
  <c r="Z578" i="4" s="1"/>
  <c r="V536" i="4"/>
  <c r="Z536" i="4" s="1"/>
  <c r="E541" i="4"/>
  <c r="F541" i="4" s="1"/>
  <c r="T541" i="4" s="1"/>
  <c r="S541" i="4" s="1"/>
  <c r="AB554" i="1"/>
  <c r="Z552" i="1"/>
  <c r="AB552" i="1" s="1"/>
  <c r="V541" i="4" l="1"/>
  <c r="Z541" i="4" s="1"/>
  <c r="E575" i="4"/>
  <c r="F575" i="4" s="1"/>
  <c r="T575" i="4" s="1"/>
  <c r="S575" i="4" s="1"/>
  <c r="V575" i="4" s="1"/>
  <c r="Z575" i="4" s="1"/>
  <c r="E545" i="4"/>
  <c r="F545" i="4" s="1"/>
  <c r="T545" i="4" s="1"/>
  <c r="S545" i="4" s="1"/>
  <c r="F592" i="4"/>
  <c r="T592" i="4" s="1"/>
  <c r="S592" i="4" s="1"/>
  <c r="V590" i="4"/>
  <c r="Z590" i="4" s="1"/>
  <c r="E592" i="4"/>
  <c r="AB527" i="1"/>
  <c r="Z526" i="1"/>
  <c r="Z520" i="1"/>
  <c r="AB526" i="1" l="1"/>
  <c r="Z524" i="1"/>
  <c r="AB520" i="1"/>
  <c r="Z519" i="1"/>
  <c r="AB519" i="1" s="1"/>
  <c r="Z515" i="1"/>
  <c r="E597" i="4"/>
  <c r="F597" i="4" s="1"/>
  <c r="T597" i="4" s="1"/>
  <c r="S597" i="4" s="1"/>
  <c r="E602" i="4"/>
  <c r="F602" i="4" s="1"/>
  <c r="T602" i="4" s="1"/>
  <c r="S602" i="4" s="1"/>
  <c r="V602" i="4" s="1"/>
  <c r="Z602" i="4" s="1"/>
  <c r="V592" i="4"/>
  <c r="Z592" i="4" s="1"/>
  <c r="E548" i="4"/>
  <c r="F548" i="4" s="1"/>
  <c r="T548" i="4" s="1"/>
  <c r="S548" i="4" s="1"/>
  <c r="V545" i="4"/>
  <c r="Z545" i="4" s="1"/>
  <c r="E569" i="4"/>
  <c r="F569" i="4" s="1"/>
  <c r="T569" i="4" s="1"/>
  <c r="S569" i="4" s="1"/>
  <c r="E426" i="1"/>
  <c r="E428" i="1" s="1"/>
  <c r="E438" i="1" s="1"/>
  <c r="AB524" i="1" l="1"/>
  <c r="V569" i="4"/>
  <c r="Z569" i="4" s="1"/>
  <c r="F572" i="4"/>
  <c r="T572" i="4" s="1"/>
  <c r="S572" i="4" s="1"/>
  <c r="V572" i="4" s="1"/>
  <c r="Z572" i="4" s="1"/>
  <c r="E572" i="4"/>
  <c r="V548" i="4"/>
  <c r="Z548" i="4" s="1"/>
  <c r="E550" i="4"/>
  <c r="F550" i="4" s="1"/>
  <c r="T550" i="4" s="1"/>
  <c r="S550" i="4" s="1"/>
  <c r="AB515" i="1"/>
  <c r="Z512" i="1"/>
  <c r="Z500" i="1" s="1"/>
  <c r="F599" i="4"/>
  <c r="T599" i="4" s="1"/>
  <c r="S599" i="4" s="1"/>
  <c r="V599" i="4" s="1"/>
  <c r="Z599" i="4" s="1"/>
  <c r="V597" i="4"/>
  <c r="Z597" i="4" s="1"/>
  <c r="E599" i="4"/>
  <c r="AB512" i="1" l="1"/>
  <c r="Z511" i="1"/>
  <c r="F552" i="4"/>
  <c r="T552" i="4" s="1"/>
  <c r="S552" i="4" s="1"/>
  <c r="E552" i="4"/>
  <c r="V550" i="4"/>
  <c r="Z550" i="4" s="1"/>
  <c r="V552" i="4" l="1"/>
  <c r="F555" i="4"/>
  <c r="T555" i="4" s="1"/>
  <c r="S555" i="4" s="1"/>
  <c r="E555" i="4"/>
  <c r="AB511" i="1"/>
  <c r="AB500" i="1"/>
  <c r="Z509" i="1"/>
  <c r="R357" i="1"/>
  <c r="U357" i="1" s="1"/>
  <c r="Y357" i="1" s="1"/>
  <c r="AB509" i="1" l="1"/>
  <c r="Z507" i="1"/>
  <c r="E558" i="4"/>
  <c r="F558" i="4" s="1"/>
  <c r="T558" i="4" s="1"/>
  <c r="S558" i="4" s="1"/>
  <c r="V558" i="4" s="1"/>
  <c r="V555" i="4"/>
  <c r="E561" i="4"/>
  <c r="F561" i="4" s="1"/>
  <c r="T561" i="4" s="1"/>
  <c r="S561" i="4" s="1"/>
  <c r="T357" i="1"/>
  <c r="W357" i="1" s="1"/>
  <c r="X357" i="1" s="1"/>
  <c r="P358" i="1" s="1"/>
  <c r="Q358" i="1" s="1"/>
  <c r="R358" i="1" s="1"/>
  <c r="H295" i="4" s="1"/>
  <c r="J295" i="4" l="1"/>
  <c r="K295" i="4" s="1"/>
  <c r="P295" i="4" s="1"/>
  <c r="Q295" i="4" s="1"/>
  <c r="L295" i="4"/>
  <c r="M295" i="4" s="1"/>
  <c r="T358" i="1"/>
  <c r="W358" i="1" s="1"/>
  <c r="X358" i="1" s="1"/>
  <c r="U358" i="1"/>
  <c r="Y358" i="1" s="1"/>
  <c r="V561" i="4"/>
  <c r="F563" i="4"/>
  <c r="T563" i="4" s="1"/>
  <c r="S563" i="4" s="1"/>
  <c r="E563" i="4"/>
  <c r="Z505" i="1"/>
  <c r="AB507" i="1"/>
  <c r="R295" i="4" l="1"/>
  <c r="AB505" i="1"/>
  <c r="Z503" i="1"/>
  <c r="AB503" i="1" s="1"/>
  <c r="F565" i="4"/>
  <c r="T565" i="4" s="1"/>
  <c r="S565" i="4" s="1"/>
  <c r="V565" i="4" s="1"/>
  <c r="V563" i="4"/>
  <c r="E565" i="4"/>
  <c r="H308" i="4"/>
  <c r="L308" i="4" s="1"/>
  <c r="M308" i="4" s="1"/>
  <c r="E361" i="1"/>
  <c r="E365" i="1" s="1"/>
  <c r="P361" i="1"/>
  <c r="Q361" i="1" s="1"/>
  <c r="J361" i="1"/>
  <c r="H361" i="1"/>
  <c r="H365" i="1" s="1"/>
  <c r="H384" i="1" l="1"/>
  <c r="E384" i="1"/>
  <c r="R361" i="1"/>
  <c r="J365" i="1"/>
  <c r="J308" i="4"/>
  <c r="K308" i="4" s="1"/>
  <c r="P308" i="4" s="1"/>
  <c r="Q308" i="4" s="1"/>
  <c r="R308" i="4" s="1"/>
  <c r="U361" i="1" l="1"/>
  <c r="Y361" i="1" s="1"/>
  <c r="H292" i="4"/>
  <c r="H397" i="1"/>
  <c r="E397" i="1"/>
  <c r="E407" i="1" s="1"/>
  <c r="E412" i="1" s="1"/>
  <c r="J384" i="1"/>
  <c r="T361" i="1"/>
  <c r="W361" i="1" s="1"/>
  <c r="X361" i="1" s="1"/>
  <c r="P365" i="1" s="1"/>
  <c r="Q365" i="1" s="1"/>
  <c r="R365" i="1" s="1"/>
  <c r="T365" i="1" s="1"/>
  <c r="W365" i="1" s="1"/>
  <c r="X365" i="1" s="1"/>
  <c r="P384" i="1" s="1"/>
  <c r="Q384" i="1" l="1"/>
  <c r="R384" i="1" s="1"/>
  <c r="U384" i="1" s="1"/>
  <c r="Y384" i="1" s="1"/>
  <c r="J292" i="4"/>
  <c r="K292" i="4" s="1"/>
  <c r="L292" i="4"/>
  <c r="M292" i="4" s="1"/>
  <c r="E415" i="1"/>
  <c r="E418" i="1" s="1"/>
  <c r="E442" i="1" s="1"/>
  <c r="E448" i="1" s="1"/>
  <c r="E453" i="1" s="1"/>
  <c r="E475" i="1" s="1"/>
  <c r="E477" i="1" s="1"/>
  <c r="E478" i="1" s="1"/>
  <c r="E482" i="1" s="1"/>
  <c r="E484" i="1" s="1"/>
  <c r="H407" i="1"/>
  <c r="H412" i="1" s="1"/>
  <c r="J397" i="1"/>
  <c r="J407" i="1" s="1"/>
  <c r="J412" i="1" s="1"/>
  <c r="H290" i="4"/>
  <c r="L290" i="4" s="1"/>
  <c r="M290" i="4" s="1"/>
  <c r="U365" i="1"/>
  <c r="Y365" i="1" s="1"/>
  <c r="P292" i="4" l="1"/>
  <c r="Q292" i="4" s="1"/>
  <c r="R292" i="4" s="1"/>
  <c r="K293" i="4"/>
  <c r="J415" i="1"/>
  <c r="J418" i="1" s="1"/>
  <c r="J442" i="1" s="1"/>
  <c r="J448" i="1" s="1"/>
  <c r="J453" i="1" s="1"/>
  <c r="H415" i="1"/>
  <c r="H418" i="1" s="1"/>
  <c r="H442" i="1" s="1"/>
  <c r="H448" i="1" s="1"/>
  <c r="H453" i="1" s="1"/>
  <c r="H475" i="1" s="1"/>
  <c r="H477" i="1" s="1"/>
  <c r="H478" i="1" s="1"/>
  <c r="H276" i="4"/>
  <c r="L276" i="4" s="1"/>
  <c r="M276" i="4" s="1"/>
  <c r="T384" i="1"/>
  <c r="W384" i="1" s="1"/>
  <c r="X384" i="1" s="1"/>
  <c r="J290" i="4"/>
  <c r="K290" i="4" s="1"/>
  <c r="K291" i="4" l="1"/>
  <c r="P290" i="4"/>
  <c r="Q290" i="4" s="1"/>
  <c r="R290" i="4" s="1"/>
  <c r="H482" i="1"/>
  <c r="H484" i="1" s="1"/>
  <c r="J276" i="4"/>
  <c r="K276" i="4" s="1"/>
  <c r="P276" i="4" s="1"/>
  <c r="Q276" i="4" s="1"/>
  <c r="R276" i="4" s="1"/>
  <c r="Q388" i="1"/>
  <c r="P397" i="1"/>
  <c r="Q397" i="1" s="1"/>
  <c r="R397" i="1" s="1"/>
  <c r="J475" i="1"/>
  <c r="R388" i="1" l="1"/>
  <c r="U397" i="1"/>
  <c r="Y397" i="1" s="1"/>
  <c r="T397" i="1"/>
  <c r="W397" i="1" s="1"/>
  <c r="X397" i="1" s="1"/>
  <c r="P407" i="1" s="1"/>
  <c r="Q407" i="1" s="1"/>
  <c r="R407" i="1" s="1"/>
  <c r="H274" i="4"/>
  <c r="J477" i="1"/>
  <c r="J478" i="1" s="1"/>
  <c r="J482" i="1" s="1"/>
  <c r="J484" i="1" s="1"/>
  <c r="U407" i="1" l="1"/>
  <c r="Y407" i="1" s="1"/>
  <c r="H272" i="4"/>
  <c r="T388" i="1"/>
  <c r="W388" i="1" s="1"/>
  <c r="X388" i="1" s="1"/>
  <c r="H343" i="4"/>
  <c r="U388" i="1"/>
  <c r="Y388" i="1" s="1"/>
  <c r="Q396" i="1"/>
  <c r="R396" i="1" s="1"/>
  <c r="P390" i="1"/>
  <c r="Q390" i="1" s="1"/>
  <c r="R390" i="1" s="1"/>
  <c r="T407" i="1"/>
  <c r="W407" i="1" s="1"/>
  <c r="X407" i="1" s="1"/>
  <c r="P412" i="1" s="1"/>
  <c r="Q412" i="1" s="1"/>
  <c r="R412" i="1" s="1"/>
  <c r="T412" i="1" s="1"/>
  <c r="W412" i="1" s="1"/>
  <c r="X412" i="1" s="1"/>
  <c r="J274" i="4"/>
  <c r="K274" i="4" s="1"/>
  <c r="K275" i="4" s="1"/>
  <c r="L274" i="4"/>
  <c r="M274" i="4" s="1"/>
  <c r="H270" i="4" l="1"/>
  <c r="J270" i="4" s="1"/>
  <c r="K270" i="4" s="1"/>
  <c r="P270" i="4" s="1"/>
  <c r="U390" i="1"/>
  <c r="Y390" i="1" s="1"/>
  <c r="H341" i="4"/>
  <c r="L343" i="4"/>
  <c r="M343" i="4" s="1"/>
  <c r="J343" i="4"/>
  <c r="K343" i="4" s="1"/>
  <c r="Q343" i="4" s="1"/>
  <c r="U396" i="1"/>
  <c r="Y396" i="1" s="1"/>
  <c r="H336" i="4"/>
  <c r="J272" i="4"/>
  <c r="K272" i="4" s="1"/>
  <c r="P272" i="4" s="1"/>
  <c r="L272" i="4"/>
  <c r="M272" i="4" s="1"/>
  <c r="T390" i="1"/>
  <c r="W390" i="1" s="1"/>
  <c r="X390" i="1" s="1"/>
  <c r="T396" i="1"/>
  <c r="W396" i="1" s="1"/>
  <c r="X396" i="1" s="1"/>
  <c r="P415" i="1"/>
  <c r="Q415" i="1" s="1"/>
  <c r="R415" i="1" s="1"/>
  <c r="H268" i="4" s="1"/>
  <c r="U412" i="1"/>
  <c r="Y412" i="1" s="1"/>
  <c r="P274" i="4"/>
  <c r="L270" i="4" l="1"/>
  <c r="M270" i="4" s="1"/>
  <c r="R343" i="4"/>
  <c r="J336" i="4"/>
  <c r="K336" i="4" s="1"/>
  <c r="P336" i="4" s="1"/>
  <c r="Q336" i="4" s="1"/>
  <c r="L336" i="4"/>
  <c r="M336" i="4" s="1"/>
  <c r="L341" i="4"/>
  <c r="M341" i="4" s="1"/>
  <c r="J341" i="4"/>
  <c r="K341" i="4" s="1"/>
  <c r="L268" i="4"/>
  <c r="M268" i="4" s="1"/>
  <c r="J268" i="4"/>
  <c r="K268" i="4" s="1"/>
  <c r="K273" i="4"/>
  <c r="Q272" i="4"/>
  <c r="R272" i="4" s="1"/>
  <c r="U415" i="1"/>
  <c r="Y415" i="1" s="1"/>
  <c r="T415" i="1"/>
  <c r="W415" i="1" s="1"/>
  <c r="X415" i="1" s="1"/>
  <c r="P418" i="1" s="1"/>
  <c r="Q418" i="1" s="1"/>
  <c r="R418" i="1" s="1"/>
  <c r="Q270" i="4"/>
  <c r="R270" i="4" s="1"/>
  <c r="K271" i="4"/>
  <c r="Q274" i="4"/>
  <c r="R274" i="4" s="1"/>
  <c r="K269" i="4" l="1"/>
  <c r="P268" i="4"/>
  <c r="Q268" i="4" s="1"/>
  <c r="R268" i="4" s="1"/>
  <c r="P341" i="4"/>
  <c r="Q341" i="4" s="1"/>
  <c r="R341" i="4" s="1"/>
  <c r="K342" i="4"/>
  <c r="R336" i="4"/>
  <c r="U418" i="1"/>
  <c r="Y418" i="1" s="1"/>
  <c r="H266" i="4"/>
  <c r="T418" i="1"/>
  <c r="W418" i="1" s="1"/>
  <c r="X418" i="1" s="1"/>
  <c r="P442" i="1" s="1"/>
  <c r="Q442" i="1" s="1"/>
  <c r="R442" i="1" s="1"/>
  <c r="U442" i="1" s="1"/>
  <c r="Y442" i="1" s="1"/>
  <c r="L266" i="4" l="1"/>
  <c r="M266" i="4" s="1"/>
  <c r="J266" i="4"/>
  <c r="K266" i="4" s="1"/>
  <c r="T442" i="1"/>
  <c r="W442" i="1" s="1"/>
  <c r="X442" i="1" s="1"/>
  <c r="P448" i="1" s="1"/>
  <c r="Q448" i="1" s="1"/>
  <c r="R448" i="1" s="1"/>
  <c r="H264" i="4"/>
  <c r="U448" i="1" l="1"/>
  <c r="Y448" i="1" s="1"/>
  <c r="T448" i="1"/>
  <c r="W448" i="1" s="1"/>
  <c r="X448" i="1" s="1"/>
  <c r="P453" i="1" s="1"/>
  <c r="Q453" i="1" s="1"/>
  <c r="R453" i="1" s="1"/>
  <c r="H262" i="4"/>
  <c r="K267" i="4"/>
  <c r="P266" i="4"/>
  <c r="Q266" i="4" s="1"/>
  <c r="R266" i="4" s="1"/>
  <c r="L264" i="4"/>
  <c r="M264" i="4" s="1"/>
  <c r="J264" i="4"/>
  <c r="K264" i="4" s="1"/>
  <c r="P264" i="4" l="1"/>
  <c r="Q264" i="4" s="1"/>
  <c r="R264" i="4" s="1"/>
  <c r="K265" i="4"/>
  <c r="T453" i="1"/>
  <c r="W453" i="1" s="1"/>
  <c r="X453" i="1" s="1"/>
  <c r="P475" i="1" s="1"/>
  <c r="Q475" i="1" s="1"/>
  <c r="R475" i="1" s="1"/>
  <c r="H260" i="4"/>
  <c r="U453" i="1"/>
  <c r="Y453" i="1" s="1"/>
  <c r="L262" i="4"/>
  <c r="M262" i="4" s="1"/>
  <c r="R262" i="4" s="1"/>
  <c r="J262" i="4"/>
  <c r="K262" i="4" s="1"/>
  <c r="R477" i="1" l="1"/>
  <c r="H258" i="4"/>
  <c r="T475" i="1"/>
  <c r="W475" i="1" s="1"/>
  <c r="X475" i="1" s="1"/>
  <c r="P477" i="1" s="1"/>
  <c r="Q477" i="1" s="1"/>
  <c r="U475" i="1"/>
  <c r="Y475" i="1" s="1"/>
  <c r="L260" i="4"/>
  <c r="M260" i="4" s="1"/>
  <c r="R260" i="4" s="1"/>
  <c r="J260" i="4"/>
  <c r="K260" i="4" s="1"/>
  <c r="J258" i="4" l="1"/>
  <c r="K258" i="4" s="1"/>
  <c r="L258" i="4"/>
  <c r="M258" i="4" s="1"/>
  <c r="U477" i="1"/>
  <c r="Y477" i="1" s="1"/>
  <c r="T477" i="1"/>
  <c r="W477" i="1" s="1"/>
  <c r="X477" i="1" s="1"/>
  <c r="P478" i="1" s="1"/>
  <c r="Q478" i="1" s="1"/>
  <c r="R478" i="1" s="1"/>
  <c r="H256" i="4"/>
  <c r="L256" i="4" l="1"/>
  <c r="M256" i="4" s="1"/>
  <c r="J256" i="4"/>
  <c r="K256" i="4" s="1"/>
  <c r="T478" i="1"/>
  <c r="W478" i="1" s="1"/>
  <c r="X478" i="1" s="1"/>
  <c r="P482" i="1" s="1"/>
  <c r="Q482" i="1" s="1"/>
  <c r="R482" i="1" s="1"/>
  <c r="H254" i="4"/>
  <c r="U478" i="1"/>
  <c r="Y478" i="1" s="1"/>
  <c r="K259" i="4"/>
  <c r="P258" i="4"/>
  <c r="Q258" i="4" s="1"/>
  <c r="R258" i="4" s="1"/>
  <c r="J254" i="4" l="1"/>
  <c r="K254" i="4" s="1"/>
  <c r="L254" i="4"/>
  <c r="M254" i="4" s="1"/>
  <c r="P256" i="4"/>
  <c r="Q256" i="4" s="1"/>
  <c r="R256" i="4" s="1"/>
  <c r="K257" i="4"/>
  <c r="U482" i="1"/>
  <c r="Y482" i="1" s="1"/>
  <c r="T482" i="1"/>
  <c r="W482" i="1" s="1"/>
  <c r="X482" i="1" s="1"/>
  <c r="P484" i="1" s="1"/>
  <c r="Q484" i="1" s="1"/>
  <c r="R484" i="1" s="1"/>
  <c r="H252" i="4"/>
  <c r="U484" i="1" l="1"/>
  <c r="Y484" i="1" s="1"/>
  <c r="Z484" i="1" s="1"/>
  <c r="H250" i="4"/>
  <c r="T484" i="1"/>
  <c r="W484" i="1" s="1"/>
  <c r="X484" i="1" s="1"/>
  <c r="J252" i="4"/>
  <c r="K252" i="4" s="1"/>
  <c r="P252" i="4" s="1"/>
  <c r="L252" i="4"/>
  <c r="M252" i="4" s="1"/>
  <c r="P254" i="4"/>
  <c r="Q254" i="4" s="1"/>
  <c r="R254" i="4" s="1"/>
  <c r="K255" i="4"/>
  <c r="Q252" i="4" l="1"/>
  <c r="R252" i="4" s="1"/>
  <c r="K253" i="4"/>
  <c r="L250" i="4"/>
  <c r="M250" i="4" s="1"/>
  <c r="R250" i="4" s="1"/>
  <c r="J250" i="4"/>
  <c r="K250" i="4" s="1"/>
  <c r="F250" i="4" s="1"/>
  <c r="Z482" i="1"/>
  <c r="AB484" i="1"/>
  <c r="T250" i="4" l="1"/>
  <c r="S250" i="4" s="1"/>
  <c r="AB482" i="1"/>
  <c r="Z481" i="1"/>
  <c r="AB481" i="1" s="1"/>
  <c r="Z478" i="1"/>
  <c r="AB478" i="1" l="1"/>
  <c r="Z477" i="1"/>
  <c r="Z327" i="1"/>
  <c r="V250" i="4"/>
  <c r="Z250" i="4" s="1"/>
  <c r="E252" i="4"/>
  <c r="F252" i="4"/>
  <c r="T252" i="4" s="1"/>
  <c r="S252" i="4" s="1"/>
  <c r="E254" i="4" l="1"/>
  <c r="F254" i="4" s="1"/>
  <c r="T254" i="4" s="1"/>
  <c r="S254" i="4" s="1"/>
  <c r="V252" i="4"/>
  <c r="Z252" i="4" s="1"/>
  <c r="AB327" i="1"/>
  <c r="Z326" i="1"/>
  <c r="AB326" i="1" s="1"/>
  <c r="Z321" i="1"/>
  <c r="AB477" i="1"/>
  <c r="Z475" i="1"/>
  <c r="Z316" i="1" l="1"/>
  <c r="AB321" i="1"/>
  <c r="Z311" i="1"/>
  <c r="Z319" i="1"/>
  <c r="AB319" i="1" s="1"/>
  <c r="Z474" i="1"/>
  <c r="AB475" i="1"/>
  <c r="Z453" i="1"/>
  <c r="E416" i="4"/>
  <c r="E256" i="4"/>
  <c r="V254" i="4"/>
  <c r="Z254" i="4" s="1"/>
  <c r="F416" i="4"/>
  <c r="T416" i="4" s="1"/>
  <c r="S416" i="4" s="1"/>
  <c r="F256" i="4"/>
  <c r="T256" i="4" s="1"/>
  <c r="S256" i="4" s="1"/>
  <c r="V416" i="4" l="1"/>
  <c r="Z416" i="4" s="1"/>
  <c r="E482" i="4"/>
  <c r="F482" i="4"/>
  <c r="T482" i="4" s="1"/>
  <c r="S482" i="4" s="1"/>
  <c r="V482" i="4" s="1"/>
  <c r="Z482" i="4" s="1"/>
  <c r="E418" i="4"/>
  <c r="F418" i="4"/>
  <c r="T418" i="4" s="1"/>
  <c r="S418" i="4" s="1"/>
  <c r="Z448" i="1"/>
  <c r="Z451" i="1"/>
  <c r="AB451" i="1" s="1"/>
  <c r="AB453" i="1"/>
  <c r="Z471" i="1"/>
  <c r="AB474" i="1"/>
  <c r="V256" i="4"/>
  <c r="Z256" i="4" s="1"/>
  <c r="E258" i="4"/>
  <c r="F258" i="4" s="1"/>
  <c r="T258" i="4" s="1"/>
  <c r="S258" i="4" s="1"/>
  <c r="AB311" i="1"/>
  <c r="Z308" i="1"/>
  <c r="AB316" i="1"/>
  <c r="Z314" i="1"/>
  <c r="AB314" i="1" s="1"/>
  <c r="V258" i="4" l="1"/>
  <c r="Z258" i="4" s="1"/>
  <c r="E389" i="4"/>
  <c r="F389" i="4" s="1"/>
  <c r="T389" i="4" s="1"/>
  <c r="S389" i="4" s="1"/>
  <c r="E260" i="4"/>
  <c r="F260" i="4"/>
  <c r="T260" i="4" s="1"/>
  <c r="S260" i="4" s="1"/>
  <c r="Z298" i="1"/>
  <c r="AB308" i="1"/>
  <c r="Z307" i="1"/>
  <c r="Z442" i="1"/>
  <c r="Z447" i="1"/>
  <c r="AB447" i="1" s="1"/>
  <c r="AB448" i="1"/>
  <c r="E485" i="4"/>
  <c r="F456" i="4"/>
  <c r="T456" i="4" s="1"/>
  <c r="S456" i="4" s="1"/>
  <c r="F485" i="4"/>
  <c r="T485" i="4" s="1"/>
  <c r="S485" i="4" s="1"/>
  <c r="V485" i="4" s="1"/>
  <c r="Z485" i="4" s="1"/>
  <c r="V418" i="4"/>
  <c r="Z418" i="4" s="1"/>
  <c r="E420" i="4"/>
  <c r="E456" i="4"/>
  <c r="F420" i="4"/>
  <c r="T420" i="4" s="1"/>
  <c r="S420" i="4" s="1"/>
  <c r="Z468" i="1"/>
  <c r="AB471" i="1"/>
  <c r="AB468" i="1" l="1"/>
  <c r="Z461" i="1"/>
  <c r="Z467" i="1"/>
  <c r="E425" i="4"/>
  <c r="F425" i="4"/>
  <c r="T425" i="4" s="1"/>
  <c r="S425" i="4" s="1"/>
  <c r="V420" i="4"/>
  <c r="Z420" i="4" s="1"/>
  <c r="Z306" i="1"/>
  <c r="AB307" i="1"/>
  <c r="F458" i="4"/>
  <c r="T458" i="4" s="1"/>
  <c r="S458" i="4" s="1"/>
  <c r="E458" i="4"/>
  <c r="V456" i="4"/>
  <c r="Z456" i="4" s="1"/>
  <c r="Z275" i="1"/>
  <c r="AB298" i="1"/>
  <c r="Z296" i="1"/>
  <c r="V260" i="4"/>
  <c r="Z260" i="4" s="1"/>
  <c r="E262" i="4"/>
  <c r="F262" i="4" s="1"/>
  <c r="T262" i="4" s="1"/>
  <c r="S262" i="4" s="1"/>
  <c r="E386" i="4"/>
  <c r="F386" i="4" s="1"/>
  <c r="T386" i="4" s="1"/>
  <c r="S386" i="4" s="1"/>
  <c r="V386" i="4" s="1"/>
  <c r="Z386" i="4" s="1"/>
  <c r="E391" i="4"/>
  <c r="V389" i="4"/>
  <c r="Z389" i="4" s="1"/>
  <c r="F391" i="4"/>
  <c r="T391" i="4" s="1"/>
  <c r="S391" i="4" s="1"/>
  <c r="Z438" i="1"/>
  <c r="AB442" i="1"/>
  <c r="Z441" i="1"/>
  <c r="AB441" i="1" s="1"/>
  <c r="Z418" i="1"/>
  <c r="Z437" i="1" l="1"/>
  <c r="AB438" i="1"/>
  <c r="Z432" i="1"/>
  <c r="AB432" i="1" s="1"/>
  <c r="Z428" i="1"/>
  <c r="AB275" i="1"/>
  <c r="Z273" i="1"/>
  <c r="Z415" i="1"/>
  <c r="AB418" i="1"/>
  <c r="F460" i="4"/>
  <c r="T460" i="4" s="1"/>
  <c r="S460" i="4" s="1"/>
  <c r="V460" i="4" s="1"/>
  <c r="Z460" i="4" s="1"/>
  <c r="V458" i="4"/>
  <c r="Z458" i="4" s="1"/>
  <c r="E460" i="4"/>
  <c r="AB306" i="1"/>
  <c r="Z303" i="1"/>
  <c r="Z292" i="1"/>
  <c r="AB296" i="1"/>
  <c r="Z295" i="1"/>
  <c r="AB295" i="1" s="1"/>
  <c r="E488" i="4"/>
  <c r="F428" i="4"/>
  <c r="T428" i="4" s="1"/>
  <c r="S428" i="4" s="1"/>
  <c r="F488" i="4"/>
  <c r="T488" i="4" s="1"/>
  <c r="S488" i="4" s="1"/>
  <c r="E428" i="4"/>
  <c r="V425" i="4"/>
  <c r="Z425" i="4" s="1"/>
  <c r="F395" i="4"/>
  <c r="T395" i="4" s="1"/>
  <c r="S395" i="4" s="1"/>
  <c r="V391" i="4"/>
  <c r="Z391" i="4" s="1"/>
  <c r="E395" i="4"/>
  <c r="Z464" i="1"/>
  <c r="AB464" i="1" s="1"/>
  <c r="AB467" i="1"/>
  <c r="V262" i="4"/>
  <c r="Z262" i="4" s="1"/>
  <c r="E264" i="4"/>
  <c r="F264" i="4" s="1"/>
  <c r="T264" i="4" s="1"/>
  <c r="S264" i="4" s="1"/>
  <c r="F383" i="4"/>
  <c r="T383" i="4" s="1"/>
  <c r="S383" i="4" s="1"/>
  <c r="V383" i="4" s="1"/>
  <c r="Z383" i="4" s="1"/>
  <c r="E383" i="4"/>
  <c r="AB461" i="1"/>
  <c r="Z459" i="1"/>
  <c r="AB437" i="1" l="1"/>
  <c r="Z435" i="1"/>
  <c r="AB435" i="1" s="1"/>
  <c r="AB292" i="1"/>
  <c r="Z291" i="1"/>
  <c r="Z301" i="1"/>
  <c r="AB301" i="1" s="1"/>
  <c r="AB303" i="1"/>
  <c r="E497" i="4"/>
  <c r="F497" i="4" s="1"/>
  <c r="T497" i="4" s="1"/>
  <c r="S497" i="4" s="1"/>
  <c r="E433" i="4"/>
  <c r="F433" i="4" s="1"/>
  <c r="T433" i="4" s="1"/>
  <c r="S433" i="4" s="1"/>
  <c r="V428" i="4"/>
  <c r="Z428" i="4" s="1"/>
  <c r="Z412" i="1"/>
  <c r="AB415" i="1"/>
  <c r="Z270" i="1"/>
  <c r="AB270" i="1" s="1"/>
  <c r="AB273" i="1"/>
  <c r="Z267" i="1"/>
  <c r="Z255" i="1"/>
  <c r="Z457" i="1"/>
  <c r="AB457" i="1" s="1"/>
  <c r="AB459" i="1"/>
  <c r="V488" i="4"/>
  <c r="Z488" i="4" s="1"/>
  <c r="F490" i="4"/>
  <c r="T490" i="4" s="1"/>
  <c r="S490" i="4" s="1"/>
  <c r="E490" i="4"/>
  <c r="Z426" i="1"/>
  <c r="AB428" i="1"/>
  <c r="V395" i="4"/>
  <c r="Z395" i="4" s="1"/>
  <c r="E411" i="4"/>
  <c r="F411" i="4" s="1"/>
  <c r="T411" i="4" s="1"/>
  <c r="S411" i="4" s="1"/>
  <c r="E401" i="4"/>
  <c r="F401" i="4" s="1"/>
  <c r="T401" i="4" s="1"/>
  <c r="S401" i="4" s="1"/>
  <c r="V264" i="4"/>
  <c r="Z264" i="4" s="1"/>
  <c r="E358" i="4"/>
  <c r="F358" i="4" s="1"/>
  <c r="T358" i="4" s="1"/>
  <c r="S358" i="4" s="1"/>
  <c r="E266" i="4"/>
  <c r="F266" i="4" s="1"/>
  <c r="T266" i="4" s="1"/>
  <c r="S266" i="4" s="1"/>
  <c r="E380" i="4"/>
  <c r="F380" i="4" s="1"/>
  <c r="T380" i="4" s="1"/>
  <c r="S380" i="4" s="1"/>
  <c r="V380" i="4" s="1"/>
  <c r="Z380" i="4" s="1"/>
  <c r="E268" i="4" l="1"/>
  <c r="F268" i="4"/>
  <c r="T268" i="4" s="1"/>
  <c r="S268" i="4" s="1"/>
  <c r="V268" i="4" s="1"/>
  <c r="V411" i="4"/>
  <c r="Z411" i="4" s="1"/>
  <c r="E413" i="4"/>
  <c r="F413" i="4"/>
  <c r="T413" i="4" s="1"/>
  <c r="S413" i="4" s="1"/>
  <c r="V413" i="4" s="1"/>
  <c r="Z413" i="4" s="1"/>
  <c r="E492" i="4"/>
  <c r="V490" i="4"/>
  <c r="Z490" i="4" s="1"/>
  <c r="F492" i="4"/>
  <c r="T492" i="4" s="1"/>
  <c r="S492" i="4" s="1"/>
  <c r="AB255" i="1"/>
  <c r="Z253" i="1"/>
  <c r="AB426" i="1"/>
  <c r="Z424" i="1"/>
  <c r="AB267" i="1"/>
  <c r="Z266" i="1"/>
  <c r="AB266" i="1" s="1"/>
  <c r="Z262" i="1"/>
  <c r="V433" i="4"/>
  <c r="Z433" i="4" s="1"/>
  <c r="F435" i="4"/>
  <c r="T435" i="4" s="1"/>
  <c r="S435" i="4" s="1"/>
  <c r="E435" i="4"/>
  <c r="V497" i="4"/>
  <c r="Z497" i="4" s="1"/>
  <c r="E499" i="4"/>
  <c r="F499" i="4" s="1"/>
  <c r="T499" i="4" s="1"/>
  <c r="S499" i="4" s="1"/>
  <c r="AB412" i="1"/>
  <c r="Z411" i="1"/>
  <c r="AB411" i="1" s="1"/>
  <c r="Z407" i="1"/>
  <c r="Z289" i="1"/>
  <c r="AB291" i="1"/>
  <c r="E404" i="4"/>
  <c r="F404" i="4" s="1"/>
  <c r="T404" i="4" s="1"/>
  <c r="S404" i="4" s="1"/>
  <c r="V401" i="4"/>
  <c r="Z401" i="4" s="1"/>
  <c r="V266" i="4"/>
  <c r="Z266" i="4" s="1"/>
  <c r="E375" i="4"/>
  <c r="F375" i="4" s="1"/>
  <c r="T375" i="4" s="1"/>
  <c r="S375" i="4" s="1"/>
  <c r="V375" i="4" s="1"/>
  <c r="V358" i="4"/>
  <c r="Z358" i="4" s="1"/>
  <c r="E360" i="4"/>
  <c r="F360" i="4" s="1"/>
  <c r="T360" i="4" s="1"/>
  <c r="S360" i="4" s="1"/>
  <c r="E370" i="4"/>
  <c r="F370" i="4" s="1"/>
  <c r="T370" i="4" s="1"/>
  <c r="S370" i="4" s="1"/>
  <c r="E270" i="4" l="1"/>
  <c r="F270" i="4" s="1"/>
  <c r="T270" i="4" s="1"/>
  <c r="S270" i="4" s="1"/>
  <c r="V404" i="4"/>
  <c r="Z404" i="4" s="1"/>
  <c r="E408" i="4"/>
  <c r="F408" i="4" s="1"/>
  <c r="T408" i="4" s="1"/>
  <c r="S408" i="4" s="1"/>
  <c r="V408" i="4" s="1"/>
  <c r="Z408" i="4" s="1"/>
  <c r="E470" i="4"/>
  <c r="F470" i="4" s="1"/>
  <c r="T470" i="4" s="1"/>
  <c r="S470" i="4" s="1"/>
  <c r="V435" i="4"/>
  <c r="Z435" i="4" s="1"/>
  <c r="E467" i="4"/>
  <c r="F467" i="4" s="1"/>
  <c r="T467" i="4" s="1"/>
  <c r="S467" i="4" s="1"/>
  <c r="V467" i="4" s="1"/>
  <c r="Z467" i="4" s="1"/>
  <c r="E437" i="4"/>
  <c r="F437" i="4" s="1"/>
  <c r="T437" i="4" s="1"/>
  <c r="S437" i="4" s="1"/>
  <c r="AB262" i="1"/>
  <c r="Z260" i="1"/>
  <c r="Z397" i="1"/>
  <c r="AB407" i="1"/>
  <c r="E362" i="4"/>
  <c r="V360" i="4"/>
  <c r="Z360" i="4" s="1"/>
  <c r="F362" i="4"/>
  <c r="T362" i="4" s="1"/>
  <c r="S362" i="4" s="1"/>
  <c r="V499" i="4"/>
  <c r="Z499" i="4" s="1"/>
  <c r="E501" i="4"/>
  <c r="F501" i="4" s="1"/>
  <c r="T501" i="4" s="1"/>
  <c r="S501" i="4" s="1"/>
  <c r="V492" i="4"/>
  <c r="Z492" i="4" s="1"/>
  <c r="E494" i="4"/>
  <c r="F494" i="4"/>
  <c r="T494" i="4" s="1"/>
  <c r="S494" i="4" s="1"/>
  <c r="V494" i="4" s="1"/>
  <c r="Z494" i="4" s="1"/>
  <c r="Z286" i="1"/>
  <c r="AB289" i="1"/>
  <c r="F372" i="4"/>
  <c r="T372" i="4" s="1"/>
  <c r="S372" i="4" s="1"/>
  <c r="V372" i="4" s="1"/>
  <c r="E372" i="4"/>
  <c r="V370" i="4"/>
  <c r="AB424" i="1"/>
  <c r="Z422" i="1"/>
  <c r="AB422" i="1" s="1"/>
  <c r="AB253" i="1"/>
  <c r="Z250" i="1"/>
  <c r="V270" i="4" l="1"/>
  <c r="E354" i="4"/>
  <c r="F354" i="4"/>
  <c r="T354" i="4" s="1"/>
  <c r="S354" i="4" s="1"/>
  <c r="V354" i="4" s="1"/>
  <c r="E272" i="4"/>
  <c r="F272" i="4"/>
  <c r="T272" i="4" s="1"/>
  <c r="S272" i="4" s="1"/>
  <c r="Z281" i="1"/>
  <c r="Z285" i="1"/>
  <c r="AB285" i="1" s="1"/>
  <c r="AB286" i="1"/>
  <c r="V501" i="4"/>
  <c r="Z501" i="4" s="1"/>
  <c r="F503" i="4"/>
  <c r="T503" i="4" s="1"/>
  <c r="S503" i="4" s="1"/>
  <c r="E503" i="4"/>
  <c r="AB260" i="1"/>
  <c r="Z258" i="1"/>
  <c r="AB258" i="1" s="1"/>
  <c r="F440" i="4"/>
  <c r="T440" i="4" s="1"/>
  <c r="S440" i="4" s="1"/>
  <c r="E440" i="4"/>
  <c r="V437" i="4"/>
  <c r="Z437" i="4" s="1"/>
  <c r="AB397" i="1"/>
  <c r="Z390" i="1"/>
  <c r="Z384" i="1"/>
  <c r="Z396" i="1"/>
  <c r="Z247" i="1"/>
  <c r="AB250" i="1"/>
  <c r="E364" i="4"/>
  <c r="V362" i="4"/>
  <c r="F364" i="4"/>
  <c r="T364" i="4" s="1"/>
  <c r="S364" i="4" s="1"/>
  <c r="E477" i="4"/>
  <c r="F472" i="4"/>
  <c r="T472" i="4" s="1"/>
  <c r="S472" i="4" s="1"/>
  <c r="V470" i="4"/>
  <c r="Z470" i="4" s="1"/>
  <c r="F477" i="4"/>
  <c r="T477" i="4" s="1"/>
  <c r="S477" i="4" s="1"/>
  <c r="E472" i="4"/>
  <c r="V272" i="4" l="1"/>
  <c r="F346" i="4"/>
  <c r="F274" i="4"/>
  <c r="T274" i="4" s="1"/>
  <c r="S274" i="4" s="1"/>
  <c r="E346" i="4"/>
  <c r="E274" i="4"/>
  <c r="AB390" i="1"/>
  <c r="Z388" i="1"/>
  <c r="AB388" i="1" s="1"/>
  <c r="Z245" i="1"/>
  <c r="AB247" i="1"/>
  <c r="V440" i="4"/>
  <c r="Z440" i="4" s="1"/>
  <c r="F442" i="4"/>
  <c r="T442" i="4" s="1"/>
  <c r="S442" i="4" s="1"/>
  <c r="E442" i="4"/>
  <c r="AB396" i="1"/>
  <c r="Z394" i="1"/>
  <c r="AB394" i="1" s="1"/>
  <c r="V503" i="4"/>
  <c r="Z503" i="4" s="1"/>
  <c r="E505" i="4"/>
  <c r="F505" i="4" s="1"/>
  <c r="T505" i="4" s="1"/>
  <c r="S505" i="4" s="1"/>
  <c r="E479" i="4"/>
  <c r="F479" i="4" s="1"/>
  <c r="T479" i="4" s="1"/>
  <c r="S479" i="4" s="1"/>
  <c r="V479" i="4" s="1"/>
  <c r="Z479" i="4" s="1"/>
  <c r="V477" i="4"/>
  <c r="Z477" i="4" s="1"/>
  <c r="Z383" i="1"/>
  <c r="AB384" i="1"/>
  <c r="Z365" i="1"/>
  <c r="Z335" i="1"/>
  <c r="E474" i="4"/>
  <c r="V472" i="4"/>
  <c r="Z472" i="4" s="1"/>
  <c r="F474" i="4"/>
  <c r="T474" i="4" s="1"/>
  <c r="S474" i="4" s="1"/>
  <c r="V474" i="4" s="1"/>
  <c r="Z474" i="4" s="1"/>
  <c r="V364" i="4"/>
  <c r="E366" i="4"/>
  <c r="F366" i="4"/>
  <c r="T366" i="4" s="1"/>
  <c r="S366" i="4" s="1"/>
  <c r="V366" i="4" s="1"/>
  <c r="Z366" i="4" s="1"/>
  <c r="Z279" i="1"/>
  <c r="AB279" i="1" s="1"/>
  <c r="AB281" i="1"/>
  <c r="F341" i="4" l="1"/>
  <c r="T341" i="4" s="1"/>
  <c r="S341" i="4" s="1"/>
  <c r="E341" i="4"/>
  <c r="E336" i="4"/>
  <c r="F336" i="4"/>
  <c r="T336" i="4" s="1"/>
  <c r="S336" i="4" s="1"/>
  <c r="E276" i="4"/>
  <c r="F276" i="4"/>
  <c r="T276" i="4" s="1"/>
  <c r="S276" i="4" s="1"/>
  <c r="V274" i="4"/>
  <c r="E444" i="4"/>
  <c r="F444" i="4" s="1"/>
  <c r="T444" i="4" s="1"/>
  <c r="S444" i="4" s="1"/>
  <c r="V442" i="4"/>
  <c r="Z442" i="4" s="1"/>
  <c r="E514" i="4"/>
  <c r="F514" i="4" s="1"/>
  <c r="T514" i="4" s="1"/>
  <c r="S514" i="4" s="1"/>
  <c r="V514" i="4" s="1"/>
  <c r="Z514" i="4" s="1"/>
  <c r="V505" i="4"/>
  <c r="Z505" i="4" s="1"/>
  <c r="E507" i="4"/>
  <c r="F507" i="4" s="1"/>
  <c r="T507" i="4" s="1"/>
  <c r="S507" i="4" s="1"/>
  <c r="Z380" i="1"/>
  <c r="AB383" i="1"/>
  <c r="AB245" i="1"/>
  <c r="Z242" i="1"/>
  <c r="AB335" i="1"/>
  <c r="Z332" i="1"/>
  <c r="AB332" i="1" s="1"/>
  <c r="AB365" i="1"/>
  <c r="Z361" i="1"/>
  <c r="Z364" i="1"/>
  <c r="AB364" i="1" s="1"/>
  <c r="V341" i="4" l="1"/>
  <c r="E343" i="4"/>
  <c r="F343" i="4"/>
  <c r="T343" i="4" s="1"/>
  <c r="S343" i="4" s="1"/>
  <c r="V343" i="4" s="1"/>
  <c r="V336" i="4"/>
  <c r="E338" i="4"/>
  <c r="F338" i="4"/>
  <c r="T338" i="4" s="1"/>
  <c r="S338" i="4" s="1"/>
  <c r="V338" i="4" s="1"/>
  <c r="E319" i="4"/>
  <c r="E290" i="4"/>
  <c r="F290" i="4"/>
  <c r="T290" i="4" s="1"/>
  <c r="S290" i="4" s="1"/>
  <c r="F319" i="4"/>
  <c r="T319" i="4" s="1"/>
  <c r="S319" i="4" s="1"/>
  <c r="F278" i="4"/>
  <c r="T278" i="4" s="1"/>
  <c r="S278" i="4" s="1"/>
  <c r="V276" i="4"/>
  <c r="E278" i="4"/>
  <c r="Z241" i="1"/>
  <c r="AB241" i="1" s="1"/>
  <c r="AB242" i="1"/>
  <c r="Z237" i="1"/>
  <c r="Z375" i="1"/>
  <c r="Z379" i="1"/>
  <c r="AB379" i="1" s="1"/>
  <c r="Z371" i="1"/>
  <c r="AB380" i="1"/>
  <c r="AB361" i="1"/>
  <c r="Z358" i="1"/>
  <c r="Z347" i="1" s="1"/>
  <c r="E511" i="4"/>
  <c r="V507" i="4"/>
  <c r="Z507" i="4" s="1"/>
  <c r="F511" i="4"/>
  <c r="T511" i="4" s="1"/>
  <c r="S511" i="4" s="1"/>
  <c r="V511" i="4" s="1"/>
  <c r="Z511" i="4" s="1"/>
  <c r="V444" i="4"/>
  <c r="Z444" i="4" s="1"/>
  <c r="E446" i="4"/>
  <c r="F446" i="4" s="1"/>
  <c r="T446" i="4" s="1"/>
  <c r="S446" i="4" s="1"/>
  <c r="F316" i="4" l="1"/>
  <c r="T316" i="4" s="1"/>
  <c r="S316" i="4" s="1"/>
  <c r="V316" i="4" s="1"/>
  <c r="E316" i="4"/>
  <c r="F321" i="4"/>
  <c r="T321" i="4" s="1"/>
  <c r="S321" i="4" s="1"/>
  <c r="E333" i="4" s="1"/>
  <c r="F333" i="4" s="1"/>
  <c r="T333" i="4" s="1"/>
  <c r="S333" i="4" s="1"/>
  <c r="V333" i="4" s="1"/>
  <c r="E321" i="4"/>
  <c r="V278" i="4"/>
  <c r="F286" i="4"/>
  <c r="T286" i="4" s="1"/>
  <c r="S286" i="4" s="1"/>
  <c r="V286" i="4" s="1"/>
  <c r="E286" i="4"/>
  <c r="V319" i="4"/>
  <c r="E292" i="4"/>
  <c r="F292" i="4" s="1"/>
  <c r="T292" i="4" s="1"/>
  <c r="S292" i="4" s="1"/>
  <c r="V290" i="4"/>
  <c r="AB371" i="1"/>
  <c r="Z369" i="1"/>
  <c r="AB369" i="1" s="1"/>
  <c r="E448" i="4"/>
  <c r="F448" i="4" s="1"/>
  <c r="T448" i="4" s="1"/>
  <c r="S448" i="4" s="1"/>
  <c r="V446" i="4"/>
  <c r="Z446" i="4" s="1"/>
  <c r="AB375" i="1"/>
  <c r="AB358" i="1"/>
  <c r="Z357" i="1"/>
  <c r="Z235" i="1"/>
  <c r="AB235" i="1" s="1"/>
  <c r="AB237" i="1"/>
  <c r="AB347" i="1"/>
  <c r="Z345" i="1"/>
  <c r="V321" i="4" l="1"/>
  <c r="E330" i="4"/>
  <c r="F330" i="4" s="1"/>
  <c r="T330" i="4" s="1"/>
  <c r="S330" i="4" s="1"/>
  <c r="V330" i="4" s="1"/>
  <c r="E295" i="4"/>
  <c r="V292" i="4"/>
  <c r="F295" i="4"/>
  <c r="T295" i="4" s="1"/>
  <c r="S295" i="4" s="1"/>
  <c r="E308" i="4" s="1"/>
  <c r="F308" i="4" s="1"/>
  <c r="T308" i="4" s="1"/>
  <c r="S308" i="4" s="1"/>
  <c r="E325" i="4"/>
  <c r="F325" i="4" s="1"/>
  <c r="T325" i="4" s="1"/>
  <c r="S325" i="4" s="1"/>
  <c r="Z352" i="1"/>
  <c r="AB352" i="1" s="1"/>
  <c r="AB357" i="1"/>
  <c r="Z356" i="1"/>
  <c r="AB356" i="1" s="1"/>
  <c r="E450" i="4"/>
  <c r="F450" i="4" s="1"/>
  <c r="T450" i="4" s="1"/>
  <c r="S450" i="4" s="1"/>
  <c r="V448" i="4"/>
  <c r="Z448" i="4" s="1"/>
  <c r="E465" i="4"/>
  <c r="F465" i="4" s="1"/>
  <c r="T465" i="4" s="1"/>
  <c r="S465" i="4" s="1"/>
  <c r="V465" i="4" s="1"/>
  <c r="Z465" i="4" s="1"/>
  <c r="AB345" i="1"/>
  <c r="Z341" i="1"/>
  <c r="Z339" i="1" s="1"/>
  <c r="Z344" i="1"/>
  <c r="AB344" i="1" s="1"/>
  <c r="E313" i="4" l="1"/>
  <c r="F313" i="4"/>
  <c r="T313" i="4" s="1"/>
  <c r="S313" i="4" s="1"/>
  <c r="V313" i="4" s="1"/>
  <c r="V308" i="4"/>
  <c r="F310" i="4"/>
  <c r="T310" i="4" s="1"/>
  <c r="S310" i="4" s="1"/>
  <c r="V310" i="4" s="1"/>
  <c r="E310" i="4"/>
  <c r="F298" i="4"/>
  <c r="T298" i="4" s="1"/>
  <c r="S298" i="4" s="1"/>
  <c r="V295" i="4"/>
  <c r="E298" i="4"/>
  <c r="F327" i="4"/>
  <c r="T327" i="4" s="1"/>
  <c r="S327" i="4" s="1"/>
  <c r="V327" i="4" s="1"/>
  <c r="E327" i="4"/>
  <c r="V325" i="4"/>
  <c r="AB341" i="1"/>
  <c r="AB339" i="1"/>
  <c r="V450" i="4"/>
  <c r="Z450" i="4" s="1"/>
  <c r="E453" i="4"/>
  <c r="F453" i="4" s="1"/>
  <c r="T453" i="4" s="1"/>
  <c r="S453" i="4" s="1"/>
  <c r="V453" i="4" s="1"/>
  <c r="Z453" i="4" s="1"/>
  <c r="Q403" i="1"/>
  <c r="R403" i="1" s="1"/>
  <c r="H348" i="4" s="1"/>
  <c r="J348" i="4" l="1"/>
  <c r="K348" i="4" s="1"/>
  <c r="L348" i="4"/>
  <c r="M348" i="4" s="1"/>
  <c r="V298" i="4"/>
  <c r="E300" i="4"/>
  <c r="F300" i="4"/>
  <c r="T300" i="4" s="1"/>
  <c r="S300" i="4" s="1"/>
  <c r="U403" i="1"/>
  <c r="Y403" i="1" s="1"/>
  <c r="T403" i="1"/>
  <c r="W403" i="1" s="1"/>
  <c r="X403" i="1" s="1"/>
  <c r="P406" i="1" s="1"/>
  <c r="Q406" i="1" s="1"/>
  <c r="R406" i="1" s="1"/>
  <c r="H346" i="4" s="1"/>
  <c r="L346" i="4" l="1"/>
  <c r="M346" i="4" s="1"/>
  <c r="J346" i="4"/>
  <c r="K346" i="4" s="1"/>
  <c r="K349" i="4"/>
  <c r="P348" i="4"/>
  <c r="V300" i="4"/>
  <c r="E302" i="4"/>
  <c r="F302" i="4"/>
  <c r="T302" i="4" s="1"/>
  <c r="S302" i="4" s="1"/>
  <c r="T406" i="1"/>
  <c r="W406" i="1" s="1"/>
  <c r="X406" i="1" s="1"/>
  <c r="U406" i="1"/>
  <c r="Y406" i="1" s="1"/>
  <c r="Z406" i="1" s="1"/>
  <c r="K350" i="4" l="1"/>
  <c r="P349" i="4"/>
  <c r="Q348" i="4" s="1"/>
  <c r="R348" i="4" s="1"/>
  <c r="P346" i="4"/>
  <c r="K347" i="4"/>
  <c r="V302" i="4"/>
  <c r="F304" i="4"/>
  <c r="T304" i="4" s="1"/>
  <c r="S304" i="4" s="1"/>
  <c r="V304" i="4" s="1"/>
  <c r="E304" i="4"/>
  <c r="Z403" i="1"/>
  <c r="AB406" i="1"/>
  <c r="Q346" i="4" l="1"/>
  <c r="R346" i="4" s="1"/>
  <c r="T346" i="4" s="1"/>
  <c r="S346" i="4" s="1"/>
  <c r="Z401" i="1"/>
  <c r="AB401" i="1" s="1"/>
  <c r="AB403" i="1"/>
  <c r="E348" i="4" l="1"/>
  <c r="V346" i="4"/>
  <c r="F348" i="4"/>
  <c r="T348" i="4" s="1"/>
  <c r="S348" i="4" s="1"/>
  <c r="V348" i="4" s="1"/>
  <c r="F351" i="4" l="1"/>
  <c r="T351" i="4" s="1"/>
  <c r="S351" i="4" s="1"/>
  <c r="V351" i="4" s="1"/>
  <c r="E35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Yen V. Pham</author>
  </authors>
  <commentList>
    <comment ref="AD22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386.09 18"NE</t>
        </r>
      </text>
    </comment>
    <comment ref="B29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No split or parallel pipe needed. "The main pipeline between Jct 95 to 132 was re-aligned.  There will be a plug and bleeder installed at Jct 94 at the south of the manhole to dewater the reverse slope so the 36” ends up being reversed between 94 to
95. " - DW (9/20/2019)  been told by PS.</t>
        </r>
      </text>
    </comment>
    <comment ref="S48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An estimate diameter to a rural culvert of a 45x60.</t>
        </r>
      </text>
    </comment>
    <comment ref="Z59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Prev. H&amp;H did not assign the correct branch line or Jct. for Parallel Pipe. How come?</t>
        </r>
      </text>
    </comment>
    <comment ref="Z654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Prev. H&amp;H did not assign the correct branch line or Jct. for Parallel Pipe. How come?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Yen V. Pham</author>
  </authors>
  <commentList>
    <comment ref="G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Modified Curb:
TMC: 427.70
G: 427.32</t>
        </r>
      </text>
    </comment>
    <comment ref="J1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Yen V. Pham:</t>
        </r>
        <r>
          <rPr>
            <sz val="9"/>
            <color indexed="81"/>
            <rFont val="Tahoma"/>
            <family val="2"/>
          </rPr>
          <t xml:space="preserve">
Used Grade Elevations for Slope Calc.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<sst xmlns="http://schemas.openxmlformats.org/spreadsheetml/2006/main" count="22871" uniqueCount="664">
  <si>
    <t>FRESNO METROPOLITAN FLOOD CONTROL DISTRICT</t>
  </si>
  <si>
    <t>HYDROLOGY TABLE</t>
  </si>
  <si>
    <t>Road "n" factor=</t>
  </si>
  <si>
    <t xml:space="preserve">  HGL CONTROL =</t>
  </si>
  <si>
    <t>INLET DATA TABLE</t>
  </si>
  <si>
    <t>HYDRAULICS TABLE</t>
  </si>
  <si>
    <t>Gutter depth =</t>
  </si>
  <si>
    <t xml:space="preserve">   HGL CONTROL =</t>
  </si>
  <si>
    <t>I=P(TT^E)</t>
  </si>
  <si>
    <t>DRAINAGE AREA:</t>
  </si>
  <si>
    <t xml:space="preserve"> </t>
  </si>
  <si>
    <t>LAST REVISION DATE:</t>
  </si>
  <si>
    <t>Pipe "n" factor=</t>
  </si>
  <si>
    <t>P =</t>
  </si>
  <si>
    <t>I=(MAP)(P)[1+(Kj)(CV)]H^(-n)</t>
  </si>
  <si>
    <t>ALTERNATE:</t>
  </si>
  <si>
    <t>BY :</t>
  </si>
  <si>
    <t>Friction factor =</t>
  </si>
  <si>
    <t>e =</t>
  </si>
  <si>
    <t>BY:</t>
  </si>
  <si>
    <t xml:space="preserve">   Pipe "n" factor=</t>
  </si>
  <si>
    <t>P=MAP*P1*60^E</t>
  </si>
  <si>
    <t>E=SLOPE OF THE I-D-F CURVE</t>
  </si>
  <si>
    <t>JCT</t>
  </si>
  <si>
    <t>INLET</t>
  </si>
  <si>
    <t>JCT.</t>
  </si>
  <si>
    <t>"C"</t>
  </si>
  <si>
    <t>BASE</t>
  </si>
  <si>
    <t>MOD.</t>
  </si>
  <si>
    <t>SLOPE</t>
  </si>
  <si>
    <t xml:space="preserve"> DIST.</t>
  </si>
  <si>
    <t>VEL</t>
  </si>
  <si>
    <t>R/G</t>
  </si>
  <si>
    <t>B/P</t>
  </si>
  <si>
    <t>T/T</t>
  </si>
  <si>
    <t>i</t>
  </si>
  <si>
    <t>Q</t>
  </si>
  <si>
    <t>DIA</t>
  </si>
  <si>
    <t>F/S</t>
  </si>
  <si>
    <t>LENGTH</t>
  </si>
  <si>
    <t>T/P</t>
  </si>
  <si>
    <t>T/C</t>
  </si>
  <si>
    <t>LOSS</t>
  </si>
  <si>
    <t>HGL</t>
  </si>
  <si>
    <t>TC</t>
  </si>
  <si>
    <t>FREEBRD</t>
  </si>
  <si>
    <t>SOFFIT</t>
  </si>
  <si>
    <t>AREA</t>
  </si>
  <si>
    <t>MODIFIED</t>
  </si>
  <si>
    <t>UPSTREAM</t>
  </si>
  <si>
    <t>DOWNSTREAM</t>
  </si>
  <si>
    <t>DOWN</t>
  </si>
  <si>
    <t>UP</t>
  </si>
  <si>
    <t>STARTING</t>
  </si>
  <si>
    <t>D</t>
  </si>
  <si>
    <t>L</t>
  </si>
  <si>
    <t>V</t>
  </si>
  <si>
    <t>V HD</t>
  </si>
  <si>
    <t xml:space="preserve">FR S  </t>
  </si>
  <si>
    <t xml:space="preserve">FRIC </t>
  </si>
  <si>
    <t xml:space="preserve">       MINOR LOSSES</t>
  </si>
  <si>
    <t>TOTAL MINOR</t>
  </si>
  <si>
    <t>TOTAL</t>
  </si>
  <si>
    <t>ENDING</t>
  </si>
  <si>
    <t>FREE</t>
  </si>
  <si>
    <t>MAP=MEAN ANNUAL PRECIPITATION</t>
  </si>
  <si>
    <t>NO</t>
  </si>
  <si>
    <t>CA</t>
  </si>
  <si>
    <t>JCT CA</t>
  </si>
  <si>
    <t>(Ft/Ft)</t>
  </si>
  <si>
    <t>(Ft)</t>
  </si>
  <si>
    <t>(fps)</t>
  </si>
  <si>
    <t>(Min)</t>
  </si>
  <si>
    <t>(In/Hr)</t>
  </si>
  <si>
    <t>(cfs)</t>
  </si>
  <si>
    <t>(In)</t>
  </si>
  <si>
    <t>ELEV</t>
  </si>
  <si>
    <t>(Ac)</t>
  </si>
  <si>
    <t>ELEVATION</t>
  </si>
  <si>
    <t>STREAM JCT</t>
  </si>
  <si>
    <t>HGL ELEV.</t>
  </si>
  <si>
    <t>EGL ELEV.</t>
  </si>
  <si>
    <t>TYPE</t>
  </si>
  <si>
    <t>LOSSES</t>
  </si>
  <si>
    <t xml:space="preserve">LOSS </t>
  </si>
  <si>
    <t>BOARD</t>
  </si>
  <si>
    <t>SOFFIT ELEV.</t>
  </si>
  <si>
    <t>P1=RATIO OF MAX 1 HR RAINFALL TO MAP</t>
  </si>
  <si>
    <t>Q=C*i*A</t>
  </si>
  <si>
    <t>V=Q/(PI*D^2/4)</t>
  </si>
  <si>
    <t>F/S=(Q/((.463135/n)*(D^8/3)^2)*(FRICTION FACTOR)</t>
  </si>
  <si>
    <t>TRAV T=(L/(V*60))</t>
  </si>
  <si>
    <t>Hl=(F/S)*L</t>
  </si>
  <si>
    <t>HGL=Hl+(HGL CONTROL)</t>
  </si>
  <si>
    <t>FREEBRD=TC-HGL</t>
  </si>
  <si>
    <t>k=(1.486/n)AR^(2/3)</t>
  </si>
  <si>
    <t>Sf=(Q/K)^2</t>
  </si>
  <si>
    <t>UP STRM</t>
  </si>
  <si>
    <t>DN STRM</t>
  </si>
  <si>
    <t>Ac</t>
  </si>
  <si>
    <t>Elev</t>
  </si>
  <si>
    <t>Ft</t>
  </si>
  <si>
    <t>Ft/Ft</t>
  </si>
  <si>
    <t>Min</t>
  </si>
  <si>
    <t>BASE CA</t>
  </si>
  <si>
    <t>MOD. CA</t>
  </si>
  <si>
    <t>R/G TIME</t>
  </si>
  <si>
    <t>JCT AREA</t>
  </si>
  <si>
    <t>MCA</t>
  </si>
  <si>
    <t>I</t>
  </si>
  <si>
    <t>Hl</t>
  </si>
  <si>
    <t>fps</t>
  </si>
  <si>
    <t>In/Hr</t>
  </si>
  <si>
    <t>cfs</t>
  </si>
  <si>
    <t>In</t>
  </si>
  <si>
    <t>FORMULA</t>
  </si>
  <si>
    <t>CELL</t>
  </si>
  <si>
    <t>JCT TO</t>
  </si>
  <si>
    <t xml:space="preserve"> JCT</t>
  </si>
  <si>
    <t>B HGL</t>
  </si>
  <si>
    <t>B EGL</t>
  </si>
  <si>
    <t xml:space="preserve"> FRIC </t>
  </si>
  <si>
    <t xml:space="preserve">MINOR </t>
  </si>
  <si>
    <t>E HGL</t>
  </si>
  <si>
    <t>E EGL</t>
  </si>
  <si>
    <t>FR BD</t>
  </si>
  <si>
    <t>MIN. LOSS</t>
  </si>
  <si>
    <t xml:space="preserve">     Ft</t>
  </si>
  <si>
    <t>OUTFALL</t>
  </si>
  <si>
    <t>RIGHT ANGLE</t>
  </si>
  <si>
    <t>INLET JUNCTION</t>
  </si>
  <si>
    <t>ANGLE POINT</t>
  </si>
  <si>
    <t>Macros</t>
  </si>
  <si>
    <t>Keystroke</t>
  </si>
  <si>
    <t>Description</t>
  </si>
  <si>
    <t>Drain Inlet Table</t>
  </si>
  <si>
    <t>Hydrology Calcs</t>
  </si>
  <si>
    <t>Name</t>
  </si>
  <si>
    <t>Hydraulic Calcs</t>
  </si>
  <si>
    <t>Add Junction to Hydraulics Table</t>
  </si>
  <si>
    <t>Location</t>
  </si>
  <si>
    <t>Range Names</t>
  </si>
  <si>
    <t>Worksheet Formulas</t>
  </si>
  <si>
    <t>Formulas for DI Table</t>
  </si>
  <si>
    <t>Formulas for Hydrology (CIA) Table</t>
  </si>
  <si>
    <t>Formulas for 'Hydraulics Table</t>
  </si>
  <si>
    <t>Formulas</t>
  </si>
  <si>
    <t>Add Inlet to Hydrology Table</t>
  </si>
  <si>
    <t>Add Junction to Hydrology Table</t>
  </si>
  <si>
    <t>Add Line with Basin HGL to Table</t>
  </si>
  <si>
    <r>
      <t>I</t>
    </r>
    <r>
      <rPr>
        <sz val="12"/>
        <rFont val="Arial"/>
        <family val="2"/>
      </rPr>
      <t>nlet</t>
    </r>
  </si>
  <si>
    <r>
      <t>B</t>
    </r>
    <r>
      <rPr>
        <sz val="12"/>
        <rFont val="Arial"/>
        <family val="2"/>
      </rPr>
      <t>asin</t>
    </r>
  </si>
  <si>
    <t>RIGHT ANGLE JCT</t>
  </si>
  <si>
    <t>T-INTERSECTION</t>
  </si>
  <si>
    <t>Minor Losses</t>
  </si>
  <si>
    <t>(VH = velocity head, ft)</t>
  </si>
  <si>
    <t>SIDE BRANCH JCT</t>
  </si>
  <si>
    <t>Loss</t>
  </si>
  <si>
    <t>Formula (Loss = )</t>
  </si>
  <si>
    <t>MINOR LOSSES</t>
  </si>
  <si>
    <t>1.0 VH</t>
  </si>
  <si>
    <t>0.3 VH</t>
  </si>
  <si>
    <t>0.75 VH</t>
  </si>
  <si>
    <t>0.6 VH</t>
  </si>
  <si>
    <t>0.25 VH</t>
  </si>
  <si>
    <t>1.5 VH</t>
  </si>
  <si>
    <t>0.5 VH</t>
  </si>
  <si>
    <r>
      <t>S</t>
    </r>
    <r>
      <rPr>
        <b/>
        <sz val="12"/>
        <rFont val="Arial"/>
        <family val="2"/>
      </rPr>
      <t>o</t>
    </r>
    <r>
      <rPr>
        <sz val="12"/>
        <rFont val="Arial"/>
        <family val="2"/>
      </rPr>
      <t>rt</t>
    </r>
  </si>
  <si>
    <r>
      <t>Ctrl-</t>
    </r>
    <r>
      <rPr>
        <b/>
        <sz val="12"/>
        <rFont val="Arial"/>
        <family val="2"/>
      </rPr>
      <t>i</t>
    </r>
  </si>
  <si>
    <r>
      <t>Ctrl-</t>
    </r>
    <r>
      <rPr>
        <b/>
        <sz val="12"/>
        <rFont val="Arial"/>
        <family val="2"/>
      </rPr>
      <t>o</t>
    </r>
  </si>
  <si>
    <r>
      <t>Ctrl-</t>
    </r>
    <r>
      <rPr>
        <b/>
        <sz val="12"/>
        <rFont val="Arial"/>
        <family val="2"/>
      </rPr>
      <t>j</t>
    </r>
  </si>
  <si>
    <r>
      <t>Ctrl-</t>
    </r>
    <r>
      <rPr>
        <b/>
        <sz val="12"/>
        <rFont val="Arial"/>
        <family val="2"/>
      </rPr>
      <t>b</t>
    </r>
  </si>
  <si>
    <t>Fill in DI Table</t>
  </si>
  <si>
    <r>
      <t>Ctrl-</t>
    </r>
    <r>
      <rPr>
        <b/>
        <sz val="12"/>
        <rFont val="Arial"/>
        <family val="2"/>
      </rPr>
      <t>l</t>
    </r>
  </si>
  <si>
    <r>
      <t>CIA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</si>
  <si>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r>
      <t>L</t>
    </r>
    <r>
      <rPr>
        <sz val="12"/>
        <rFont val="Arial"/>
        <family val="2"/>
      </rPr>
      <t>ine</t>
    </r>
  </si>
  <si>
    <t/>
  </si>
  <si>
    <t>line_DI</t>
  </si>
  <si>
    <t>line_DI_BLANK</t>
  </si>
  <si>
    <t>line_INLET</t>
  </si>
  <si>
    <t>line_CIA_JCT</t>
  </si>
  <si>
    <t>line_CIA_BLANK</t>
  </si>
  <si>
    <t>line_HGL_JCT</t>
  </si>
  <si>
    <t>table_MINOR</t>
  </si>
  <si>
    <t>line_HGL_BLANK</t>
  </si>
  <si>
    <r>
      <t>T</t>
    </r>
    <r>
      <rPr>
        <sz val="12"/>
        <rFont val="Arial"/>
        <family val="2"/>
      </rPr>
      <t>otals</t>
    </r>
  </si>
  <si>
    <r>
      <t>Ctrl-</t>
    </r>
    <r>
      <rPr>
        <b/>
        <sz val="12"/>
        <rFont val="Arial"/>
        <family val="2"/>
      </rPr>
      <t>t</t>
    </r>
  </si>
  <si>
    <t>Add Line with Area, CA and MCA Totals</t>
  </si>
  <si>
    <t>Add blank line within or at bottom of CIA, DI or HGL tables</t>
  </si>
  <si>
    <r>
      <t>P</t>
    </r>
    <r>
      <rPr>
        <sz val="12"/>
        <rFont val="Arial"/>
        <family val="2"/>
      </rPr>
      <t>rint</t>
    </r>
  </si>
  <si>
    <t>Active Sheet</t>
  </si>
  <si>
    <t>Print Active Sheet</t>
  </si>
  <si>
    <r>
      <t>U</t>
    </r>
    <r>
      <rPr>
        <sz val="12"/>
        <rFont val="Arial"/>
        <family val="2"/>
      </rPr>
      <t>nshade</t>
    </r>
  </si>
  <si>
    <r>
      <t>S</t>
    </r>
    <r>
      <rPr>
        <sz val="12"/>
        <rFont val="Arial"/>
        <family val="2"/>
      </rPr>
      <t>hade</t>
    </r>
  </si>
  <si>
    <r>
      <t>Ctrl-</t>
    </r>
    <r>
      <rPr>
        <b/>
        <sz val="12"/>
        <rFont val="Arial"/>
        <family val="2"/>
      </rPr>
      <t>s</t>
    </r>
  </si>
  <si>
    <r>
      <t>Ctrl-</t>
    </r>
    <r>
      <rPr>
        <b/>
        <sz val="12"/>
        <rFont val="Arial"/>
        <family val="2"/>
      </rPr>
      <t>u</t>
    </r>
  </si>
  <si>
    <r>
      <t>Ctrl-</t>
    </r>
    <r>
      <rPr>
        <b/>
        <sz val="12"/>
        <rFont val="Arial"/>
        <family val="2"/>
      </rPr>
      <t>p</t>
    </r>
  </si>
  <si>
    <t>Sort DI Table by inlet number</t>
  </si>
  <si>
    <r>
      <t>Ctrl-</t>
    </r>
    <r>
      <rPr>
        <b/>
        <sz val="12"/>
        <rFont val="Arial"/>
        <family val="2"/>
      </rPr>
      <t>e</t>
    </r>
  </si>
  <si>
    <t>Add bold and shading to a CIA JCT line</t>
  </si>
  <si>
    <t>Remove bold and shading from a CIA JCT line</t>
  </si>
  <si>
    <t>Add bold and shading to all CIA junction lines</t>
  </si>
  <si>
    <t>Remove bold and shading from entire CIA table</t>
  </si>
  <si>
    <r>
      <t>E</t>
    </r>
    <r>
      <rPr>
        <sz val="12"/>
        <rFont val="Arial"/>
        <family val="2"/>
      </rPr>
      <t>ntire</t>
    </r>
  </si>
  <si>
    <t>THIS SHEET IS READ ONLY AND NOT TO BE MODIFIED BY USER</t>
  </si>
  <si>
    <t>NO USER INPUT ON THIS SHEET</t>
  </si>
  <si>
    <r>
      <t>R</t>
    </r>
    <r>
      <rPr>
        <sz val="12"/>
        <rFont val="Arial"/>
        <family val="2"/>
      </rPr>
      <t>emove</t>
    </r>
  </si>
  <si>
    <r>
      <t>Ctrl-</t>
    </r>
    <r>
      <rPr>
        <b/>
        <sz val="12"/>
        <rFont val="Arial"/>
        <family val="2"/>
      </rPr>
      <t>r</t>
    </r>
  </si>
  <si>
    <t>VBA Reference</t>
  </si>
  <si>
    <t>Macro or Dialog Box</t>
  </si>
  <si>
    <t>Modules</t>
  </si>
  <si>
    <t>UserForms</t>
  </si>
  <si>
    <t>first inlet</t>
  </si>
  <si>
    <t>last inlet</t>
  </si>
  <si>
    <t>Sort DI Table</t>
  </si>
  <si>
    <t>inlet no.</t>
  </si>
  <si>
    <t>jct. no.</t>
  </si>
  <si>
    <t>area formula</t>
  </si>
  <si>
    <t>T/T formula</t>
  </si>
  <si>
    <t>dia.</t>
  </si>
  <si>
    <t>length</t>
  </si>
  <si>
    <t>HGL elev formula</t>
  </si>
  <si>
    <t>TC elev.</t>
  </si>
  <si>
    <t>soffit elev.</t>
  </si>
  <si>
    <t>Add Line with Totals to Table</t>
  </si>
  <si>
    <t>Insert Blank Line</t>
  </si>
  <si>
    <t>Print</t>
  </si>
  <si>
    <t>Add Bold and Shading to line</t>
  </si>
  <si>
    <t>Remove Bold and Shading</t>
  </si>
  <si>
    <t>Add Bold and Shading to CIA Table</t>
  </si>
  <si>
    <r>
      <t>Ctrl-</t>
    </r>
    <r>
      <rPr>
        <b/>
        <sz val="12"/>
        <rFont val="Arial"/>
        <family val="2"/>
      </rPr>
      <t>d</t>
    </r>
  </si>
  <si>
    <r>
      <t>S</t>
    </r>
    <r>
      <rPr>
        <b/>
        <sz val="12"/>
        <rFont val="Arial"/>
        <family val="2"/>
      </rPr>
      <t>o</t>
    </r>
    <r>
      <rPr>
        <sz val="12"/>
        <rFont val="Arial"/>
        <family val="2"/>
      </rPr>
      <t>rt</t>
    </r>
  </si>
  <si>
    <r>
      <t>I</t>
    </r>
    <r>
      <rPr>
        <sz val="12"/>
        <rFont val="Arial"/>
        <family val="2"/>
      </rPr>
      <t>nlet</t>
    </r>
  </si>
  <si>
    <r>
      <t>CIA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</si>
  <si>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r>
      <t>B</t>
    </r>
    <r>
      <rPr>
        <sz val="12"/>
        <rFont val="Arial"/>
        <family val="2"/>
      </rPr>
      <t>asinLine</t>
    </r>
  </si>
  <si>
    <r>
      <t>T</t>
    </r>
    <r>
      <rPr>
        <sz val="12"/>
        <rFont val="Arial"/>
        <family val="2"/>
      </rPr>
      <t>otals</t>
    </r>
  </si>
  <si>
    <r>
      <t>L</t>
    </r>
    <r>
      <rPr>
        <sz val="12"/>
        <rFont val="Arial"/>
        <family val="2"/>
      </rPr>
      <t>ine</t>
    </r>
  </si>
  <si>
    <r>
      <t>Ctrl-</t>
    </r>
    <r>
      <rPr>
        <b/>
        <sz val="12"/>
        <rFont val="Arial"/>
        <family val="2"/>
      </rPr>
      <t>P</t>
    </r>
  </si>
  <si>
    <r>
      <t xml:space="preserve">Shade </t>
    </r>
    <r>
      <rPr>
        <b/>
        <sz val="12"/>
        <rFont val="Arial"/>
        <family val="2"/>
      </rPr>
      <t>E</t>
    </r>
    <r>
      <rPr>
        <sz val="12"/>
        <rFont val="Arial"/>
        <family val="2"/>
      </rPr>
      <t>ntire Sheet</t>
    </r>
  </si>
  <si>
    <r>
      <t>R</t>
    </r>
    <r>
      <rPr>
        <sz val="12"/>
        <rFont val="Arial"/>
        <family val="2"/>
      </rPr>
      <t>emove Shading</t>
    </r>
  </si>
  <si>
    <r>
      <t>D</t>
    </r>
    <r>
      <rPr>
        <sz val="12"/>
        <rFont val="Arial"/>
        <family val="2"/>
      </rPr>
      <t>I Table</t>
    </r>
  </si>
  <si>
    <r>
      <t>HGL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</si>
  <si>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r>
      <t>HGL</t>
    </r>
    <r>
      <rPr>
        <b/>
        <sz val="12"/>
        <rFont val="Arial"/>
        <family val="2"/>
      </rPr>
      <t>J</t>
    </r>
    <r>
      <rPr>
        <sz val="12"/>
        <rFont val="Arial"/>
        <family val="2"/>
      </rPr>
      <t>unctions</t>
    </r>
  </si>
  <si>
    <t>Min. Vel. =</t>
  </si>
  <si>
    <t>Max. Vel. =</t>
  </si>
  <si>
    <t>Min. Slope =</t>
  </si>
  <si>
    <t>Min. Fs =</t>
  </si>
  <si>
    <t>Max. Fs =</t>
  </si>
  <si>
    <t>Min. Free Board =</t>
  </si>
  <si>
    <t>Max. T/T =</t>
  </si>
  <si>
    <t>Error Condition Keystrokes:</t>
  </si>
  <si>
    <r>
      <t xml:space="preserve">DI Table:  </t>
    </r>
    <r>
      <rPr>
        <b/>
        <sz val="12"/>
        <rFont val="Arial"/>
        <family val="2"/>
      </rPr>
      <t>Ctrl-Shift-D</t>
    </r>
  </si>
  <si>
    <r>
      <t xml:space="preserve">Hydrology Table:  </t>
    </r>
    <r>
      <rPr>
        <b/>
        <sz val="12"/>
        <rFont val="Arial"/>
        <family val="2"/>
      </rPr>
      <t>Ctrl-Shift-C</t>
    </r>
  </si>
  <si>
    <r>
      <t xml:space="preserve">Hydraulic Table: </t>
    </r>
    <r>
      <rPr>
        <b/>
        <sz val="12"/>
        <rFont val="Arial"/>
        <family val="2"/>
      </rPr>
      <t xml:space="preserve"> Ctrl-Shift-F</t>
    </r>
  </si>
  <si>
    <t>N/A</t>
  </si>
  <si>
    <t>TOTALS:</t>
  </si>
  <si>
    <t>Inlets that had elevation and/or length attributes changed.</t>
  </si>
  <si>
    <t>Roof to gutter times changed due to City of Clovis' new requirements for rain gutters.</t>
  </si>
  <si>
    <t>BX</t>
  </si>
  <si>
    <t>BN</t>
  </si>
  <si>
    <t>BASIN</t>
  </si>
  <si>
    <t>Tract 6072 Inlets</t>
  </si>
  <si>
    <t>24"</t>
  </si>
  <si>
    <t>30"</t>
  </si>
  <si>
    <t>Pvt. On-site</t>
  </si>
  <si>
    <t>50: (Park: 1.1c=0.35/1.96), (MHDR: 1.1c=0.46/12.91)</t>
  </si>
  <si>
    <t>Uses MDR32</t>
  </si>
  <si>
    <t>Information taken from design plans</t>
  </si>
  <si>
    <t xml:space="preserve"> 5) RD 1.0c=0.90/4.15</t>
  </si>
  <si>
    <t xml:space="preserve"> 6.1) MHD-R 1.1c=0.462/1.27, Rd 1.0c=0.90/0.62</t>
  </si>
  <si>
    <t xml:space="preserve"> 7) MHD-R 1.1c=0.462/5.33</t>
  </si>
  <si>
    <t xml:space="preserve"> 10) MDR 1.1c=0.3.5/2.01, MHDR 1.1c=0.462/4.17</t>
  </si>
  <si>
    <t xml:space="preserve"> 11) MHDR 1.1c=0.462/3.36</t>
  </si>
  <si>
    <t xml:space="preserve"> 12) MDR 1.1c=0.35/1.95</t>
  </si>
  <si>
    <t xml:space="preserve"> 13) MDR 1.0c=0.35/3.98</t>
  </si>
  <si>
    <t xml:space="preserve"> 15) MHDR 1.1c=0.462/4.8</t>
  </si>
  <si>
    <t xml:space="preserve"> 16) MDR 1.1c=0.35/4.1</t>
  </si>
  <si>
    <t xml:space="preserve"> 17) MDR 1.1c=0.35/3.03</t>
  </si>
  <si>
    <t xml:space="preserve"> 18) MHDR 1.1c=0.462/2.67</t>
  </si>
  <si>
    <t xml:space="preserve"> 19) Rd 1.0c=0.90/4.15</t>
  </si>
  <si>
    <t xml:space="preserve"> 20) Rd 1.0c=0.90/2.53</t>
  </si>
  <si>
    <t xml:space="preserve"> 21) MDR 1.1c=0.35/9.38</t>
  </si>
  <si>
    <t xml:space="preserve"> 22) MDR 1.1c=0.35/8.27</t>
  </si>
  <si>
    <t xml:space="preserve"> 23) MDR 1.1c=0.35/8.38</t>
  </si>
  <si>
    <t xml:space="preserve"> 24) MDR 1.1c=0.35/3.15</t>
  </si>
  <si>
    <t xml:space="preserve"> 25) MDR 1.1c=0.35/7.23</t>
  </si>
  <si>
    <t xml:space="preserve"> 26) MDR 1.1c=0.35/3.01</t>
  </si>
  <si>
    <t xml:space="preserve"> 27) MDR 1.1c=0.35/5.67</t>
  </si>
  <si>
    <t xml:space="preserve"> 28) MHDR 1.1c=0.462/0.85</t>
  </si>
  <si>
    <t xml:space="preserve"> 29) MHDR 1.1c=0.462/1.22</t>
  </si>
  <si>
    <t xml:space="preserve"> 30) MHDR 1.1c=0.462/4.15</t>
  </si>
  <si>
    <t xml:space="preserve"> 31) MHDR 1.1c=0.462/15.67</t>
  </si>
  <si>
    <t xml:space="preserve"> 32) MHDR 1.1c=0.462/13.61</t>
  </si>
  <si>
    <t xml:space="preserve"> 33) MHDR 1.1c=0.462/3.94</t>
  </si>
  <si>
    <t xml:space="preserve"> 34) MHDR 1.1c=0.462/5.63</t>
  </si>
  <si>
    <t xml:space="preserve"> 35) MHDR 1.1c=0.462/2.17</t>
  </si>
  <si>
    <t xml:space="preserve"> 36) MHDR 1.1c=0.462/3.51</t>
  </si>
  <si>
    <t xml:space="preserve"> 37)MHDR 1.1c=0.462/1.84</t>
  </si>
  <si>
    <t xml:space="preserve"> 38) MHDR 1.1c=0.462/4.62</t>
  </si>
  <si>
    <t xml:space="preserve"> 40) MHDR 1.1c=0.462/2.58</t>
  </si>
  <si>
    <t xml:space="preserve"> 41) MHDR 1.1c=0.462/3.45</t>
  </si>
  <si>
    <t xml:space="preserve"> 42) MHDR 1.1c=0.462/9.3</t>
  </si>
  <si>
    <t xml:space="preserve"> 43) MHDR 1.1c=0.462/5.47</t>
  </si>
  <si>
    <t xml:space="preserve"> 43.1) HDR 1.1c=0.605/</t>
  </si>
  <si>
    <t xml:space="preserve"> 44) MDR 1.1c=0.35/10.09</t>
  </si>
  <si>
    <t xml:space="preserve"> 45)MDR 1.1c=0.35/8.22</t>
  </si>
  <si>
    <t xml:space="preserve"> 46) MDR 1.1c=0.35/8.87</t>
  </si>
  <si>
    <t xml:space="preserve"> 47) MDR 1.1c=0.35/1.74</t>
  </si>
  <si>
    <t xml:space="preserve"> 48) Rd 1.0c=0.90/3.67</t>
  </si>
  <si>
    <t xml:space="preserve"> 52) MDR 1.1c=0.35/16.21</t>
  </si>
  <si>
    <t xml:space="preserve"> 53) MDR 1.1c=0.35/5.37</t>
  </si>
  <si>
    <t xml:space="preserve"> 52.1) MDR 1.1c=0.35/6.18</t>
  </si>
  <si>
    <t xml:space="preserve"> 54) Rd 1.0c=0.90/5.1</t>
  </si>
  <si>
    <t xml:space="preserve"> 55) Rd 1.0c=0.90/3.04</t>
  </si>
  <si>
    <t xml:space="preserve"> 60) HDR 1.1c=0.605/8.58</t>
  </si>
  <si>
    <t>57:(MDR: 1.1c=0.384/4.55), (RD: 1.0c=0.90/2.3)</t>
  </si>
  <si>
    <t xml:space="preserve"> 62) RD 1.0c=0.90/1.35</t>
  </si>
  <si>
    <t xml:space="preserve"> 30.1) OS 1.0c=0.20/2.55</t>
  </si>
  <si>
    <t xml:space="preserve"> 66) NC 1.2c=0.84/12.16</t>
  </si>
  <si>
    <t xml:space="preserve"> 67) NC 1.2c=0.84/15.28</t>
  </si>
  <si>
    <t xml:space="preserve"> 75) MDR 1.0c=0.52/5.4</t>
  </si>
  <si>
    <t>74:(MDR 1.0c=0.50/1.1), (RD: 1.0c=0.90/0.4)</t>
  </si>
  <si>
    <t xml:space="preserve"> 75.1) MDR 1.0c=0.52/9.47</t>
  </si>
  <si>
    <t xml:space="preserve"> 75.2) MDR 1.0c=0.52/2.83 </t>
  </si>
  <si>
    <t xml:space="preserve"> 75.25) '(MDR-32: 1.2c=0.38/4.44), (C-factor per Lot Coverarge: 1.0c=0.52/6.92)</t>
  </si>
  <si>
    <t xml:space="preserve"> 75.3) MDR 1.0c=0.52/8.0</t>
  </si>
  <si>
    <t xml:space="preserve"> 75.4) MDR 1.0c=0.52/3.35</t>
  </si>
  <si>
    <t xml:space="preserve"> 75.5) MDR 1.0c=0.52/3.08</t>
  </si>
  <si>
    <t xml:space="preserve"> 75.6) MDR 1.0c=0.52/1.12</t>
  </si>
  <si>
    <t xml:space="preserve"> 76)(C-factor per Lot Coverarge: 1.0c=0.52/5.57)</t>
  </si>
  <si>
    <t xml:space="preserve"> 76.2) Rd 1.0c=0.90/0.27</t>
  </si>
  <si>
    <t xml:space="preserve"> 77.2) MDR 1.0c=0.50/3.0</t>
  </si>
  <si>
    <t xml:space="preserve"> 79) MLDR 1.1c=0.32/9.57</t>
  </si>
  <si>
    <t xml:space="preserve"> 80) MLDR 1.1c=0.32/8.02</t>
  </si>
  <si>
    <t xml:space="preserve"> 82) Rd 1.0c=0.90/0.58</t>
  </si>
  <si>
    <t xml:space="preserve"> 83) MDR 1.1c=0.35/17.22</t>
  </si>
  <si>
    <t xml:space="preserve"> 84)MDR 1.1c=0.35/12.49</t>
  </si>
  <si>
    <t xml:space="preserve"> 85) Rd 1.0c=0.90/6.88</t>
  </si>
  <si>
    <t xml:space="preserve"> 86) Rd 1.0c=0.90/0.81</t>
  </si>
  <si>
    <t xml:space="preserve"> 87) MDR 1.1c=0.35/9.18</t>
  </si>
  <si>
    <t xml:space="preserve"> 88) MDR 1.1c=0.35/9.54</t>
  </si>
  <si>
    <t xml:space="preserve"> 89) MDR 1.1c=0.35/16.16</t>
  </si>
  <si>
    <t xml:space="preserve"> 90) MDR 1.1c=0.35/1.41</t>
  </si>
  <si>
    <t xml:space="preserve"> 91)MDR 1.1c=0.35/0.85</t>
  </si>
  <si>
    <t xml:space="preserve"> 92) MDR 1.1c=0.35/6.04</t>
  </si>
  <si>
    <t xml:space="preserve"> 93) MDR 1.1c=0.35/1.83</t>
  </si>
  <si>
    <t xml:space="preserve"> 94) MDR 1.1c=0.35/5.51</t>
  </si>
  <si>
    <t xml:space="preserve"> 96) Rd 1.0c=0.52/10.36</t>
  </si>
  <si>
    <t xml:space="preserve"> 97) Rd 1.0c=0.90/3.29</t>
  </si>
  <si>
    <t xml:space="preserve"> 101) MLDR 1.1c=0.0.319/2.87, MDR 1.1c=0.35/18.86, MLDR 1.2c=0.348/3.89</t>
  </si>
  <si>
    <t xml:space="preserve"> 103) MDR 1.0c=0.50/8.1 </t>
  </si>
  <si>
    <t xml:space="preserve"> 104) MDR 1.0c=0.50/1.41</t>
  </si>
  <si>
    <t xml:space="preserve"> 105) MDR 1.0c=0.50/5.67</t>
  </si>
  <si>
    <t xml:space="preserve"> 107) MDR 1.0c=0.50/12.39</t>
  </si>
  <si>
    <t xml:space="preserve"> 115) MDR 1.0c=0.50/7.7</t>
  </si>
  <si>
    <t xml:space="preserve"> 133) MDR 1.1c=0.35/10.35</t>
  </si>
  <si>
    <t xml:space="preserve"> 134) MDR 1.1c=0.35/1.07</t>
  </si>
  <si>
    <t xml:space="preserve"> 135) MDR 1.1c=0.35/2.22</t>
  </si>
  <si>
    <t xml:space="preserve"> 136) MDR 1.1c=0.35/10.35</t>
  </si>
  <si>
    <t xml:space="preserve"> 140) Rd 1.0c=0.90/2.25</t>
  </si>
  <si>
    <t xml:space="preserve"> 143) MDR 1.2c=0.384/4.28</t>
  </si>
  <si>
    <t xml:space="preserve"> 144) MDR 1.2c=0.384/4.33</t>
  </si>
  <si>
    <t xml:space="preserve"> 145) MDR 1.2c=0.384/4.03</t>
  </si>
  <si>
    <t xml:space="preserve"> 147) Rd 1.0c=0.90/6.25</t>
  </si>
  <si>
    <t xml:space="preserve"> 146) MDR 1.1c=0.35/9.03</t>
  </si>
  <si>
    <t xml:space="preserve"> 95) MDR 1.2c=0.384/10.39</t>
  </si>
  <si>
    <t xml:space="preserve"> 151) MDR 1.1c=0.35/4.08</t>
  </si>
  <si>
    <t xml:space="preserve"> 153) MDR 1.1c=0.35/23.48</t>
  </si>
  <si>
    <t xml:space="preserve"> 154) MDR 1.1c=0.35/3.59</t>
  </si>
  <si>
    <t xml:space="preserve"> 159) Rd 1.0c=0.90/0.54</t>
  </si>
  <si>
    <t xml:space="preserve"> 162) Rd 1.0c=0.90/7.3</t>
  </si>
  <si>
    <t xml:space="preserve"> 163) MLDR 1.1c=0.319/16.53</t>
  </si>
  <si>
    <t xml:space="preserve"> 167) Rd 1.0c=0.90/1.5</t>
  </si>
  <si>
    <t xml:space="preserve"> 168) Rd 1.0c=0.90/1.42</t>
  </si>
  <si>
    <t xml:space="preserve"> 169) MDR 1.1c=0.35/3.42</t>
  </si>
  <si>
    <t xml:space="preserve"> 171) MDR 1.1c=0.35/1.14</t>
  </si>
  <si>
    <t xml:space="preserve"> 173) MDR 1.1c=0.35/20.62</t>
  </si>
  <si>
    <t xml:space="preserve"> 174) MDR 1.1c=0.35/6.49</t>
  </si>
  <si>
    <t xml:space="preserve"> 175) MDR 1.1c=0.35/10.07</t>
  </si>
  <si>
    <t xml:space="preserve"> 176) MDR 1.1c=0.35/5.08</t>
  </si>
  <si>
    <t xml:space="preserve"> 178) MDR 1.1c=0.35/3.33</t>
  </si>
  <si>
    <t xml:space="preserve"> 179) MDR 1.1c=0.35/1.78</t>
  </si>
  <si>
    <t xml:space="preserve"> 180) MDR 1.1c=0.35/1.89</t>
  </si>
  <si>
    <t xml:space="preserve"> 181) MDR 1.1c=0.35/1.9</t>
  </si>
  <si>
    <t xml:space="preserve"> 182) MDR 1.1c=0.35/11.15</t>
  </si>
  <si>
    <t xml:space="preserve"> 177) MDR 1.1c=0.35/2.42</t>
  </si>
  <si>
    <t xml:space="preserve"> 183) MDR 1.1c=0.35/3.26</t>
  </si>
  <si>
    <t xml:space="preserve"> 184) MDR 1.1c=0.35/3.35</t>
  </si>
  <si>
    <t xml:space="preserve"> 185) MDR 1.1c=0.35/4.71</t>
  </si>
  <si>
    <t xml:space="preserve"> 186) MDR 1.1c=0.35/5.8</t>
  </si>
  <si>
    <t xml:space="preserve"> 187) MDR 1.1c=0.35/7.03</t>
  </si>
  <si>
    <t xml:space="preserve"> 188) MDR 1.1c=0.35/6.39</t>
  </si>
  <si>
    <t xml:space="preserve"> 189) MDR 1.1c=0.35/4.26</t>
  </si>
  <si>
    <t xml:space="preserve"> 190) MDR 1.1c=0.35/3.35</t>
  </si>
  <si>
    <t xml:space="preserve"> 191) MDR 1.1c=0.35/3.4</t>
  </si>
  <si>
    <t xml:space="preserve"> 192) MDR 1.1c=0.35/3.27</t>
  </si>
  <si>
    <t xml:space="preserve"> 193) MDR 1.1c=0.35/7.01</t>
  </si>
  <si>
    <t xml:space="preserve"> 194) LI 1.1c=0.715/5.32</t>
  </si>
  <si>
    <t xml:space="preserve"> 195) LI 1.1c=0.715/11.42</t>
  </si>
  <si>
    <t xml:space="preserve"> 196) LI 1.1c=0.715/14.48</t>
  </si>
  <si>
    <t xml:space="preserve"> 197) LI 1.1c=0.715/4.99</t>
  </si>
  <si>
    <t xml:space="preserve"> 198) MDR 1.1c=0.35/2.88</t>
  </si>
  <si>
    <t xml:space="preserve"> 199) MDR 1.1c=0.35/6.15</t>
  </si>
  <si>
    <t xml:space="preserve"> 200) MDR 1.1c=0.35/8.65</t>
  </si>
  <si>
    <t xml:space="preserve"> 201) MDR 1.1c=0.35/3.23</t>
  </si>
  <si>
    <t xml:space="preserve"> 202) Rd 1.0c=0.90/0.74</t>
  </si>
  <si>
    <t xml:space="preserve"> 203) LI 1.2c=0.78/2.82</t>
  </si>
  <si>
    <t xml:space="preserve"> 204) MDR 1.2c=0.384/7.85</t>
  </si>
  <si>
    <t xml:space="preserve"> 205) Rd 1.0c=0.90/1.74</t>
  </si>
  <si>
    <t xml:space="preserve"> 206) MDR 1.2c=0.384/5.17</t>
  </si>
  <si>
    <t xml:space="preserve"> 207) MDR 1.2c=0.384/3.64</t>
  </si>
  <si>
    <t xml:space="preserve"> 208) MDR 1.2c=0.384/7.15</t>
  </si>
  <si>
    <t xml:space="preserve"> 209) MDR 1.2c=0.384/5.77</t>
  </si>
  <si>
    <t xml:space="preserve"> 210) NC: 1.2c=0.84/12.5, Rd: 1.0c=0.90/0.6</t>
  </si>
  <si>
    <t xml:space="preserve"> 211) MDR 1.2c=0.38/1.84, RD: 1.0c=0.90/1.8</t>
  </si>
  <si>
    <t xml:space="preserve"> 212) LI 1.1c=0.715/9.89</t>
  </si>
  <si>
    <t xml:space="preserve"> 213) Rd 1.0c=0.90/0.95</t>
  </si>
  <si>
    <t xml:space="preserve"> 214) LI 1.1c=0.715/10.4</t>
  </si>
  <si>
    <t xml:space="preserve"> 215) LI 1.1c=0.715/7.23</t>
  </si>
  <si>
    <t xml:space="preserve"> 216) Rd 1.0c=0.90/0.62</t>
  </si>
  <si>
    <t xml:space="preserve"> 217) LI 1.1c=0.715/13.09</t>
  </si>
  <si>
    <t xml:space="preserve"> 218) MDR 1.2c=0.384/7.35</t>
  </si>
  <si>
    <t xml:space="preserve"> 219) MDR 1.2c=0.384/10.99</t>
  </si>
  <si>
    <t xml:space="preserve"> 221) MDR 1.2c=0.384/20.48</t>
  </si>
  <si>
    <t xml:space="preserve"> 220) LI 1.1c=0.715/19.43</t>
  </si>
  <si>
    <t xml:space="preserve"> 222) MDR 1.2c=0.384/1.75</t>
  </si>
  <si>
    <t xml:space="preserve"> 223) MDR 1.2c=0.384/9.05</t>
  </si>
  <si>
    <t xml:space="preserve"> 224) MDR 1.2c=0.384/6.57</t>
  </si>
  <si>
    <t xml:space="preserve"> 225) Rd 1.0c=0.90/3.0</t>
  </si>
  <si>
    <t xml:space="preserve"> 226) NC 1.2c=0.84/5.24</t>
  </si>
  <si>
    <t xml:space="preserve"> 227) Rd 1.0c=0.90/1.67</t>
  </si>
  <si>
    <t xml:space="preserve"> 228) MDR 1.1c=0.35/5.07</t>
  </si>
  <si>
    <t xml:space="preserve"> 229) MDR 1.1c=0.35/6.92</t>
  </si>
  <si>
    <t xml:space="preserve"> 230) MDR 1.1c=0.35/10.9</t>
  </si>
  <si>
    <t xml:space="preserve"> 231) MDR 1.1c=0.35/15.04</t>
  </si>
  <si>
    <t xml:space="preserve"> 232)  MDR 1.1c=0.35/0.82, Rd 1.0c=0.90/0.23</t>
  </si>
  <si>
    <t xml:space="preserve"> 233) OS 1.2c=0.24/3.91</t>
  </si>
  <si>
    <t xml:space="preserve"> 234) OS 1.2c=0.24/0.80</t>
  </si>
  <si>
    <t xml:space="preserve"> 235) OS 1.2c=0.24/0.52</t>
  </si>
  <si>
    <t xml:space="preserve"> 63) Rd 1.0c=0.90/0.90, CC 1.1c=0.77/2.42</t>
  </si>
  <si>
    <t xml:space="preserve"> 100) MDR 1.1c=0.35/1.21</t>
  </si>
  <si>
    <t xml:space="preserve"> 100.1) Rd 1.0c=0.90/1.77</t>
  </si>
  <si>
    <t xml:space="preserve"> 116.2) MDR 1.0c=0.50/8.0</t>
  </si>
  <si>
    <t xml:space="preserve"> 152) MDR 1.1c=0.35/9.94</t>
  </si>
  <si>
    <t>18"W</t>
  </si>
  <si>
    <t>24"W</t>
  </si>
  <si>
    <t>18"N</t>
  </si>
  <si>
    <t>30"W</t>
  </si>
  <si>
    <t>30"N</t>
  </si>
  <si>
    <t>24"S</t>
  </si>
  <si>
    <t>30"E</t>
  </si>
  <si>
    <t>36"S</t>
  </si>
  <si>
    <t>36"N</t>
  </si>
  <si>
    <t>42"S</t>
  </si>
  <si>
    <t>24"N</t>
  </si>
  <si>
    <t>48"S</t>
  </si>
  <si>
    <t>24"E</t>
  </si>
  <si>
    <t>54"S</t>
  </si>
  <si>
    <t>30"S</t>
  </si>
  <si>
    <t>36"W</t>
  </si>
  <si>
    <t>60"S</t>
  </si>
  <si>
    <t>66"SW</t>
  </si>
  <si>
    <t>18"S</t>
  </si>
  <si>
    <t>18"E</t>
  </si>
  <si>
    <t>18"SW</t>
  </si>
  <si>
    <t xml:space="preserve"> 170) MDR 1.1c=0.35/2.28</t>
  </si>
  <si>
    <t xml:space="preserve"> 172) MDR 1.1c=0.35/9.5</t>
  </si>
  <si>
    <t>15"W</t>
  </si>
  <si>
    <t>15"E</t>
  </si>
  <si>
    <t>15"S</t>
  </si>
  <si>
    <t>24"NW</t>
  </si>
  <si>
    <t>42"E</t>
  </si>
  <si>
    <t>W</t>
  </si>
  <si>
    <t>N</t>
  </si>
  <si>
    <t>Factor:</t>
  </si>
  <si>
    <t>42"NW</t>
  </si>
  <si>
    <t>18"SE</t>
  </si>
  <si>
    <t>48"W</t>
  </si>
  <si>
    <t>30"E (MSBO)</t>
  </si>
  <si>
    <t>9-28-2018</t>
  </si>
  <si>
    <t>2 yr Design Storm, All Branches updated for Entire System</t>
  </si>
  <si>
    <t>Includes Tracts 6172, 6145, 6128, 6109, 6180, 6190, 6134</t>
  </si>
  <si>
    <t>Font</t>
  </si>
  <si>
    <t>Revised Inlet boundaries and elevations- From Gis Posting Check 9/13/2019 by YP.</t>
  </si>
  <si>
    <r>
      <t xml:space="preserve"> 77.3) MDR 1.0c=0.50/</t>
    </r>
    <r>
      <rPr>
        <b/>
        <sz val="12"/>
        <color rgb="FF0070C0"/>
        <rFont val="Arial"/>
        <family val="2"/>
      </rPr>
      <t>2.2</t>
    </r>
  </si>
  <si>
    <r>
      <t xml:space="preserve"> 77.4) MDR 1.0c=0.50/</t>
    </r>
    <r>
      <rPr>
        <b/>
        <sz val="12"/>
        <color rgb="FF0070C0"/>
        <rFont val="Arial"/>
        <family val="2"/>
      </rPr>
      <t>5.3</t>
    </r>
  </si>
  <si>
    <r>
      <t xml:space="preserve"> 77) MDR 1.0c=0.50/</t>
    </r>
    <r>
      <rPr>
        <b/>
        <sz val="12"/>
        <color rgb="FF0070C0"/>
        <rFont val="Arial"/>
        <family val="2"/>
      </rPr>
      <t>2.8</t>
    </r>
  </si>
  <si>
    <r>
      <t xml:space="preserve"> 77.1) MDR 1.0c=0.50/</t>
    </r>
    <r>
      <rPr>
        <b/>
        <sz val="12"/>
        <color rgb="FF0070C0"/>
        <rFont val="Arial"/>
        <family val="2"/>
      </rPr>
      <t>2.3</t>
    </r>
  </si>
  <si>
    <r>
      <t xml:space="preserve"> 77.5) MDR 1.0c=0.50/</t>
    </r>
    <r>
      <rPr>
        <sz val="12"/>
        <color rgb="FF0070C0"/>
        <rFont val="Arial"/>
        <family val="2"/>
      </rPr>
      <t>1.4</t>
    </r>
  </si>
  <si>
    <r>
      <t xml:space="preserve"> 77.6) MDR 1.0c=0.50/</t>
    </r>
    <r>
      <rPr>
        <sz val="12"/>
        <color rgb="FF0070C0"/>
        <rFont val="Arial"/>
        <family val="2"/>
      </rPr>
      <t>2.6</t>
    </r>
  </si>
  <si>
    <t>REVISED BY:</t>
  </si>
  <si>
    <r>
      <t xml:space="preserve"> 109) Rd 1.0c=0.90/</t>
    </r>
    <r>
      <rPr>
        <b/>
        <sz val="12"/>
        <color rgb="FF0070C0"/>
        <rFont val="Arial"/>
        <family val="2"/>
      </rPr>
      <t>1.3</t>
    </r>
  </si>
  <si>
    <r>
      <t xml:space="preserve"> 3)</t>
    </r>
    <r>
      <rPr>
        <sz val="12"/>
        <color rgb="FF0070C0"/>
        <rFont val="Arial"/>
        <family val="2"/>
      </rPr>
      <t xml:space="preserve"> MHD-R: 1.1c=0.462/1.4, OC: 1.1c=0.715/5.4, NC: 1.1c=0.77/1.7</t>
    </r>
  </si>
  <si>
    <r>
      <t xml:space="preserve"> 1) LI 1.0c=0.65/</t>
    </r>
    <r>
      <rPr>
        <sz val="12"/>
        <color rgb="FF0070C0"/>
        <rFont val="Arial"/>
        <family val="2"/>
      </rPr>
      <t>14.7</t>
    </r>
  </si>
  <si>
    <r>
      <t xml:space="preserve"> 2) Rd 1.0c=0.90/</t>
    </r>
    <r>
      <rPr>
        <sz val="12"/>
        <color rgb="FF0070C0"/>
        <rFont val="Arial"/>
        <family val="2"/>
      </rPr>
      <t>6.0</t>
    </r>
  </si>
  <si>
    <r>
      <t xml:space="preserve"> 6) OS 1.0c=0.20/2.17 </t>
    </r>
    <r>
      <rPr>
        <sz val="12"/>
        <color rgb="FF0070C0"/>
        <rFont val="Arial"/>
        <family val="2"/>
      </rPr>
      <t>(R/G 25 to 10 min. for pvt. Sys.)</t>
    </r>
  </si>
  <si>
    <t>115.1) MDR 1.0C=0.5/5.0</t>
  </si>
  <si>
    <r>
      <t xml:space="preserve"> 51) </t>
    </r>
    <r>
      <rPr>
        <b/>
        <sz val="12"/>
        <color rgb="FF0070C0"/>
        <rFont val="Arial"/>
        <family val="2"/>
      </rPr>
      <t>HDR 1.1c=0.605/11 (T6039, SWC-partial)</t>
    </r>
  </si>
  <si>
    <t xml:space="preserve"> 116.3) MDR 1.0c=0.50/8.0</t>
  </si>
  <si>
    <t xml:space="preserve"> 116.4) MDR 1.0c=0.50/8.0</t>
  </si>
  <si>
    <r>
      <t xml:space="preserve"> 61) </t>
    </r>
    <r>
      <rPr>
        <b/>
        <sz val="12"/>
        <color rgb="FF0070C0"/>
        <rFont val="Arial"/>
        <family val="2"/>
      </rPr>
      <t>HDR: 1.1c=0.61/8.7(T6039), GC: 1.1c=0.77/8.2</t>
    </r>
  </si>
  <si>
    <r>
      <t xml:space="preserve"> 8 MHD-R 1.1c=0.462/</t>
    </r>
    <r>
      <rPr>
        <sz val="12"/>
        <color rgb="FF0070C0"/>
        <rFont val="Arial"/>
        <family val="2"/>
      </rPr>
      <t>9.8</t>
    </r>
    <r>
      <rPr>
        <b/>
        <sz val="12"/>
        <color rgb="FF0070C0"/>
        <rFont val="Arial"/>
        <family val="2"/>
      </rPr>
      <t xml:space="preserve"> (T5613, upper half)</t>
    </r>
  </si>
  <si>
    <r>
      <t xml:space="preserve"> 9) MHD-R 1.1c=0.462/</t>
    </r>
    <r>
      <rPr>
        <sz val="12"/>
        <color rgb="FF0070C0"/>
        <rFont val="Arial"/>
        <family val="2"/>
      </rPr>
      <t xml:space="preserve">3.6 </t>
    </r>
    <r>
      <rPr>
        <b/>
        <sz val="12"/>
        <color rgb="FF0070C0"/>
        <rFont val="Arial"/>
        <family val="2"/>
      </rPr>
      <t>(T5613)</t>
    </r>
  </si>
  <si>
    <t>Tract 6039 inlets</t>
  </si>
  <si>
    <t>Tract 6072 Inlets &amp; jcts</t>
  </si>
  <si>
    <t xml:space="preserve">Tract 6145 Inlets </t>
  </si>
  <si>
    <t xml:space="preserve">Tract 6145 Inlets &amp; jcts </t>
  </si>
  <si>
    <t>Tract 6180 Inlets &amp; jcts</t>
  </si>
  <si>
    <t xml:space="preserve">Tract 6128 Inlets </t>
  </si>
  <si>
    <t xml:space="preserve">Tract 6128 Inlets &amp; jcts </t>
  </si>
  <si>
    <t>Tract 6134 Inlets &amp; jcts</t>
  </si>
  <si>
    <t>Tract 5613 inlets &amp; jcts</t>
  </si>
  <si>
    <t xml:space="preserve">Tract 5613 inlets </t>
  </si>
  <si>
    <t xml:space="preserve">Tract 6180 Inlets </t>
  </si>
  <si>
    <t xml:space="preserve">Tract 6134 Inlets </t>
  </si>
  <si>
    <r>
      <t xml:space="preserve"> 76.1) MDR 1.0c=0.52/</t>
    </r>
    <r>
      <rPr>
        <b/>
        <sz val="12"/>
        <color rgb="FF0070C0"/>
        <rFont val="Arial"/>
        <family val="2"/>
      </rPr>
      <t>2.2</t>
    </r>
  </si>
  <si>
    <r>
      <t xml:space="preserve"> 76.41) MDR 1.2c=0.384/</t>
    </r>
    <r>
      <rPr>
        <b/>
        <sz val="12"/>
        <color rgb="FF0070C0"/>
        <rFont val="Arial"/>
        <family val="2"/>
      </rPr>
      <t>2.3</t>
    </r>
  </si>
  <si>
    <r>
      <t xml:space="preserve"> 76.3) MDR 1.0c=0.52/</t>
    </r>
    <r>
      <rPr>
        <b/>
        <sz val="12"/>
        <color rgb="FF0070C0"/>
        <rFont val="Arial"/>
        <family val="2"/>
      </rPr>
      <t>1.7</t>
    </r>
  </si>
  <si>
    <r>
      <t xml:space="preserve"> 76.5) MLDR 1.2c=0.348/</t>
    </r>
    <r>
      <rPr>
        <b/>
        <sz val="12"/>
        <color rgb="FF0070C0"/>
        <rFont val="Arial"/>
        <family val="2"/>
      </rPr>
      <t>19.6</t>
    </r>
  </si>
  <si>
    <r>
      <t xml:space="preserve"> 76.42) MDR 1.0c=0.384/</t>
    </r>
    <r>
      <rPr>
        <b/>
        <sz val="12"/>
        <color rgb="FF0070C0"/>
        <rFont val="Arial"/>
        <family val="2"/>
      </rPr>
      <t>8.3</t>
    </r>
  </si>
  <si>
    <r>
      <t xml:space="preserve"> 76.43) Rd 1.0c=0.90/</t>
    </r>
    <r>
      <rPr>
        <b/>
        <sz val="12"/>
        <color rgb="FF0070C0"/>
        <rFont val="Arial"/>
        <family val="2"/>
      </rPr>
      <t>0.6</t>
    </r>
  </si>
  <si>
    <t xml:space="preserve"> 81) MLDR 1.1c=0.319/3.9, RD 1.0c=0.90/0.4</t>
  </si>
  <si>
    <t>18"W&amp;E</t>
  </si>
  <si>
    <t>18"SW&amp;N</t>
  </si>
  <si>
    <t>18"SW&amp;NE</t>
  </si>
  <si>
    <t>54"W</t>
  </si>
  <si>
    <r>
      <t>116) MDR 1.0c=0.50/</t>
    </r>
    <r>
      <rPr>
        <b/>
        <sz val="12"/>
        <color rgb="FF0070C0"/>
        <rFont val="Arial"/>
        <family val="2"/>
      </rPr>
      <t>2.6</t>
    </r>
  </si>
  <si>
    <t>116.01) MDR 1.0c=0.50/1.8</t>
  </si>
  <si>
    <t>116.02) MDR 1.0c=0.50/1.1</t>
  </si>
  <si>
    <t>BX-45B</t>
  </si>
  <si>
    <t>48" NW &amp; SE</t>
  </si>
  <si>
    <t>42"N</t>
  </si>
  <si>
    <t xml:space="preserve"> 48"W&amp;E</t>
  </si>
  <si>
    <t>48"E</t>
  </si>
  <si>
    <t>Tract 6209 inlets &amp; jcts</t>
  </si>
  <si>
    <t>36"N&amp;S</t>
  </si>
  <si>
    <t>42"W</t>
  </si>
  <si>
    <t>24"NE</t>
  </si>
  <si>
    <t xml:space="preserve"> 161) MLDR 1.1c=0.32/1.2  Alluvial Drain Area</t>
  </si>
  <si>
    <t>Culvert</t>
  </si>
  <si>
    <t>T6109</t>
  </si>
  <si>
    <t>T6209</t>
  </si>
  <si>
    <t xml:space="preserve">Tract 6209 inlets </t>
  </si>
  <si>
    <t>45x60</t>
  </si>
  <si>
    <t xml:space="preserve"> Rural</t>
  </si>
  <si>
    <t>Drain</t>
  </si>
  <si>
    <t xml:space="preserve">Alluvial </t>
  </si>
  <si>
    <t xml:space="preserve"> 112) MDR 1.0c=0.50/3.4, MLDR 1.1c=0.319/0.9, MDR 1.2c=0.384/3.8</t>
  </si>
  <si>
    <r>
      <t xml:space="preserve"> 114) MDR 1.0c=0.50/</t>
    </r>
    <r>
      <rPr>
        <b/>
        <sz val="12"/>
        <color rgb="FF0070C0"/>
        <rFont val="Arial"/>
        <family val="2"/>
      </rPr>
      <t>18</t>
    </r>
  </si>
  <si>
    <t>45x60 Rural Culvert Alluvial Drain.</t>
  </si>
  <si>
    <t>Tract 6109 Inlets &amp; jcts</t>
  </si>
  <si>
    <t>Tract 6190 Inlets &amp; jcts</t>
  </si>
  <si>
    <t>T5613</t>
  </si>
  <si>
    <t>T6072</t>
  </si>
  <si>
    <t>T6145</t>
  </si>
  <si>
    <t>T6180</t>
  </si>
  <si>
    <t>T6128</t>
  </si>
  <si>
    <t xml:space="preserve">Tract 6109 Inlets </t>
  </si>
  <si>
    <t xml:space="preserve">Tract 6190 Inlets </t>
  </si>
  <si>
    <t>Alluvial Drain</t>
  </si>
  <si>
    <t>T56013</t>
  </si>
  <si>
    <t>T6026</t>
  </si>
  <si>
    <t>Tract 6026 inlets &amp; jcts</t>
  </si>
  <si>
    <t xml:space="preserve"> 113) MDR 1.0c=0.50/4.7</t>
  </si>
  <si>
    <t>T6339</t>
  </si>
  <si>
    <t>18"N,S</t>
  </si>
  <si>
    <t>Delta FB</t>
  </si>
  <si>
    <r>
      <t xml:space="preserve"> 102) MDR 1.0c=0.50/</t>
    </r>
    <r>
      <rPr>
        <sz val="12"/>
        <color theme="9" tint="-0.249977111117893"/>
        <rFont val="Arial"/>
        <family val="2"/>
      </rPr>
      <t>9.07</t>
    </r>
    <r>
      <rPr>
        <sz val="12"/>
        <rFont val="Arial"/>
        <family val="2"/>
      </rPr>
      <t>, MDR 1.2c=0.384/4.99</t>
    </r>
  </si>
  <si>
    <t>T6190&amp;6332</t>
  </si>
  <si>
    <r>
      <t xml:space="preserve"> 110) MDR 1.0c=0.50/</t>
    </r>
    <r>
      <rPr>
        <b/>
        <sz val="12"/>
        <rFont val="Arial"/>
        <family val="2"/>
      </rPr>
      <t>4.6</t>
    </r>
  </si>
  <si>
    <t>18"</t>
  </si>
  <si>
    <t xml:space="preserve"> 110.1)  MDR: 1.0c=0.5/17.8</t>
  </si>
  <si>
    <r>
      <t xml:space="preserve"> 108) MDR 1.0c=0.50/</t>
    </r>
    <r>
      <rPr>
        <b/>
        <sz val="12"/>
        <color rgb="FF0070C0"/>
        <rFont val="Arial"/>
        <family val="2"/>
      </rPr>
      <t>10.83</t>
    </r>
  </si>
  <si>
    <t xml:space="preserve"> 111) MDR 1.0c=0.50/5.81, MDR: 1.2c=0.38/2.26</t>
  </si>
  <si>
    <t xml:space="preserve"> 106.1) MDR 1.0c=0.50/3.1</t>
  </si>
  <si>
    <t xml:space="preserve"> 106) MDR 1.0c=0.50/5.11, MLDR 1.2c=0.32/0.92</t>
  </si>
  <si>
    <t>Co. SPR 7969 Edits</t>
  </si>
  <si>
    <t xml:space="preserve"> 158) MDR 1.0c=0.50/8.9</t>
  </si>
  <si>
    <t xml:space="preserve"> 157) MDR 1.0c=0.50/5.60</t>
  </si>
  <si>
    <t xml:space="preserve"> 156) MDR 1.1c=0.35/9.28</t>
  </si>
  <si>
    <t xml:space="preserve"> 155) MDR 1.1c=0.35/3.39</t>
  </si>
  <si>
    <r>
      <t xml:space="preserve"> 116.1) MDR 1.0c=0.50/</t>
    </r>
    <r>
      <rPr>
        <b/>
        <sz val="12"/>
        <color rgb="FF0070C0"/>
        <rFont val="Arial"/>
        <family val="2"/>
      </rPr>
      <t>11.5</t>
    </r>
  </si>
  <si>
    <t xml:space="preserve"> 160) MLDR 1.1c=0.319/16.79, MDR 1.0c=0.50/4.87</t>
  </si>
  <si>
    <t>GR 401.53</t>
  </si>
  <si>
    <t>D 405.25</t>
  </si>
  <si>
    <t>Vista</t>
  </si>
  <si>
    <t>Ranch</t>
  </si>
  <si>
    <t>Vista Ranch_07-01-2024</t>
  </si>
  <si>
    <t>Derrell's</t>
  </si>
  <si>
    <t xml:space="preserve">98: (MLD-R: 1.2C=0.384/37.52) </t>
  </si>
  <si>
    <t xml:space="preserve">99: (RD: 1.0C=0.9/0.88) (OS: 1.0C=0.5/0.49) </t>
  </si>
  <si>
    <t xml:space="preserve">150: (RD: 1.0C=0.9/1.99) </t>
  </si>
  <si>
    <t xml:space="preserve">149 P: (MD-R: 1.2C=0.384/32.38) </t>
  </si>
  <si>
    <t>TMC Adds 0.125'</t>
  </si>
  <si>
    <t>Remove 42"</t>
  </si>
  <si>
    <t>Replace 48"</t>
  </si>
  <si>
    <t>MP TC=400.00</t>
  </si>
  <si>
    <t>MP TC=397.30</t>
  </si>
  <si>
    <t xml:space="preserve">117: (HD-R: 1.0C=0.55/0.62) (RD: 1.0C=0.9/0.71) (OS: 1.2C=0.24/10.11) </t>
  </si>
  <si>
    <t xml:space="preserve">117.1: (HD-R: 1.0C=0.55/1.4) (OC: 1.2C=0.78/0.45) </t>
  </si>
  <si>
    <t xml:space="preserve">117.2: (HD-R: 1.0C=0.55/2.16) </t>
  </si>
  <si>
    <t xml:space="preserve">118: (HD-R: 1.0C=0.55/0.9) (OC: 1.2C=0.78/2.8) (OS: 1.0C=0.5/0.48) (OS: 1.2C=0.24/1.14) </t>
  </si>
  <si>
    <t xml:space="preserve">118.1: (HD-R: 1.0C=0.55/7.65) </t>
  </si>
  <si>
    <t xml:space="preserve">119: (HD-R: 1.0C=0.55/0.99) </t>
  </si>
  <si>
    <t xml:space="preserve">119.2: (HD-R: 1.2C=0.66/3.62) (RD: 1.0C=0.9/0.24) </t>
  </si>
  <si>
    <t xml:space="preserve">120: (RD: 1.0C=0.9/0.2) </t>
  </si>
  <si>
    <t xml:space="preserve">121: (RD: 1.0C=0.9/0.73) (OS: 1.2C=0.24/5.56) </t>
  </si>
  <si>
    <t xml:space="preserve">122: (HD-R: 1.0C=0.55/3.31) (RD: 1.0C=0.9/0.41) (OS: 1.2C=0.24/36.63) </t>
  </si>
  <si>
    <t xml:space="preserve">122.1: (MD-R: 1.0C=0.5/4.04) </t>
  </si>
  <si>
    <t xml:space="preserve">122.2: (MD-R: 1.0C=0.5/4.81) </t>
  </si>
  <si>
    <t xml:space="preserve">123: (HD-R: 1.0C=0.55/5.37) </t>
  </si>
  <si>
    <t xml:space="preserve">123.1: (HD-R: 1.0C=0.55/2.37) </t>
  </si>
  <si>
    <t xml:space="preserve">123.2: (MD-R: 1.0C=0.5/7.18) (HD-R: 1.0C=0.55/0.31) (RD: 1.0C=0.9/1.37) </t>
  </si>
  <si>
    <t xml:space="preserve">123.3: (RD: 1.0C=0.9/1.84) </t>
  </si>
  <si>
    <t xml:space="preserve">123.4: (MD-R: 1.0C=0.5/6.01) </t>
  </si>
  <si>
    <t xml:space="preserve">124: (MD-R: 1.0C=0.5/6.05) </t>
  </si>
  <si>
    <t xml:space="preserve">124.1: (RD: 1.0C=0.9/0.97) (OS: 1.0C=0.5/2.29) (OS: 1.2C=0.24/1.81) </t>
  </si>
  <si>
    <t xml:space="preserve">124.2: (MD-R: 1.0C=0.5/3.73) (RD: 1.0C=0.9/0.18) </t>
  </si>
  <si>
    <t xml:space="preserve">124.3: (MD-R: 1.0C=0.5/4.07) (RD: 1.0C=0.9/0.06) </t>
  </si>
  <si>
    <t xml:space="preserve">124.4: (MD-R: 1.0C=0.5/17.35) </t>
  </si>
  <si>
    <t xml:space="preserve">124.5: (MD-R: 1.0C=0.5/0.79) (RD: 1.0C=0.9/0.23) </t>
  </si>
  <si>
    <t xml:space="preserve">124.6: (MD-R: 1.0C=0.5/2.74) </t>
  </si>
  <si>
    <t xml:space="preserve">125: (MD-R: 1.0C=0.5/3.63) (RD: 1.0C=0.9/1.44) </t>
  </si>
  <si>
    <t xml:space="preserve">126: (MD-R: 1.0C=0.5/0.56) (HD-R: 1.0C=0.55/2.69) </t>
  </si>
  <si>
    <t xml:space="preserve">127: (HD-R: 1.0C=0.55/3.86) </t>
  </si>
  <si>
    <t xml:space="preserve">127.1: (HD-R: 1.0C=0.55/0.46) (RD: 1.0C=0.9/0.27) </t>
  </si>
  <si>
    <t xml:space="preserve">127.2: (RD: 1.0C=0.9/0.79) </t>
  </si>
  <si>
    <t xml:space="preserve">128: (HD-R: 1.0C=0.55/4.02) </t>
  </si>
  <si>
    <t xml:space="preserve">128.1: (HD-R: 1.0C=0.55/1.07) </t>
  </si>
  <si>
    <t xml:space="preserve">128.2: (RD: 1.0C=0.9/0.96) </t>
  </si>
  <si>
    <t xml:space="preserve">129: (HD-R: 1.0C=0.55/1.37) </t>
  </si>
  <si>
    <t xml:space="preserve">129.1: (HD-R: 1.0C=0.55/0.88) </t>
  </si>
  <si>
    <t xml:space="preserve">129.2: (MHD-R: 1.2C=0.504/9) </t>
  </si>
  <si>
    <t xml:space="preserve">130: (HD-R: 1.0C=0.55/0.87) </t>
  </si>
  <si>
    <t xml:space="preserve">130.1: (RD: 1.0C=0.9/0.5) </t>
  </si>
  <si>
    <t xml:space="preserve">130.2: (HD-R: 1.0C=0.55/2.61) (RD: 1.0C=0.9/0.39) </t>
  </si>
  <si>
    <t xml:space="preserve">130.3: (RD: 1.0C=0.9/0.58) </t>
  </si>
  <si>
    <t xml:space="preserve">130.4: (RD: 1.0C=0.9/0.48) </t>
  </si>
  <si>
    <t xml:space="preserve">130.5: (RD: 1.0C=0.9/0.72) </t>
  </si>
  <si>
    <t xml:space="preserve">131: (HD-R: 1.0C=0.55/7.38) (NC: 1.2C=0.84/5.23) </t>
  </si>
  <si>
    <t xml:space="preserve">132: (NC: 1.2C=0.84/9.28) (RD: 1.0C=0.9/1.09) </t>
  </si>
  <si>
    <t xml:space="preserve">137: (MHD-R: 1.2C=0.504/2.43) </t>
  </si>
  <si>
    <t xml:space="preserve">137.1: (MHD-R: 1.2C=0.504/1.53) </t>
  </si>
  <si>
    <t xml:space="preserve">138: (MHD-R: 1.2C=0.504/5.24) </t>
  </si>
  <si>
    <t xml:space="preserve">139: (RD: 1.0C=0.9/2.27) </t>
  </si>
  <si>
    <t xml:space="preserve">141: (MHD-R: 1.2C=0.504/9.71) </t>
  </si>
  <si>
    <t xml:space="preserve">164: (MD-R: 1.0C=0.5/8.36) </t>
  </si>
  <si>
    <t xml:space="preserve">165: (MD-R: 1.0C=0.5/1.14) </t>
  </si>
  <si>
    <t xml:space="preserve">165.1: (MD-R: 1.0C=0.5/5.47) </t>
  </si>
  <si>
    <t xml:space="preserve">165.2: (MD-R: 1.0C=0.5/1.32) (RD: 1.0C=0.9/0.22) </t>
  </si>
  <si>
    <t xml:space="preserve">165.3: (MD-R: 1.0C=0.5/3.56) (RD: 1.0C=0.9/0.04) </t>
  </si>
  <si>
    <t xml:space="preserve">165.4: (MD-R: 1.0C=0.5/7.98) </t>
  </si>
  <si>
    <t xml:space="preserve">165.5: (RD: 1.0C=0.9/1.17) </t>
  </si>
  <si>
    <t xml:space="preserve">165.6: (RD: 1.0C=0.9/0.71) </t>
  </si>
  <si>
    <t xml:space="preserve">165.7: (MHD-R: 1.2C=0.504/1.13) (RD: 1.0C=0.9/0.22) </t>
  </si>
  <si>
    <t xml:space="preserve">165.8: (MHD-R: 1.2C=0.504/0.99) </t>
  </si>
  <si>
    <t xml:space="preserve">165.9: (MHD-R: 1.2C=0.504/2.52) </t>
  </si>
  <si>
    <t xml:space="preserve">166: (MD-R: 1.0C=0.5/5.12) (RD: 1.0C=0.9/0.06) </t>
  </si>
  <si>
    <t xml:space="preserve">166.1: (MD-R: 1.0C=0.5/1.72) (RD: 1.0C=0.9/2.34) (OS: 1.2C=0.24/1.8) </t>
  </si>
  <si>
    <t xml:space="preserve">166.2: (RD-R: 1.1C=0.319/5.5) (RD: 1.0C=0.9/1.07) </t>
  </si>
  <si>
    <t>119.1: (MHD-R: 1.2C=0.504/6.17) Private</t>
  </si>
  <si>
    <t>`</t>
  </si>
  <si>
    <t>Vista Ranch_10-30-2025</t>
  </si>
  <si>
    <t>DW 10/30/2025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</si>
</sst>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_)"/>
    <numFmt numFmtId="165" formatCode="0_)"/>
    <numFmt numFmtId="166" formatCode="0.0_)"/>
    <numFmt numFmtId="167" formatCode="0.000_)"/>
    <numFmt numFmtId="168" formatCode="0.0000_)"/>
    <numFmt numFmtId="169" formatCode=";;;"/>
    <numFmt numFmtId="170" formatCode="0.0000"/>
    <numFmt numFmtId="171" formatCode="0.0"/>
  </numFmts>
  <fonts count="3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color indexed="10"/>
      <name val="Arial"/>
      <family val="2"/>
    </font>
    <font>
      <b/>
      <sz val="16"/>
      <name val="Arial"/>
      <family val="2"/>
    </font>
    <font>
      <b/>
      <sz val="12"/>
      <color indexed="17"/>
      <name val="Arial"/>
      <family val="2"/>
    </font>
    <font>
      <sz val="12"/>
      <color indexed="17"/>
      <name val="Arial"/>
      <family val="2"/>
    </font>
    <font>
      <sz val="11"/>
      <name val="Arial"/>
      <family val="2"/>
    </font>
    <font>
      <b/>
      <sz val="12"/>
      <color theme="5"/>
      <name val="Arial"/>
      <family val="2"/>
    </font>
    <font>
      <b/>
      <sz val="12"/>
      <color rgb="FFFF0000"/>
      <name val="Arial"/>
      <family val="2"/>
    </font>
    <font>
      <sz val="12"/>
      <color theme="5" tint="-0.249977111117893"/>
      <name val="Arial"/>
      <family val="2"/>
    </font>
    <font>
      <sz val="12"/>
      <color rgb="FFFF0000"/>
      <name val="Arial"/>
      <family val="2"/>
    </font>
    <font>
      <sz val="12"/>
      <color rgb="FF0070C0"/>
      <name val="Arial"/>
      <family val="2"/>
    </font>
    <font>
      <b/>
      <sz val="12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00B050"/>
      <name val="Arial"/>
      <family val="2"/>
    </font>
    <font>
      <u/>
      <sz val="12"/>
      <color theme="10"/>
      <name val="Arial"/>
      <family val="2"/>
    </font>
    <font>
      <b/>
      <sz val="11"/>
      <color rgb="FF0070C0"/>
      <name val="Arial"/>
      <family val="2"/>
    </font>
    <font>
      <sz val="12"/>
      <color theme="9" tint="-0.249977111117893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105">
    <border>
      <left/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double">
        <color indexed="8"/>
      </bottom>
      <diagonal/>
    </border>
    <border>
      <left style="thin">
        <color indexed="8"/>
      </left>
      <right/>
      <top/>
      <bottom style="double">
        <color indexed="8"/>
      </bottom>
      <diagonal/>
    </border>
    <border>
      <left style="thin">
        <color indexed="8"/>
      </left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/>
      <top/>
      <bottom style="thick">
        <color indexed="8"/>
      </bottom>
      <diagonal/>
    </border>
    <border>
      <left style="medium">
        <color indexed="8"/>
      </left>
      <right style="thick">
        <color indexed="8"/>
      </right>
      <top style="medium">
        <color indexed="8"/>
      </top>
      <bottom/>
      <diagonal/>
    </border>
    <border>
      <left style="medium">
        <color indexed="8"/>
      </left>
      <right style="thick">
        <color indexed="8"/>
      </right>
      <top/>
      <bottom style="thick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 style="thin">
        <color indexed="8"/>
      </left>
      <right/>
      <top/>
      <bottom style="thick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 style="double">
        <color indexed="8"/>
      </top>
      <bottom style="thin">
        <color indexed="64"/>
      </bottom>
      <diagonal/>
    </border>
    <border>
      <left style="thin">
        <color indexed="8"/>
      </left>
      <right/>
      <top style="double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double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double">
        <color indexed="8"/>
      </top>
      <bottom style="thin">
        <color indexed="64"/>
      </bottom>
      <diagonal/>
    </border>
    <border>
      <left/>
      <right style="thin">
        <color indexed="8"/>
      </right>
      <top style="double">
        <color indexed="8"/>
      </top>
      <bottom style="thin">
        <color indexed="64"/>
      </bottom>
      <diagonal/>
    </border>
    <border>
      <left/>
      <right style="medium">
        <color indexed="8"/>
      </right>
      <top style="double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/>
      <diagonal/>
    </border>
    <border>
      <left style="thin">
        <color indexed="64"/>
      </left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164" fontId="0" fillId="0" borderId="0"/>
    <xf numFmtId="164" fontId="2" fillId="0" borderId="0"/>
    <xf numFmtId="164" fontId="24" fillId="0" borderId="0" applyNumberFormat="0" applyFill="0" applyBorder="0" applyAlignment="0" applyProtection="0"/>
    <xf numFmtId="0" fontId="1" fillId="0" borderId="0"/>
  </cellStyleXfs>
  <cellXfs count="688">
    <xf numFmtId="164" fontId="0" fillId="0" borderId="0" xfId="0"/>
    <xf numFmtId="164" fontId="5" fillId="0" borderId="0" xfId="0" applyFont="1"/>
    <xf numFmtId="165" fontId="5" fillId="0" borderId="0" xfId="0" applyNumberFormat="1" applyFont="1"/>
    <xf numFmtId="164" fontId="5" fillId="0" borderId="0" xfId="0" applyFont="1" applyAlignment="1">
      <alignment horizontal="centerContinuous"/>
    </xf>
    <xf numFmtId="164" fontId="4" fillId="0" borderId="0" xfId="0" applyFont="1"/>
    <xf numFmtId="164" fontId="4" fillId="0" borderId="0" xfId="0" applyFont="1" applyAlignment="1">
      <alignment horizontal="left"/>
    </xf>
    <xf numFmtId="164" fontId="3" fillId="0" borderId="0" xfId="0" applyFont="1"/>
    <xf numFmtId="164" fontId="0" fillId="0" borderId="1" xfId="0" applyBorder="1"/>
    <xf numFmtId="165" fontId="0" fillId="0" borderId="2" xfId="0" applyNumberFormat="1" applyBorder="1" applyAlignment="1">
      <alignment horizontal="left"/>
    </xf>
    <xf numFmtId="165" fontId="0" fillId="0" borderId="1" xfId="0" applyNumberFormat="1" applyBorder="1"/>
    <xf numFmtId="166" fontId="0" fillId="0" borderId="1" xfId="0" applyNumberFormat="1" applyBorder="1"/>
    <xf numFmtId="168" fontId="0" fillId="0" borderId="1" xfId="0" applyNumberFormat="1" applyBorder="1"/>
    <xf numFmtId="164" fontId="0" fillId="0" borderId="3" xfId="0" applyBorder="1"/>
    <xf numFmtId="164" fontId="3" fillId="0" borderId="0" xfId="0" applyFont="1" applyAlignment="1">
      <alignment horizontal="left"/>
    </xf>
    <xf numFmtId="165" fontId="3" fillId="0" borderId="0" xfId="0" applyNumberFormat="1" applyFont="1" applyAlignment="1">
      <alignment horizontal="left"/>
    </xf>
    <xf numFmtId="164" fontId="5" fillId="0" borderId="0" xfId="0" applyFont="1" applyAlignment="1">
      <alignment horizontal="left"/>
    </xf>
    <xf numFmtId="164" fontId="3" fillId="0" borderId="0" xfId="0" applyFont="1" applyAlignment="1">
      <alignment horizontal="right"/>
    </xf>
    <xf numFmtId="164" fontId="3" fillId="0" borderId="4" xfId="0" applyFont="1" applyBorder="1" applyAlignment="1">
      <alignment horizontal="center"/>
    </xf>
    <xf numFmtId="164" fontId="5" fillId="0" borderId="5" xfId="0" applyFont="1" applyBorder="1"/>
    <xf numFmtId="164" fontId="5" fillId="0" borderId="6" xfId="0" applyFont="1" applyBorder="1"/>
    <xf numFmtId="164" fontId="5" fillId="0" borderId="7" xfId="0" applyFont="1" applyBorder="1"/>
    <xf numFmtId="164" fontId="6" fillId="0" borderId="0" xfId="0" applyFont="1"/>
    <xf numFmtId="164" fontId="2" fillId="0" borderId="0" xfId="0" applyFont="1"/>
    <xf numFmtId="164" fontId="5" fillId="0" borderId="0" xfId="0" applyFont="1" applyAlignment="1">
      <alignment horizontal="center"/>
    </xf>
    <xf numFmtId="164" fontId="5" fillId="0" borderId="0" xfId="0" applyFont="1" applyAlignment="1">
      <alignment horizontal="fill"/>
    </xf>
    <xf numFmtId="165" fontId="5" fillId="0" borderId="0" xfId="0" applyNumberFormat="1" applyFont="1" applyAlignment="1">
      <alignment horizontal="left"/>
    </xf>
    <xf numFmtId="164" fontId="7" fillId="0" borderId="0" xfId="0" applyFont="1"/>
    <xf numFmtId="165" fontId="3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left" indent="1"/>
    </xf>
    <xf numFmtId="164" fontId="3" fillId="0" borderId="0" xfId="0" applyFont="1" applyAlignment="1">
      <alignment horizontal="left" indent="1"/>
    </xf>
    <xf numFmtId="167" fontId="3" fillId="0" borderId="0" xfId="0" applyNumberFormat="1" applyFont="1" applyAlignment="1">
      <alignment horizontal="left"/>
    </xf>
    <xf numFmtId="164" fontId="3" fillId="0" borderId="8" xfId="0" applyFont="1" applyBorder="1" applyAlignment="1">
      <alignment horizontal="center"/>
    </xf>
    <xf numFmtId="164" fontId="3" fillId="0" borderId="8" xfId="0" applyFont="1" applyBorder="1"/>
    <xf numFmtId="164" fontId="3" fillId="0" borderId="9" xfId="0" applyFont="1" applyBorder="1" applyAlignment="1">
      <alignment horizontal="center"/>
    </xf>
    <xf numFmtId="164" fontId="3" fillId="0" borderId="10" xfId="0" applyFont="1" applyBorder="1" applyAlignment="1">
      <alignment horizontal="center"/>
    </xf>
    <xf numFmtId="164" fontId="0" fillId="0" borderId="0" xfId="0" applyAlignment="1">
      <alignment horizontal="center"/>
    </xf>
    <xf numFmtId="164" fontId="3" fillId="0" borderId="0" xfId="0" applyFont="1" applyAlignment="1">
      <alignment horizontal="center"/>
    </xf>
    <xf numFmtId="164" fontId="0" fillId="0" borderId="0" xfId="0" quotePrefix="1" applyAlignment="1">
      <alignment horizontal="center"/>
    </xf>
    <xf numFmtId="164" fontId="3" fillId="0" borderId="0" xfId="0" quotePrefix="1" applyFont="1" applyAlignment="1">
      <alignment horizontal="left"/>
    </xf>
    <xf numFmtId="164" fontId="4" fillId="0" borderId="0" xfId="0" quotePrefix="1" applyFont="1" applyAlignment="1">
      <alignment horizontal="left"/>
    </xf>
    <xf numFmtId="164" fontId="2" fillId="0" borderId="0" xfId="0" quotePrefix="1" applyFont="1" applyAlignment="1">
      <alignment horizontal="left"/>
    </xf>
    <xf numFmtId="164" fontId="0" fillId="0" borderId="0" xfId="0" quotePrefix="1" applyAlignment="1">
      <alignment horizontal="left"/>
    </xf>
    <xf numFmtId="164" fontId="0" fillId="0" borderId="0" xfId="0" quotePrefix="1"/>
    <xf numFmtId="164" fontId="0" fillId="0" borderId="0" xfId="0" quotePrefix="1" applyAlignment="1">
      <alignment horizontal="right"/>
    </xf>
    <xf numFmtId="164" fontId="0" fillId="0" borderId="0" xfId="0" applyAlignment="1">
      <alignment horizontal="right"/>
    </xf>
    <xf numFmtId="164" fontId="0" fillId="0" borderId="11" xfId="0" applyBorder="1"/>
    <xf numFmtId="164" fontId="0" fillId="0" borderId="12" xfId="0" applyBorder="1"/>
    <xf numFmtId="164" fontId="0" fillId="0" borderId="13" xfId="0" applyBorder="1"/>
    <xf numFmtId="164" fontId="0" fillId="0" borderId="14" xfId="0" applyBorder="1"/>
    <xf numFmtId="164" fontId="0" fillId="0" borderId="15" xfId="0" applyBorder="1"/>
    <xf numFmtId="0" fontId="0" fillId="0" borderId="0" xfId="0" applyNumberFormat="1"/>
    <xf numFmtId="164" fontId="5" fillId="0" borderId="0" xfId="0" quotePrefix="1" applyFont="1" applyAlignment="1">
      <alignment horizontal="left"/>
    </xf>
    <xf numFmtId="164" fontId="5" fillId="0" borderId="16" xfId="0" quotePrefix="1" applyFont="1" applyBorder="1" applyAlignment="1">
      <alignment horizontal="left"/>
    </xf>
    <xf numFmtId="165" fontId="5" fillId="0" borderId="17" xfId="0" applyNumberFormat="1" applyFont="1" applyBorder="1"/>
    <xf numFmtId="166" fontId="5" fillId="0" borderId="17" xfId="0" applyNumberFormat="1" applyFont="1" applyBorder="1"/>
    <xf numFmtId="164" fontId="5" fillId="0" borderId="17" xfId="0" applyFont="1" applyBorder="1"/>
    <xf numFmtId="168" fontId="5" fillId="0" borderId="17" xfId="0" applyNumberFormat="1" applyFont="1" applyBorder="1"/>
    <xf numFmtId="164" fontId="5" fillId="0" borderId="18" xfId="0" applyFont="1" applyBorder="1"/>
    <xf numFmtId="165" fontId="5" fillId="0" borderId="19" xfId="0" applyNumberFormat="1" applyFont="1" applyBorder="1"/>
    <xf numFmtId="0" fontId="5" fillId="0" borderId="20" xfId="0" applyNumberFormat="1" applyFont="1" applyBorder="1"/>
    <xf numFmtId="166" fontId="5" fillId="0" borderId="16" xfId="0" applyNumberFormat="1" applyFont="1" applyBorder="1"/>
    <xf numFmtId="164" fontId="5" fillId="0" borderId="16" xfId="0" applyFont="1" applyBorder="1"/>
    <xf numFmtId="165" fontId="5" fillId="0" borderId="16" xfId="0" applyNumberFormat="1" applyFont="1" applyBorder="1"/>
    <xf numFmtId="168" fontId="5" fillId="0" borderId="16" xfId="0" applyNumberFormat="1" applyFont="1" applyBorder="1"/>
    <xf numFmtId="165" fontId="5" fillId="0" borderId="21" xfId="0" applyNumberFormat="1" applyFont="1" applyBorder="1"/>
    <xf numFmtId="164" fontId="4" fillId="0" borderId="0" xfId="0" quotePrefix="1" applyFont="1"/>
    <xf numFmtId="166" fontId="5" fillId="0" borderId="0" xfId="0" applyNumberFormat="1" applyFont="1"/>
    <xf numFmtId="168" fontId="5" fillId="0" borderId="0" xfId="0" applyNumberFormat="1" applyFont="1"/>
    <xf numFmtId="169" fontId="5" fillId="0" borderId="16" xfId="0" applyNumberFormat="1" applyFont="1" applyBorder="1"/>
    <xf numFmtId="164" fontId="5" fillId="0" borderId="21" xfId="0" applyFont="1" applyBorder="1"/>
    <xf numFmtId="164" fontId="5" fillId="0" borderId="22" xfId="0" applyFont="1" applyBorder="1"/>
    <xf numFmtId="169" fontId="5" fillId="0" borderId="0" xfId="0" applyNumberFormat="1" applyFont="1"/>
    <xf numFmtId="164" fontId="5" fillId="0" borderId="16" xfId="0" applyFont="1" applyBorder="1" applyAlignment="1">
      <alignment horizontal="left"/>
    </xf>
    <xf numFmtId="165" fontId="3" fillId="0" borderId="4" xfId="0" applyNumberFormat="1" applyFont="1" applyBorder="1"/>
    <xf numFmtId="164" fontId="3" fillId="0" borderId="23" xfId="0" applyFont="1" applyBorder="1"/>
    <xf numFmtId="164" fontId="3" fillId="0" borderId="24" xfId="0" applyFont="1" applyBorder="1" applyAlignment="1">
      <alignment horizontal="left"/>
    </xf>
    <xf numFmtId="164" fontId="3" fillId="0" borderId="24" xfId="0" applyFont="1" applyBorder="1"/>
    <xf numFmtId="164" fontId="3" fillId="0" borderId="4" xfId="0" applyFont="1" applyBorder="1"/>
    <xf numFmtId="165" fontId="3" fillId="0" borderId="8" xfId="0" applyNumberFormat="1" applyFont="1" applyBorder="1"/>
    <xf numFmtId="164" fontId="3" fillId="0" borderId="25" xfId="0" applyFont="1" applyBorder="1"/>
    <xf numFmtId="164" fontId="3" fillId="0" borderId="26" xfId="0" applyFont="1" applyBorder="1" applyAlignment="1">
      <alignment horizontal="center"/>
    </xf>
    <xf numFmtId="164" fontId="3" fillId="0" borderId="27" xfId="0" applyFont="1" applyBorder="1" applyAlignment="1">
      <alignment horizontal="center"/>
    </xf>
    <xf numFmtId="164" fontId="0" fillId="0" borderId="28" xfId="0" applyBorder="1"/>
    <xf numFmtId="164" fontId="3" fillId="0" borderId="13" xfId="0" applyFont="1" applyBorder="1"/>
    <xf numFmtId="164" fontId="0" fillId="0" borderId="29" xfId="0" applyBorder="1"/>
    <xf numFmtId="164" fontId="3" fillId="0" borderId="29" xfId="0" applyFont="1" applyBorder="1"/>
    <xf numFmtId="164" fontId="0" fillId="0" borderId="15" xfId="0" quotePrefix="1" applyBorder="1" applyAlignment="1">
      <alignment horizontal="left"/>
    </xf>
    <xf numFmtId="164" fontId="0" fillId="0" borderId="30" xfId="0" applyBorder="1"/>
    <xf numFmtId="164" fontId="0" fillId="0" borderId="0" xfId="0" applyProtection="1">
      <protection locked="0"/>
    </xf>
    <xf numFmtId="164" fontId="5" fillId="0" borderId="0" xfId="0" applyFont="1" applyProtection="1">
      <protection locked="0"/>
    </xf>
    <xf numFmtId="164" fontId="6" fillId="0" borderId="0" xfId="0" applyFont="1" applyProtection="1">
      <protection locked="0"/>
    </xf>
    <xf numFmtId="165" fontId="3" fillId="0" borderId="0" xfId="0" applyNumberFormat="1" applyFont="1" applyAlignment="1" applyProtection="1">
      <alignment horizontal="left"/>
      <protection locked="0"/>
    </xf>
    <xf numFmtId="166" fontId="3" fillId="0" borderId="0" xfId="0" quotePrefix="1" applyNumberFormat="1" applyFont="1" applyAlignment="1" applyProtection="1">
      <alignment horizontal="left" indent="1"/>
      <protection locked="0"/>
    </xf>
    <xf numFmtId="164" fontId="4" fillId="0" borderId="0" xfId="0" applyFont="1" applyProtection="1">
      <protection locked="0"/>
    </xf>
    <xf numFmtId="164" fontId="3" fillId="0" borderId="0" xfId="0" applyFont="1" applyProtection="1">
      <protection locked="0"/>
    </xf>
    <xf numFmtId="164" fontId="5" fillId="0" borderId="0" xfId="0" applyFont="1" applyAlignment="1" applyProtection="1">
      <alignment horizontal="left"/>
      <protection locked="0"/>
    </xf>
    <xf numFmtId="165" fontId="5" fillId="0" borderId="0" xfId="0" applyNumberFormat="1" applyFont="1" applyProtection="1">
      <protection locked="0"/>
    </xf>
    <xf numFmtId="168" fontId="5" fillId="0" borderId="0" xfId="0" applyNumberFormat="1" applyFont="1" applyProtection="1">
      <protection locked="0"/>
    </xf>
    <xf numFmtId="164" fontId="2" fillId="0" borderId="0" xfId="0" applyFont="1" applyProtection="1">
      <protection locked="0"/>
    </xf>
    <xf numFmtId="164" fontId="0" fillId="0" borderId="0" xfId="0" applyAlignment="1">
      <alignment horizontal="left" indent="2"/>
    </xf>
    <xf numFmtId="164" fontId="3" fillId="0" borderId="0" xfId="0" quotePrefix="1" applyFont="1" applyAlignment="1">
      <alignment horizontal="left" indent="2"/>
    </xf>
    <xf numFmtId="164" fontId="2" fillId="0" borderId="0" xfId="0" quotePrefix="1" applyFont="1" applyAlignment="1">
      <alignment horizontal="left" indent="2"/>
    </xf>
    <xf numFmtId="164" fontId="0" fillId="0" borderId="0" xfId="0" quotePrefix="1" applyAlignment="1">
      <alignment horizontal="left" indent="2"/>
    </xf>
    <xf numFmtId="164" fontId="8" fillId="0" borderId="0" xfId="0" applyFont="1"/>
    <xf numFmtId="164" fontId="9" fillId="0" borderId="0" xfId="0" applyFont="1"/>
    <xf numFmtId="164" fontId="9" fillId="0" borderId="0" xfId="0" applyFont="1" applyAlignment="1">
      <alignment horizontal="centerContinuous"/>
    </xf>
    <xf numFmtId="165" fontId="9" fillId="0" borderId="0" xfId="0" applyNumberFormat="1" applyFont="1"/>
    <xf numFmtId="166" fontId="9" fillId="0" borderId="0" xfId="0" applyNumberFormat="1" applyFont="1"/>
    <xf numFmtId="164" fontId="10" fillId="2" borderId="31" xfId="0" applyFont="1" applyFill="1" applyBorder="1" applyAlignment="1">
      <alignment horizontal="centerContinuous"/>
    </xf>
    <xf numFmtId="164" fontId="0" fillId="2" borderId="32" xfId="0" applyFill="1" applyBorder="1" applyAlignment="1">
      <alignment horizontal="centerContinuous"/>
    </xf>
    <xf numFmtId="164" fontId="0" fillId="2" borderId="33" xfId="0" applyFill="1" applyBorder="1" applyAlignment="1">
      <alignment horizontal="centerContinuous"/>
    </xf>
    <xf numFmtId="164" fontId="10" fillId="2" borderId="34" xfId="0" applyFont="1" applyFill="1" applyBorder="1" applyAlignment="1">
      <alignment horizontal="centerContinuous"/>
    </xf>
    <xf numFmtId="164" fontId="0" fillId="2" borderId="35" xfId="0" applyFill="1" applyBorder="1" applyAlignment="1">
      <alignment horizontal="centerContinuous"/>
    </xf>
    <xf numFmtId="164" fontId="0" fillId="2" borderId="36" xfId="0" applyFill="1" applyBorder="1" applyAlignment="1">
      <alignment horizontal="centerContinuous"/>
    </xf>
    <xf numFmtId="164" fontId="11" fillId="0" borderId="0" xfId="0" applyFont="1"/>
    <xf numFmtId="164" fontId="4" fillId="0" borderId="0" xfId="1" applyFont="1"/>
    <xf numFmtId="164" fontId="2" fillId="0" borderId="0" xfId="1"/>
    <xf numFmtId="164" fontId="2" fillId="0" borderId="0" xfId="1" applyAlignment="1">
      <alignment horizontal="left"/>
    </xf>
    <xf numFmtId="164" fontId="3" fillId="0" borderId="0" xfId="1" applyFont="1" applyAlignment="1">
      <alignment horizontal="center"/>
    </xf>
    <xf numFmtId="164" fontId="3" fillId="0" borderId="0" xfId="1" applyFont="1"/>
    <xf numFmtId="164" fontId="3" fillId="0" borderId="0" xfId="1" applyFont="1" applyAlignment="1">
      <alignment horizontal="left"/>
    </xf>
    <xf numFmtId="164" fontId="2" fillId="0" borderId="0" xfId="1" applyAlignment="1">
      <alignment horizontal="center"/>
    </xf>
    <xf numFmtId="164" fontId="3" fillId="0" borderId="37" xfId="1" quotePrefix="1" applyFont="1" applyBorder="1" applyAlignment="1">
      <alignment horizontal="left" indent="1"/>
    </xf>
    <xf numFmtId="164" fontId="2" fillId="0" borderId="38" xfId="1" applyBorder="1" applyAlignment="1">
      <alignment horizontal="center"/>
    </xf>
    <xf numFmtId="164" fontId="2" fillId="0" borderId="39" xfId="1" quotePrefix="1" applyBorder="1" applyAlignment="1">
      <alignment horizontal="left"/>
    </xf>
    <xf numFmtId="164" fontId="2" fillId="0" borderId="39" xfId="1" applyBorder="1"/>
    <xf numFmtId="164" fontId="2" fillId="0" borderId="40" xfId="1" applyBorder="1"/>
    <xf numFmtId="0" fontId="2" fillId="0" borderId="41" xfId="1" applyNumberFormat="1" applyBorder="1" applyAlignment="1">
      <alignment horizontal="center"/>
    </xf>
    <xf numFmtId="0" fontId="2" fillId="0" borderId="42" xfId="1" applyNumberFormat="1" applyBorder="1" applyAlignment="1">
      <alignment horizontal="center"/>
    </xf>
    <xf numFmtId="164" fontId="12" fillId="0" borderId="0" xfId="1" applyFont="1"/>
    <xf numFmtId="164" fontId="2" fillId="0" borderId="43" xfId="1" applyBorder="1" applyAlignment="1">
      <alignment horizontal="right"/>
    </xf>
    <xf numFmtId="164" fontId="2" fillId="0" borderId="44" xfId="1" quotePrefix="1" applyBorder="1" applyAlignment="1">
      <alignment horizontal="center"/>
    </xf>
    <xf numFmtId="164" fontId="2" fillId="0" borderId="29" xfId="1" applyBorder="1" applyAlignment="1">
      <alignment horizontal="center"/>
    </xf>
    <xf numFmtId="164" fontId="2" fillId="0" borderId="0" xfId="1" quotePrefix="1" applyAlignment="1">
      <alignment horizontal="left"/>
    </xf>
    <xf numFmtId="164" fontId="2" fillId="0" borderId="15" xfId="1" applyBorder="1"/>
    <xf numFmtId="0" fontId="2" fillId="0" borderId="44" xfId="1" applyNumberFormat="1" applyBorder="1" applyAlignment="1">
      <alignment horizontal="center"/>
    </xf>
    <xf numFmtId="0" fontId="2" fillId="0" borderId="45" xfId="1" applyNumberFormat="1" applyBorder="1" applyAlignment="1">
      <alignment horizontal="center"/>
    </xf>
    <xf numFmtId="164" fontId="13" fillId="0" borderId="0" xfId="1" applyFont="1" applyAlignment="1">
      <alignment horizontal="left"/>
    </xf>
    <xf numFmtId="164" fontId="2" fillId="0" borderId="46" xfId="1" applyBorder="1" applyAlignment="1">
      <alignment horizontal="right"/>
    </xf>
    <xf numFmtId="164" fontId="2" fillId="0" borderId="47" xfId="1" quotePrefix="1" applyBorder="1" applyAlignment="1">
      <alignment horizontal="center"/>
    </xf>
    <xf numFmtId="164" fontId="2" fillId="0" borderId="30" xfId="1" applyBorder="1" applyAlignment="1">
      <alignment horizontal="center"/>
    </xf>
    <xf numFmtId="164" fontId="2" fillId="0" borderId="11" xfId="1" quotePrefix="1" applyBorder="1" applyAlignment="1">
      <alignment horizontal="left"/>
    </xf>
    <xf numFmtId="164" fontId="2" fillId="0" borderId="11" xfId="1" applyBorder="1"/>
    <xf numFmtId="164" fontId="2" fillId="0" borderId="12" xfId="1" applyBorder="1"/>
    <xf numFmtId="0" fontId="2" fillId="0" borderId="47" xfId="1" applyNumberFormat="1" applyBorder="1" applyAlignment="1">
      <alignment horizontal="center"/>
    </xf>
    <xf numFmtId="0" fontId="2" fillId="0" borderId="48" xfId="1" applyNumberFormat="1" applyBorder="1" applyAlignment="1">
      <alignment horizontal="center"/>
    </xf>
    <xf numFmtId="164" fontId="2" fillId="0" borderId="49" xfId="1" quotePrefix="1" applyBorder="1" applyAlignment="1">
      <alignment horizontal="left" indent="1"/>
    </xf>
    <xf numFmtId="164" fontId="2" fillId="0" borderId="50" xfId="1" quotePrefix="1" applyBorder="1" applyAlignment="1">
      <alignment horizontal="center"/>
    </xf>
    <xf numFmtId="164" fontId="2" fillId="0" borderId="51" xfId="1" applyBorder="1" applyAlignment="1">
      <alignment horizontal="center"/>
    </xf>
    <xf numFmtId="164" fontId="2" fillId="0" borderId="52" xfId="1" quotePrefix="1" applyBorder="1" applyAlignment="1">
      <alignment horizontal="left"/>
    </xf>
    <xf numFmtId="164" fontId="2" fillId="0" borderId="52" xfId="1" applyBorder="1"/>
    <xf numFmtId="164" fontId="2" fillId="0" borderId="53" xfId="1" applyBorder="1"/>
    <xf numFmtId="0" fontId="2" fillId="0" borderId="50" xfId="1" applyNumberFormat="1" applyBorder="1" applyAlignment="1">
      <alignment horizontal="center"/>
    </xf>
    <xf numFmtId="0" fontId="2" fillId="0" borderId="54" xfId="1" applyNumberFormat="1" applyBorder="1" applyAlignment="1">
      <alignment horizontal="center"/>
    </xf>
    <xf numFmtId="164" fontId="3" fillId="0" borderId="43" xfId="1" quotePrefix="1" applyFont="1" applyBorder="1" applyAlignment="1">
      <alignment horizontal="left" indent="1"/>
    </xf>
    <xf numFmtId="164" fontId="2" fillId="0" borderId="55" xfId="1" quotePrefix="1" applyBorder="1" applyAlignment="1">
      <alignment horizontal="left" indent="1"/>
    </xf>
    <xf numFmtId="164" fontId="2" fillId="0" borderId="56" xfId="1" quotePrefix="1" applyBorder="1" applyAlignment="1">
      <alignment horizontal="center"/>
    </xf>
    <xf numFmtId="164" fontId="2" fillId="0" borderId="28" xfId="1" applyBorder="1" applyAlignment="1">
      <alignment horizontal="center"/>
    </xf>
    <xf numFmtId="164" fontId="2" fillId="0" borderId="13" xfId="1" quotePrefix="1" applyBorder="1" applyAlignment="1">
      <alignment horizontal="left"/>
    </xf>
    <xf numFmtId="164" fontId="2" fillId="0" borderId="13" xfId="1" applyBorder="1"/>
    <xf numFmtId="164" fontId="2" fillId="0" borderId="14" xfId="1" applyBorder="1"/>
    <xf numFmtId="0" fontId="2" fillId="0" borderId="56" xfId="1" applyNumberFormat="1" applyBorder="1" applyAlignment="1">
      <alignment horizontal="center"/>
    </xf>
    <xf numFmtId="0" fontId="2" fillId="0" borderId="57" xfId="1" applyNumberFormat="1" applyBorder="1" applyAlignment="1">
      <alignment horizontal="center"/>
    </xf>
    <xf numFmtId="164" fontId="2" fillId="0" borderId="43" xfId="1" quotePrefix="1" applyBorder="1" applyAlignment="1">
      <alignment horizontal="right"/>
    </xf>
    <xf numFmtId="164" fontId="3" fillId="0" borderId="58" xfId="1" quotePrefix="1" applyFont="1" applyBorder="1" applyAlignment="1">
      <alignment horizontal="left" indent="1"/>
    </xf>
    <xf numFmtId="164" fontId="2" fillId="0" borderId="59" xfId="1" quotePrefix="1" applyBorder="1" applyAlignment="1">
      <alignment horizontal="center"/>
    </xf>
    <xf numFmtId="164" fontId="2" fillId="0" borderId="60" xfId="1" applyBorder="1" applyAlignment="1">
      <alignment horizontal="center"/>
    </xf>
    <xf numFmtId="164" fontId="2" fillId="0" borderId="61" xfId="1" quotePrefix="1" applyBorder="1" applyAlignment="1">
      <alignment horizontal="left"/>
    </xf>
    <xf numFmtId="164" fontId="2" fillId="0" borderId="61" xfId="1" applyBorder="1"/>
    <xf numFmtId="164" fontId="2" fillId="0" borderId="62" xfId="1" applyBorder="1"/>
    <xf numFmtId="0" fontId="2" fillId="0" borderId="59" xfId="1" applyNumberFormat="1" applyBorder="1" applyAlignment="1">
      <alignment horizontal="center"/>
    </xf>
    <xf numFmtId="0" fontId="2" fillId="0" borderId="63" xfId="1" applyNumberFormat="1" applyBorder="1" applyAlignment="1">
      <alignment horizontal="center"/>
    </xf>
    <xf numFmtId="164" fontId="3" fillId="0" borderId="49" xfId="1" quotePrefix="1" applyFont="1" applyBorder="1" applyAlignment="1">
      <alignment horizontal="left" indent="1"/>
    </xf>
    <xf numFmtId="164" fontId="2" fillId="0" borderId="64" xfId="1" quotePrefix="1" applyBorder="1" applyAlignment="1">
      <alignment horizontal="center"/>
    </xf>
    <xf numFmtId="164" fontId="2" fillId="0" borderId="65" xfId="1" applyBorder="1" applyAlignment="1">
      <alignment horizontal="center"/>
    </xf>
    <xf numFmtId="164" fontId="2" fillId="0" borderId="66" xfId="1" applyBorder="1"/>
    <xf numFmtId="164" fontId="2" fillId="0" borderId="67" xfId="1" applyBorder="1"/>
    <xf numFmtId="0" fontId="2" fillId="0" borderId="64" xfId="1" applyNumberFormat="1" applyBorder="1" applyAlignment="1">
      <alignment horizontal="center"/>
    </xf>
    <xf numFmtId="0" fontId="2" fillId="0" borderId="68" xfId="1" applyNumberFormat="1" applyBorder="1" applyAlignment="1">
      <alignment horizontal="center"/>
    </xf>
    <xf numFmtId="164" fontId="2" fillId="0" borderId="0" xfId="1" quotePrefix="1" applyAlignment="1">
      <alignment horizontal="left" indent="1"/>
    </xf>
    <xf numFmtId="164" fontId="2" fillId="0" borderId="0" xfId="1" quotePrefix="1" applyAlignment="1">
      <alignment horizontal="center"/>
    </xf>
    <xf numFmtId="0" fontId="2" fillId="0" borderId="0" xfId="1" applyNumberFormat="1" applyAlignment="1">
      <alignment horizontal="center"/>
    </xf>
    <xf numFmtId="164" fontId="3" fillId="0" borderId="69" xfId="1" quotePrefix="1" applyFont="1" applyBorder="1" applyAlignment="1">
      <alignment horizontal="left" indent="1"/>
    </xf>
    <xf numFmtId="164" fontId="2" fillId="0" borderId="66" xfId="1" applyBorder="1" applyAlignment="1">
      <alignment horizontal="left"/>
    </xf>
    <xf numFmtId="164" fontId="3" fillId="0" borderId="0" xfId="1" quotePrefix="1" applyFont="1" applyAlignment="1">
      <alignment horizontal="left" indent="1"/>
    </xf>
    <xf numFmtId="164" fontId="3" fillId="0" borderId="69" xfId="1" applyFont="1" applyBorder="1" applyAlignment="1">
      <alignment horizontal="left" indent="1"/>
    </xf>
    <xf numFmtId="164" fontId="3" fillId="0" borderId="70" xfId="1" quotePrefix="1" applyFont="1" applyBorder="1" applyAlignment="1">
      <alignment horizontal="left" indent="1"/>
    </xf>
    <xf numFmtId="164" fontId="2" fillId="0" borderId="71" xfId="1" quotePrefix="1" applyBorder="1" applyAlignment="1">
      <alignment horizontal="center"/>
    </xf>
    <xf numFmtId="164" fontId="2" fillId="0" borderId="72" xfId="1" applyBorder="1" applyAlignment="1">
      <alignment horizontal="center"/>
    </xf>
    <xf numFmtId="164" fontId="2" fillId="0" borderId="73" xfId="1" quotePrefix="1" applyBorder="1" applyAlignment="1">
      <alignment horizontal="left"/>
    </xf>
    <xf numFmtId="164" fontId="2" fillId="0" borderId="73" xfId="1" applyBorder="1"/>
    <xf numFmtId="164" fontId="2" fillId="0" borderId="74" xfId="1" applyBorder="1"/>
    <xf numFmtId="0" fontId="2" fillId="0" borderId="71" xfId="1" applyNumberFormat="1" applyBorder="1" applyAlignment="1">
      <alignment horizontal="center"/>
    </xf>
    <xf numFmtId="0" fontId="2" fillId="0" borderId="75" xfId="1" applyNumberFormat="1" applyBorder="1" applyAlignment="1">
      <alignment horizontal="center"/>
    </xf>
    <xf numFmtId="164" fontId="3" fillId="0" borderId="76" xfId="1" quotePrefix="1" applyFont="1" applyBorder="1" applyAlignment="1">
      <alignment horizontal="left" indent="1"/>
    </xf>
    <xf numFmtId="164" fontId="2" fillId="0" borderId="77" xfId="1" quotePrefix="1" applyBorder="1" applyAlignment="1">
      <alignment horizontal="center"/>
    </xf>
    <xf numFmtId="164" fontId="2" fillId="0" borderId="78" xfId="1" applyBorder="1" applyAlignment="1">
      <alignment horizontal="center"/>
    </xf>
    <xf numFmtId="164" fontId="2" fillId="0" borderId="79" xfId="1" applyBorder="1" applyAlignment="1">
      <alignment horizontal="left"/>
    </xf>
    <xf numFmtId="164" fontId="2" fillId="0" borderId="79" xfId="1" applyBorder="1"/>
    <xf numFmtId="164" fontId="2" fillId="0" borderId="80" xfId="1" applyBorder="1"/>
    <xf numFmtId="0" fontId="2" fillId="0" borderId="77" xfId="1" applyNumberFormat="1" applyBorder="1" applyAlignment="1">
      <alignment horizontal="center"/>
    </xf>
    <xf numFmtId="0" fontId="2" fillId="0" borderId="81" xfId="1" applyNumberFormat="1" applyBorder="1" applyAlignment="1">
      <alignment horizontal="center"/>
    </xf>
    <xf numFmtId="164" fontId="2" fillId="0" borderId="70" xfId="1" quotePrefix="1" applyBorder="1" applyAlignment="1">
      <alignment horizontal="left" indent="1"/>
    </xf>
    <xf numFmtId="164" fontId="2" fillId="0" borderId="73" xfId="1" applyBorder="1" applyAlignment="1">
      <alignment horizontal="left"/>
    </xf>
    <xf numFmtId="164" fontId="2" fillId="0" borderId="41" xfId="1" quotePrefix="1" applyBorder="1" applyAlignment="1">
      <alignment horizontal="center"/>
    </xf>
    <xf numFmtId="164" fontId="2" fillId="0" borderId="69" xfId="1" quotePrefix="1" applyBorder="1" applyAlignment="1">
      <alignment horizontal="left" indent="1"/>
    </xf>
    <xf numFmtId="164" fontId="5" fillId="0" borderId="82" xfId="0" applyFont="1" applyBorder="1" applyAlignment="1">
      <alignment horizontal="left"/>
    </xf>
    <xf numFmtId="164" fontId="5" fillId="0" borderId="83" xfId="0" applyFont="1" applyBorder="1"/>
    <xf numFmtId="164" fontId="5" fillId="0" borderId="84" xfId="0" applyFont="1" applyBorder="1"/>
    <xf numFmtId="165" fontId="5" fillId="0" borderId="85" xfId="0" applyNumberFormat="1" applyFont="1" applyBorder="1"/>
    <xf numFmtId="165" fontId="5" fillId="0" borderId="86" xfId="0" applyNumberFormat="1" applyFont="1" applyBorder="1"/>
    <xf numFmtId="166" fontId="5" fillId="0" borderId="86" xfId="0" applyNumberFormat="1" applyFont="1" applyBorder="1"/>
    <xf numFmtId="164" fontId="5" fillId="0" borderId="86" xfId="0" applyFont="1" applyBorder="1"/>
    <xf numFmtId="168" fontId="5" fillId="0" borderId="86" xfId="0" applyNumberFormat="1" applyFont="1" applyBorder="1"/>
    <xf numFmtId="164" fontId="5" fillId="0" borderId="87" xfId="0" applyFont="1" applyBorder="1"/>
    <xf numFmtId="0" fontId="5" fillId="0" borderId="17" xfId="0" applyNumberFormat="1" applyFont="1" applyBorder="1"/>
    <xf numFmtId="0" fontId="5" fillId="0" borderId="88" xfId="0" applyNumberFormat="1" applyFont="1" applyBorder="1"/>
    <xf numFmtId="0" fontId="5" fillId="0" borderId="19" xfId="0" applyNumberFormat="1" applyFont="1" applyBorder="1"/>
    <xf numFmtId="0" fontId="3" fillId="0" borderId="0" xfId="0" applyNumberFormat="1" applyFont="1" applyAlignment="1">
      <alignment horizontal="left"/>
    </xf>
    <xf numFmtId="164" fontId="3" fillId="3" borderId="28" xfId="0" applyFont="1" applyFill="1" applyBorder="1"/>
    <xf numFmtId="170" fontId="3" fillId="3" borderId="14" xfId="0" applyNumberFormat="1" applyFont="1" applyFill="1" applyBorder="1"/>
    <xf numFmtId="164" fontId="3" fillId="3" borderId="30" xfId="0" applyFont="1" applyFill="1" applyBorder="1" applyAlignment="1">
      <alignment horizontal="right"/>
    </xf>
    <xf numFmtId="1" fontId="3" fillId="3" borderId="12" xfId="0" applyNumberFormat="1" applyFont="1" applyFill="1" applyBorder="1" applyAlignment="1">
      <alignment horizontal="center"/>
    </xf>
    <xf numFmtId="164" fontId="3" fillId="3" borderId="30" xfId="0" applyFont="1" applyFill="1" applyBorder="1"/>
    <xf numFmtId="164" fontId="3" fillId="3" borderId="62" xfId="0" applyFont="1" applyFill="1" applyBorder="1" applyAlignment="1">
      <alignment horizontal="left" indent="1"/>
    </xf>
    <xf numFmtId="164" fontId="3" fillId="0" borderId="15" xfId="0" applyFont="1" applyBorder="1"/>
    <xf numFmtId="164" fontId="3" fillId="0" borderId="11" xfId="0" applyFont="1" applyBorder="1"/>
    <xf numFmtId="164" fontId="5" fillId="0" borderId="11" xfId="0" applyFont="1" applyBorder="1"/>
    <xf numFmtId="164" fontId="3" fillId="3" borderId="29" xfId="0" applyFont="1" applyFill="1" applyBorder="1" applyAlignment="1">
      <alignment horizontal="right"/>
    </xf>
    <xf numFmtId="164" fontId="3" fillId="3" borderId="0" xfId="0" applyFont="1" applyFill="1" applyAlignment="1">
      <alignment horizontal="left" indent="1"/>
    </xf>
    <xf numFmtId="170" fontId="3" fillId="3" borderId="15" xfId="0" applyNumberFormat="1" applyFont="1" applyFill="1" applyBorder="1" applyAlignment="1">
      <alignment horizontal="left" indent="1"/>
    </xf>
    <xf numFmtId="164" fontId="3" fillId="3" borderId="12" xfId="0" applyFont="1" applyFill="1" applyBorder="1" applyAlignment="1">
      <alignment horizontal="left" indent="1"/>
    </xf>
    <xf numFmtId="164" fontId="3" fillId="3" borderId="14" xfId="0" applyFont="1" applyFill="1" applyBorder="1" applyAlignment="1">
      <alignment horizontal="left"/>
    </xf>
    <xf numFmtId="164" fontId="3" fillId="3" borderId="11" xfId="0" applyFont="1" applyFill="1" applyBorder="1" applyAlignment="1">
      <alignment horizontal="left"/>
    </xf>
    <xf numFmtId="164" fontId="3" fillId="3" borderId="61" xfId="0" applyFont="1" applyFill="1" applyBorder="1"/>
    <xf numFmtId="164" fontId="3" fillId="3" borderId="62" xfId="0" applyFont="1" applyFill="1" applyBorder="1" applyAlignment="1">
      <alignment horizontal="left"/>
    </xf>
    <xf numFmtId="0" fontId="11" fillId="0" borderId="0" xfId="0" applyNumberFormat="1" applyFont="1"/>
    <xf numFmtId="164" fontId="3" fillId="3" borderId="61" xfId="0" applyFont="1" applyFill="1" applyBorder="1" applyAlignment="1">
      <alignment horizontal="right"/>
    </xf>
    <xf numFmtId="164" fontId="5" fillId="0" borderId="6" xfId="0" applyFont="1" applyBorder="1" applyProtection="1">
      <protection locked="0"/>
    </xf>
    <xf numFmtId="164" fontId="3" fillId="0" borderId="4" xfId="0" applyFont="1" applyBorder="1" applyAlignment="1" applyProtection="1">
      <alignment horizontal="center"/>
      <protection locked="0"/>
    </xf>
    <xf numFmtId="164" fontId="3" fillId="0" borderId="8" xfId="0" applyFont="1" applyBorder="1" applyAlignment="1" applyProtection="1">
      <alignment horizontal="center"/>
      <protection locked="0"/>
    </xf>
    <xf numFmtId="164" fontId="5" fillId="0" borderId="86" xfId="0" applyFont="1" applyBorder="1" applyProtection="1">
      <protection locked="0"/>
    </xf>
    <xf numFmtId="164" fontId="3" fillId="3" borderId="28" xfId="0" applyFont="1" applyFill="1" applyBorder="1" applyAlignment="1">
      <alignment horizontal="right"/>
    </xf>
    <xf numFmtId="168" fontId="3" fillId="0" borderId="0" xfId="0" applyNumberFormat="1" applyFont="1" applyAlignment="1">
      <alignment horizontal="left" indent="1"/>
    </xf>
    <xf numFmtId="0" fontId="2" fillId="0" borderId="20" xfId="0" applyNumberFormat="1" applyFont="1" applyBorder="1"/>
    <xf numFmtId="166" fontId="2" fillId="0" borderId="16" xfId="0" applyNumberFormat="1" applyFont="1" applyBorder="1"/>
    <xf numFmtId="164" fontId="2" fillId="0" borderId="16" xfId="0" applyFont="1" applyBorder="1"/>
    <xf numFmtId="165" fontId="2" fillId="0" borderId="16" xfId="0" applyNumberFormat="1" applyFont="1" applyBorder="1"/>
    <xf numFmtId="168" fontId="2" fillId="0" borderId="16" xfId="0" applyNumberFormat="1" applyFont="1" applyBorder="1"/>
    <xf numFmtId="165" fontId="2" fillId="0" borderId="21" xfId="0" applyNumberFormat="1" applyFont="1" applyBorder="1"/>
    <xf numFmtId="168" fontId="0" fillId="0" borderId="17" xfId="0" applyNumberFormat="1" applyBorder="1"/>
    <xf numFmtId="165" fontId="0" fillId="0" borderId="17" xfId="0" applyNumberFormat="1" applyBorder="1"/>
    <xf numFmtId="164" fontId="2" fillId="0" borderId="0" xfId="0" applyFont="1" applyAlignment="1">
      <alignment horizontal="left"/>
    </xf>
    <xf numFmtId="164" fontId="15" fillId="0" borderId="89" xfId="0" applyFont="1" applyBorder="1" applyProtection="1">
      <protection locked="0"/>
    </xf>
    <xf numFmtId="164" fontId="2" fillId="6" borderId="0" xfId="0" applyFont="1" applyFill="1" applyProtection="1">
      <protection locked="0"/>
    </xf>
    <xf numFmtId="164" fontId="2" fillId="4" borderId="0" xfId="0" applyFont="1" applyFill="1" applyProtection="1">
      <protection locked="0"/>
    </xf>
    <xf numFmtId="164" fontId="3" fillId="0" borderId="59" xfId="0" quotePrefix="1" applyFont="1" applyBorder="1" applyProtection="1">
      <protection locked="0"/>
    </xf>
    <xf numFmtId="164" fontId="5" fillId="0" borderId="16" xfId="0" quotePrefix="1" applyFont="1" applyBorder="1"/>
    <xf numFmtId="0" fontId="5" fillId="9" borderId="88" xfId="0" applyNumberFormat="1" applyFont="1" applyFill="1" applyBorder="1"/>
    <xf numFmtId="0" fontId="5" fillId="9" borderId="19" xfId="0" applyNumberFormat="1" applyFont="1" applyFill="1" applyBorder="1"/>
    <xf numFmtId="165" fontId="5" fillId="9" borderId="19" xfId="0" applyNumberFormat="1" applyFont="1" applyFill="1" applyBorder="1"/>
    <xf numFmtId="164" fontId="5" fillId="9" borderId="16" xfId="0" applyFont="1" applyFill="1" applyBorder="1"/>
    <xf numFmtId="165" fontId="5" fillId="9" borderId="16" xfId="0" applyNumberFormat="1" applyFont="1" applyFill="1" applyBorder="1"/>
    <xf numFmtId="166" fontId="5" fillId="9" borderId="16" xfId="0" applyNumberFormat="1" applyFont="1" applyFill="1" applyBorder="1"/>
    <xf numFmtId="168" fontId="5" fillId="9" borderId="16" xfId="0" applyNumberFormat="1" applyFont="1" applyFill="1" applyBorder="1"/>
    <xf numFmtId="169" fontId="5" fillId="9" borderId="16" xfId="0" applyNumberFormat="1" applyFont="1" applyFill="1" applyBorder="1"/>
    <xf numFmtId="164" fontId="5" fillId="9" borderId="16" xfId="0" applyFont="1" applyFill="1" applyBorder="1" applyAlignment="1">
      <alignment horizontal="left"/>
    </xf>
    <xf numFmtId="164" fontId="5" fillId="9" borderId="21" xfId="0" applyFont="1" applyFill="1" applyBorder="1"/>
    <xf numFmtId="164" fontId="5" fillId="9" borderId="16" xfId="0" quotePrefix="1" applyFont="1" applyFill="1" applyBorder="1" applyAlignment="1">
      <alignment horizontal="left"/>
    </xf>
    <xf numFmtId="164" fontId="5" fillId="9" borderId="16" xfId="0" quotePrefix="1" applyFont="1" applyFill="1" applyBorder="1"/>
    <xf numFmtId="164" fontId="0" fillId="0" borderId="0" xfId="0" quotePrefix="1" applyProtection="1">
      <protection locked="0"/>
    </xf>
    <xf numFmtId="0" fontId="5" fillId="5" borderId="20" xfId="0" applyNumberFormat="1" applyFont="1" applyFill="1" applyBorder="1" applyAlignment="1">
      <alignment horizontal="right"/>
    </xf>
    <xf numFmtId="166" fontId="5" fillId="5" borderId="16" xfId="0" applyNumberFormat="1" applyFont="1" applyFill="1" applyBorder="1"/>
    <xf numFmtId="164" fontId="5" fillId="5" borderId="16" xfId="0" applyFont="1" applyFill="1" applyBorder="1"/>
    <xf numFmtId="165" fontId="5" fillId="5" borderId="16" xfId="0" applyNumberFormat="1" applyFont="1" applyFill="1" applyBorder="1"/>
    <xf numFmtId="168" fontId="5" fillId="5" borderId="16" xfId="0" applyNumberFormat="1" applyFont="1" applyFill="1" applyBorder="1"/>
    <xf numFmtId="165" fontId="5" fillId="5" borderId="21" xfId="0" applyNumberFormat="1" applyFont="1" applyFill="1" applyBorder="1"/>
    <xf numFmtId="164" fontId="5" fillId="10" borderId="16" xfId="0" applyFont="1" applyFill="1" applyBorder="1"/>
    <xf numFmtId="0" fontId="5" fillId="10" borderId="88" xfId="0" applyNumberFormat="1" applyFont="1" applyFill="1" applyBorder="1"/>
    <xf numFmtId="0" fontId="5" fillId="10" borderId="17" xfId="0" applyNumberFormat="1" applyFont="1" applyFill="1" applyBorder="1"/>
    <xf numFmtId="166" fontId="5" fillId="10" borderId="17" xfId="0" applyNumberFormat="1" applyFont="1" applyFill="1" applyBorder="1"/>
    <xf numFmtId="164" fontId="5" fillId="10" borderId="17" xfId="0" applyFont="1" applyFill="1" applyBorder="1"/>
    <xf numFmtId="168" fontId="5" fillId="10" borderId="17" xfId="0" applyNumberFormat="1" applyFont="1" applyFill="1" applyBorder="1"/>
    <xf numFmtId="165" fontId="5" fillId="10" borderId="17" xfId="0" applyNumberFormat="1" applyFont="1" applyFill="1" applyBorder="1"/>
    <xf numFmtId="164" fontId="5" fillId="10" borderId="18" xfId="0" applyFont="1" applyFill="1" applyBorder="1"/>
    <xf numFmtId="0" fontId="5" fillId="10" borderId="19" xfId="0" applyNumberFormat="1" applyFont="1" applyFill="1" applyBorder="1"/>
    <xf numFmtId="0" fontId="2" fillId="10" borderId="20" xfId="0" applyNumberFormat="1" applyFont="1" applyFill="1" applyBorder="1"/>
    <xf numFmtId="164" fontId="2" fillId="10" borderId="16" xfId="0" applyFont="1" applyFill="1" applyBorder="1"/>
    <xf numFmtId="165" fontId="2" fillId="10" borderId="16" xfId="0" applyNumberFormat="1" applyFont="1" applyFill="1" applyBorder="1"/>
    <xf numFmtId="168" fontId="2" fillId="10" borderId="16" xfId="0" applyNumberFormat="1" applyFont="1" applyFill="1" applyBorder="1"/>
    <xf numFmtId="165" fontId="2" fillId="10" borderId="21" xfId="0" applyNumberFormat="1" applyFont="1" applyFill="1" applyBorder="1"/>
    <xf numFmtId="0" fontId="5" fillId="10" borderId="20" xfId="0" applyNumberFormat="1" applyFont="1" applyFill="1" applyBorder="1" applyAlignment="1">
      <alignment horizontal="right"/>
    </xf>
    <xf numFmtId="166" fontId="5" fillId="10" borderId="16" xfId="0" applyNumberFormat="1" applyFont="1" applyFill="1" applyBorder="1"/>
    <xf numFmtId="165" fontId="5" fillId="10" borderId="16" xfId="0" applyNumberFormat="1" applyFont="1" applyFill="1" applyBorder="1"/>
    <xf numFmtId="168" fontId="5" fillId="10" borderId="16" xfId="0" applyNumberFormat="1" applyFont="1" applyFill="1" applyBorder="1"/>
    <xf numFmtId="165" fontId="5" fillId="10" borderId="21" xfId="0" applyNumberFormat="1" applyFont="1" applyFill="1" applyBorder="1"/>
    <xf numFmtId="165" fontId="5" fillId="10" borderId="19" xfId="0" applyNumberFormat="1" applyFont="1" applyFill="1" applyBorder="1"/>
    <xf numFmtId="169" fontId="5" fillId="10" borderId="16" xfId="0" applyNumberFormat="1" applyFont="1" applyFill="1" applyBorder="1"/>
    <xf numFmtId="164" fontId="5" fillId="10" borderId="16" xfId="0" applyFont="1" applyFill="1" applyBorder="1" applyAlignment="1">
      <alignment horizontal="left"/>
    </xf>
    <xf numFmtId="164" fontId="5" fillId="10" borderId="21" xfId="0" applyFont="1" applyFill="1" applyBorder="1"/>
    <xf numFmtId="164" fontId="5" fillId="10" borderId="16" xfId="0" quotePrefix="1" applyFont="1" applyFill="1" applyBorder="1" applyAlignment="1">
      <alignment horizontal="left"/>
    </xf>
    <xf numFmtId="164" fontId="5" fillId="10" borderId="16" xfId="0" quotePrefix="1" applyFont="1" applyFill="1" applyBorder="1"/>
    <xf numFmtId="165" fontId="16" fillId="10" borderId="17" xfId="0" applyNumberFormat="1" applyFont="1" applyFill="1" applyBorder="1"/>
    <xf numFmtId="164" fontId="16" fillId="10" borderId="17" xfId="0" applyFont="1" applyFill="1" applyBorder="1"/>
    <xf numFmtId="0" fontId="5" fillId="0" borderId="20" xfId="0" applyNumberFormat="1" applyFont="1" applyBorder="1" applyAlignment="1">
      <alignment horizontal="right"/>
    </xf>
    <xf numFmtId="165" fontId="0" fillId="0" borderId="90" xfId="0" applyNumberFormat="1" applyBorder="1"/>
    <xf numFmtId="166" fontId="0" fillId="0" borderId="16" xfId="0" applyNumberFormat="1" applyBorder="1"/>
    <xf numFmtId="0" fontId="0" fillId="0" borderId="20" xfId="0" applyNumberFormat="1" applyBorder="1" applyAlignment="1">
      <alignment horizontal="right"/>
    </xf>
    <xf numFmtId="1" fontId="5" fillId="0" borderId="16" xfId="0" applyNumberFormat="1" applyFont="1" applyBorder="1"/>
    <xf numFmtId="0" fontId="2" fillId="11" borderId="20" xfId="0" applyNumberFormat="1" applyFont="1" applyFill="1" applyBorder="1"/>
    <xf numFmtId="166" fontId="2" fillId="11" borderId="16" xfId="0" applyNumberFormat="1" applyFont="1" applyFill="1" applyBorder="1"/>
    <xf numFmtId="164" fontId="2" fillId="11" borderId="16" xfId="0" applyFont="1" applyFill="1" applyBorder="1"/>
    <xf numFmtId="165" fontId="2" fillId="11" borderId="16" xfId="0" applyNumberFormat="1" applyFont="1" applyFill="1" applyBorder="1"/>
    <xf numFmtId="168" fontId="2" fillId="11" borderId="16" xfId="0" applyNumberFormat="1" applyFont="1" applyFill="1" applyBorder="1"/>
    <xf numFmtId="165" fontId="2" fillId="11" borderId="21" xfId="0" applyNumberFormat="1" applyFont="1" applyFill="1" applyBorder="1"/>
    <xf numFmtId="0" fontId="2" fillId="0" borderId="20" xfId="0" applyNumberFormat="1" applyFont="1" applyBorder="1" applyAlignment="1">
      <alignment horizontal="right"/>
    </xf>
    <xf numFmtId="0" fontId="2" fillId="0" borderId="91" xfId="0" applyNumberFormat="1" applyFont="1" applyBorder="1"/>
    <xf numFmtId="164" fontId="0" fillId="0" borderId="16" xfId="0" applyBorder="1"/>
    <xf numFmtId="164" fontId="5" fillId="5" borderId="17" xfId="0" applyFont="1" applyFill="1" applyBorder="1"/>
    <xf numFmtId="0" fontId="0" fillId="0" borderId="19" xfId="0" applyNumberFormat="1" applyBorder="1"/>
    <xf numFmtId="165" fontId="5" fillId="12" borderId="17" xfId="0" applyNumberFormat="1" applyFont="1" applyFill="1" applyBorder="1"/>
    <xf numFmtId="164" fontId="0" fillId="13" borderId="0" xfId="0" applyFill="1"/>
    <xf numFmtId="164" fontId="0" fillId="7" borderId="0" xfId="0" applyFill="1"/>
    <xf numFmtId="164" fontId="0" fillId="9" borderId="0" xfId="0" applyFill="1"/>
    <xf numFmtId="164" fontId="0" fillId="5" borderId="0" xfId="0" applyFill="1" applyProtection="1">
      <protection locked="0"/>
    </xf>
    <xf numFmtId="164" fontId="6" fillId="5" borderId="0" xfId="0" applyFont="1" applyFill="1" applyProtection="1">
      <protection locked="0"/>
    </xf>
    <xf numFmtId="171" fontId="2" fillId="0" borderId="0" xfId="0" applyNumberFormat="1" applyFont="1" applyProtection="1">
      <protection locked="0"/>
    </xf>
    <xf numFmtId="164" fontId="5" fillId="7" borderId="16" xfId="0" applyFont="1" applyFill="1" applyBorder="1"/>
    <xf numFmtId="0" fontId="5" fillId="11" borderId="17" xfId="0" applyNumberFormat="1" applyFont="1" applyFill="1" applyBorder="1"/>
    <xf numFmtId="166" fontId="5" fillId="11" borderId="17" xfId="0" applyNumberFormat="1" applyFont="1" applyFill="1" applyBorder="1"/>
    <xf numFmtId="164" fontId="5" fillId="11" borderId="17" xfId="0" applyFont="1" applyFill="1" applyBorder="1"/>
    <xf numFmtId="168" fontId="5" fillId="11" borderId="17" xfId="0" applyNumberFormat="1" applyFont="1" applyFill="1" applyBorder="1"/>
    <xf numFmtId="165" fontId="5" fillId="11" borderId="17" xfId="0" applyNumberFormat="1" applyFont="1" applyFill="1" applyBorder="1"/>
    <xf numFmtId="164" fontId="5" fillId="11" borderId="18" xfId="0" applyFont="1" applyFill="1" applyBorder="1"/>
    <xf numFmtId="0" fontId="5" fillId="11" borderId="19" xfId="0" applyNumberFormat="1" applyFont="1" applyFill="1" applyBorder="1"/>
    <xf numFmtId="0" fontId="5" fillId="14" borderId="17" xfId="0" applyNumberFormat="1" applyFont="1" applyFill="1" applyBorder="1"/>
    <xf numFmtId="166" fontId="5" fillId="14" borderId="17" xfId="0" applyNumberFormat="1" applyFont="1" applyFill="1" applyBorder="1"/>
    <xf numFmtId="164" fontId="5" fillId="14" borderId="17" xfId="0" applyFont="1" applyFill="1" applyBorder="1"/>
    <xf numFmtId="168" fontId="5" fillId="14" borderId="17" xfId="0" applyNumberFormat="1" applyFont="1" applyFill="1" applyBorder="1"/>
    <xf numFmtId="165" fontId="5" fillId="14" borderId="17" xfId="0" applyNumberFormat="1" applyFont="1" applyFill="1" applyBorder="1"/>
    <xf numFmtId="164" fontId="5" fillId="14" borderId="18" xfId="0" applyFont="1" applyFill="1" applyBorder="1"/>
    <xf numFmtId="0" fontId="5" fillId="14" borderId="19" xfId="0" applyNumberFormat="1" applyFont="1" applyFill="1" applyBorder="1"/>
    <xf numFmtId="164" fontId="18" fillId="0" borderId="0" xfId="0" applyFont="1" applyProtection="1">
      <protection locked="0"/>
    </xf>
    <xf numFmtId="166" fontId="20" fillId="10" borderId="16" xfId="0" applyNumberFormat="1" applyFont="1" applyFill="1" applyBorder="1"/>
    <xf numFmtId="164" fontId="20" fillId="0" borderId="59" xfId="0" applyFont="1" applyBorder="1" applyAlignment="1" applyProtection="1">
      <alignment horizontal="center"/>
      <protection locked="0"/>
    </xf>
    <xf numFmtId="164" fontId="20" fillId="10" borderId="16" xfId="0" applyFont="1" applyFill="1" applyBorder="1"/>
    <xf numFmtId="165" fontId="20" fillId="10" borderId="17" xfId="0" applyNumberFormat="1" applyFont="1" applyFill="1" applyBorder="1"/>
    <xf numFmtId="165" fontId="20" fillId="10" borderId="16" xfId="0" applyNumberFormat="1" applyFont="1" applyFill="1" applyBorder="1"/>
    <xf numFmtId="0" fontId="5" fillId="14" borderId="20" xfId="0" applyNumberFormat="1" applyFont="1" applyFill="1" applyBorder="1" applyAlignment="1">
      <alignment horizontal="right"/>
    </xf>
    <xf numFmtId="164" fontId="5" fillId="14" borderId="16" xfId="0" applyFont="1" applyFill="1" applyBorder="1"/>
    <xf numFmtId="165" fontId="5" fillId="14" borderId="16" xfId="0" applyNumberFormat="1" applyFont="1" applyFill="1" applyBorder="1"/>
    <xf numFmtId="168" fontId="5" fillId="14" borderId="16" xfId="0" applyNumberFormat="1" applyFont="1" applyFill="1" applyBorder="1"/>
    <xf numFmtId="165" fontId="5" fillId="14" borderId="21" xfId="0" applyNumberFormat="1" applyFont="1" applyFill="1" applyBorder="1"/>
    <xf numFmtId="164" fontId="20" fillId="0" borderId="17" xfId="0" applyFont="1" applyBorder="1"/>
    <xf numFmtId="164" fontId="20" fillId="0" borderId="0" xfId="0" applyFont="1" applyAlignment="1">
      <alignment horizontal="right"/>
    </xf>
    <xf numFmtId="166" fontId="20" fillId="0" borderId="16" xfId="0" applyNumberFormat="1" applyFont="1" applyBorder="1"/>
    <xf numFmtId="165" fontId="20" fillId="0" borderId="16" xfId="0" applyNumberFormat="1" applyFont="1" applyBorder="1"/>
    <xf numFmtId="164" fontId="20" fillId="0" borderId="16" xfId="0" applyFont="1" applyBorder="1"/>
    <xf numFmtId="164" fontId="20" fillId="0" borderId="0" xfId="0" applyFont="1" applyAlignment="1">
      <alignment horizontal="left"/>
    </xf>
    <xf numFmtId="0" fontId="20" fillId="0" borderId="88" xfId="0" applyNumberFormat="1" applyFont="1" applyBorder="1"/>
    <xf numFmtId="0" fontId="20" fillId="0" borderId="19" xfId="0" applyNumberFormat="1" applyFont="1" applyBorder="1"/>
    <xf numFmtId="166" fontId="20" fillId="0" borderId="17" xfId="0" applyNumberFormat="1" applyFont="1" applyBorder="1"/>
    <xf numFmtId="168" fontId="20" fillId="0" borderId="17" xfId="0" applyNumberFormat="1" applyFont="1" applyBorder="1"/>
    <xf numFmtId="165" fontId="20" fillId="0" borderId="17" xfId="0" applyNumberFormat="1" applyFont="1" applyBorder="1"/>
    <xf numFmtId="164" fontId="20" fillId="0" borderId="18" xfId="0" applyFont="1" applyBorder="1"/>
    <xf numFmtId="164" fontId="0" fillId="0" borderId="17" xfId="0" applyBorder="1"/>
    <xf numFmtId="164" fontId="19" fillId="0" borderId="0" xfId="0" quotePrefix="1" applyFont="1" applyProtection="1">
      <protection locked="0"/>
    </xf>
    <xf numFmtId="164" fontId="20" fillId="0" borderId="0" xfId="0" quotePrefix="1" applyFont="1" applyProtection="1">
      <protection locked="0"/>
    </xf>
    <xf numFmtId="164" fontId="19" fillId="0" borderId="0" xfId="0" applyFont="1" applyProtection="1">
      <protection locked="0"/>
    </xf>
    <xf numFmtId="166" fontId="19" fillId="0" borderId="0" xfId="0" applyNumberFormat="1" applyFont="1" applyProtection="1">
      <protection locked="0"/>
    </xf>
    <xf numFmtId="0" fontId="20" fillId="0" borderId="20" xfId="0" applyNumberFormat="1" applyFont="1" applyBorder="1" applyAlignment="1">
      <alignment horizontal="right"/>
    </xf>
    <xf numFmtId="164" fontId="20" fillId="0" borderId="0" xfId="0" applyFont="1" applyProtection="1">
      <protection locked="0"/>
    </xf>
    <xf numFmtId="164" fontId="23" fillId="0" borderId="0" xfId="0" applyFont="1" applyProtection="1">
      <protection locked="0"/>
    </xf>
    <xf numFmtId="0" fontId="2" fillId="17" borderId="20" xfId="0" applyNumberFormat="1" applyFont="1" applyFill="1" applyBorder="1"/>
    <xf numFmtId="166" fontId="20" fillId="17" borderId="16" xfId="0" applyNumberFormat="1" applyFont="1" applyFill="1" applyBorder="1"/>
    <xf numFmtId="164" fontId="2" fillId="17" borderId="16" xfId="0" applyFont="1" applyFill="1" applyBorder="1"/>
    <xf numFmtId="165" fontId="2" fillId="17" borderId="16" xfId="0" applyNumberFormat="1" applyFont="1" applyFill="1" applyBorder="1"/>
    <xf numFmtId="168" fontId="2" fillId="17" borderId="16" xfId="0" applyNumberFormat="1" applyFont="1" applyFill="1" applyBorder="1"/>
    <xf numFmtId="165" fontId="2" fillId="17" borderId="21" xfId="0" applyNumberFormat="1" applyFont="1" applyFill="1" applyBorder="1"/>
    <xf numFmtId="0" fontId="0" fillId="17" borderId="20" xfId="0" applyNumberFormat="1" applyFill="1" applyBorder="1"/>
    <xf numFmtId="164" fontId="0" fillId="17" borderId="16" xfId="0" applyFill="1" applyBorder="1"/>
    <xf numFmtId="165" fontId="0" fillId="17" borderId="16" xfId="0" applyNumberFormat="1" applyFill="1" applyBorder="1"/>
    <xf numFmtId="168" fontId="0" fillId="17" borderId="16" xfId="0" applyNumberFormat="1" applyFill="1" applyBorder="1"/>
    <xf numFmtId="165" fontId="0" fillId="17" borderId="21" xfId="0" applyNumberFormat="1" applyFill="1" applyBorder="1"/>
    <xf numFmtId="0" fontId="5" fillId="16" borderId="20" xfId="0" applyNumberFormat="1" applyFont="1" applyFill="1" applyBorder="1" applyAlignment="1">
      <alignment horizontal="right"/>
    </xf>
    <xf numFmtId="166" fontId="19" fillId="16" borderId="16" xfId="0" applyNumberFormat="1" applyFont="1" applyFill="1" applyBorder="1"/>
    <xf numFmtId="164" fontId="5" fillId="16" borderId="16" xfId="0" applyFont="1" applyFill="1" applyBorder="1"/>
    <xf numFmtId="165" fontId="5" fillId="16" borderId="16" xfId="0" applyNumberFormat="1" applyFont="1" applyFill="1" applyBorder="1"/>
    <xf numFmtId="168" fontId="5" fillId="16" borderId="16" xfId="0" applyNumberFormat="1" applyFont="1" applyFill="1" applyBorder="1"/>
    <xf numFmtId="165" fontId="5" fillId="16" borderId="21" xfId="0" applyNumberFormat="1" applyFont="1" applyFill="1" applyBorder="1"/>
    <xf numFmtId="0" fontId="2" fillId="16" borderId="20" xfId="0" applyNumberFormat="1" applyFont="1" applyFill="1" applyBorder="1"/>
    <xf numFmtId="164" fontId="2" fillId="16" borderId="16" xfId="0" applyFont="1" applyFill="1" applyBorder="1"/>
    <xf numFmtId="165" fontId="2" fillId="16" borderId="16" xfId="0" applyNumberFormat="1" applyFont="1" applyFill="1" applyBorder="1"/>
    <xf numFmtId="168" fontId="2" fillId="16" borderId="16" xfId="0" applyNumberFormat="1" applyFont="1" applyFill="1" applyBorder="1"/>
    <xf numFmtId="165" fontId="2" fillId="16" borderId="21" xfId="0" applyNumberFormat="1" applyFont="1" applyFill="1" applyBorder="1"/>
    <xf numFmtId="0" fontId="0" fillId="0" borderId="20" xfId="0" applyNumberFormat="1" applyBorder="1"/>
    <xf numFmtId="165" fontId="0" fillId="0" borderId="16" xfId="0" applyNumberFormat="1" applyBorder="1"/>
    <xf numFmtId="168" fontId="0" fillId="0" borderId="16" xfId="0" applyNumberFormat="1" applyBorder="1"/>
    <xf numFmtId="165" fontId="0" fillId="0" borderId="21" xfId="0" applyNumberFormat="1" applyBorder="1"/>
    <xf numFmtId="164" fontId="17" fillId="0" borderId="16" xfId="0" applyFont="1" applyBorder="1"/>
    <xf numFmtId="165" fontId="17" fillId="0" borderId="16" xfId="0" applyNumberFormat="1" applyFont="1" applyBorder="1"/>
    <xf numFmtId="164" fontId="20" fillId="10" borderId="18" xfId="0" applyFont="1" applyFill="1" applyBorder="1"/>
    <xf numFmtId="164" fontId="20" fillId="10" borderId="17" xfId="0" applyFont="1" applyFill="1" applyBorder="1"/>
    <xf numFmtId="164" fontId="19" fillId="0" borderId="0" xfId="0" applyFont="1"/>
    <xf numFmtId="166" fontId="19" fillId="0" borderId="16" xfId="0" applyNumberFormat="1" applyFont="1" applyBorder="1"/>
    <xf numFmtId="164" fontId="19" fillId="0" borderId="16" xfId="0" applyFont="1" applyBorder="1"/>
    <xf numFmtId="0" fontId="19" fillId="0" borderId="88" xfId="0" applyNumberFormat="1" applyFont="1" applyBorder="1"/>
    <xf numFmtId="0" fontId="19" fillId="0" borderId="19" xfId="0" applyNumberFormat="1" applyFont="1" applyBorder="1"/>
    <xf numFmtId="166" fontId="19" fillId="0" borderId="17" xfId="0" applyNumberFormat="1" applyFont="1" applyBorder="1"/>
    <xf numFmtId="164" fontId="19" fillId="0" borderId="17" xfId="0" applyFont="1" applyBorder="1"/>
    <xf numFmtId="168" fontId="19" fillId="0" borderId="17" xfId="0" applyNumberFormat="1" applyFont="1" applyBorder="1"/>
    <xf numFmtId="165" fontId="19" fillId="0" borderId="17" xfId="0" applyNumberFormat="1" applyFont="1" applyBorder="1"/>
    <xf numFmtId="0" fontId="19" fillId="0" borderId="17" xfId="0" applyNumberFormat="1" applyFont="1" applyBorder="1"/>
    <xf numFmtId="164" fontId="24" fillId="0" borderId="0" xfId="2" applyProtection="1">
      <protection locked="0"/>
    </xf>
    <xf numFmtId="164" fontId="20" fillId="0" borderId="0" xfId="0" applyFont="1"/>
    <xf numFmtId="164" fontId="19" fillId="11" borderId="18" xfId="0" applyFont="1" applyFill="1" applyBorder="1"/>
    <xf numFmtId="166" fontId="20" fillId="18" borderId="16" xfId="0" applyNumberFormat="1" applyFont="1" applyFill="1" applyBorder="1"/>
    <xf numFmtId="164" fontId="5" fillId="18" borderId="16" xfId="0" applyFont="1" applyFill="1" applyBorder="1"/>
    <xf numFmtId="164" fontId="20" fillId="18" borderId="16" xfId="0" applyFont="1" applyFill="1" applyBorder="1"/>
    <xf numFmtId="165" fontId="20" fillId="18" borderId="16" xfId="0" applyNumberFormat="1" applyFont="1" applyFill="1" applyBorder="1"/>
    <xf numFmtId="168" fontId="5" fillId="18" borderId="16" xfId="0" applyNumberFormat="1" applyFont="1" applyFill="1" applyBorder="1"/>
    <xf numFmtId="165" fontId="5" fillId="18" borderId="21" xfId="0" applyNumberFormat="1" applyFont="1" applyFill="1" applyBorder="1"/>
    <xf numFmtId="0" fontId="20" fillId="18" borderId="20" xfId="0" applyNumberFormat="1" applyFont="1" applyFill="1" applyBorder="1" applyAlignment="1">
      <alignment horizontal="right"/>
    </xf>
    <xf numFmtId="164" fontId="19" fillId="18" borderId="16" xfId="0" applyFont="1" applyFill="1" applyBorder="1"/>
    <xf numFmtId="168" fontId="19" fillId="18" borderId="16" xfId="0" applyNumberFormat="1" applyFont="1" applyFill="1" applyBorder="1"/>
    <xf numFmtId="165" fontId="20" fillId="18" borderId="21" xfId="0" applyNumberFormat="1" applyFont="1" applyFill="1" applyBorder="1"/>
    <xf numFmtId="164" fontId="20" fillId="14" borderId="18" xfId="0" applyFont="1" applyFill="1" applyBorder="1"/>
    <xf numFmtId="164" fontId="19" fillId="5" borderId="16" xfId="0" applyFont="1" applyFill="1" applyBorder="1"/>
    <xf numFmtId="0" fontId="5" fillId="5" borderId="17" xfId="0" applyNumberFormat="1" applyFont="1" applyFill="1" applyBorder="1"/>
    <xf numFmtId="166" fontId="5" fillId="5" borderId="17" xfId="0" applyNumberFormat="1" applyFont="1" applyFill="1" applyBorder="1"/>
    <xf numFmtId="168" fontId="5" fillId="5" borderId="17" xfId="0" applyNumberFormat="1" applyFont="1" applyFill="1" applyBorder="1"/>
    <xf numFmtId="165" fontId="5" fillId="5" borderId="17" xfId="0" applyNumberFormat="1" applyFont="1" applyFill="1" applyBorder="1"/>
    <xf numFmtId="164" fontId="5" fillId="5" borderId="18" xfId="0" applyFont="1" applyFill="1" applyBorder="1"/>
    <xf numFmtId="0" fontId="5" fillId="5" borderId="19" xfId="0" applyNumberFormat="1" applyFont="1" applyFill="1" applyBorder="1"/>
    <xf numFmtId="165" fontId="16" fillId="5" borderId="17" xfId="0" applyNumberFormat="1" applyFont="1" applyFill="1" applyBorder="1"/>
    <xf numFmtId="164" fontId="19" fillId="5" borderId="17" xfId="0" applyFont="1" applyFill="1" applyBorder="1"/>
    <xf numFmtId="165" fontId="19" fillId="5" borderId="16" xfId="0" applyNumberFormat="1" applyFont="1" applyFill="1" applyBorder="1"/>
    <xf numFmtId="0" fontId="5" fillId="18" borderId="20" xfId="0" applyNumberFormat="1" applyFont="1" applyFill="1" applyBorder="1" applyAlignment="1">
      <alignment horizontal="right"/>
    </xf>
    <xf numFmtId="165" fontId="5" fillId="18" borderId="16" xfId="0" applyNumberFormat="1" applyFont="1" applyFill="1" applyBorder="1"/>
    <xf numFmtId="166" fontId="5" fillId="14" borderId="16" xfId="0" applyNumberFormat="1" applyFont="1" applyFill="1" applyBorder="1"/>
    <xf numFmtId="0" fontId="5" fillId="18" borderId="17" xfId="0" applyNumberFormat="1" applyFont="1" applyFill="1" applyBorder="1"/>
    <xf numFmtId="166" fontId="5" fillId="18" borderId="17" xfId="0" applyNumberFormat="1" applyFont="1" applyFill="1" applyBorder="1"/>
    <xf numFmtId="164" fontId="5" fillId="18" borderId="17" xfId="0" applyFont="1" applyFill="1" applyBorder="1"/>
    <xf numFmtId="168" fontId="5" fillId="18" borderId="17" xfId="0" applyNumberFormat="1" applyFont="1" applyFill="1" applyBorder="1"/>
    <xf numFmtId="165" fontId="5" fillId="18" borderId="17" xfId="0" applyNumberFormat="1" applyFont="1" applyFill="1" applyBorder="1"/>
    <xf numFmtId="164" fontId="5" fillId="18" borderId="18" xfId="0" applyFont="1" applyFill="1" applyBorder="1"/>
    <xf numFmtId="0" fontId="5" fillId="18" borderId="19" xfId="0" applyNumberFormat="1" applyFont="1" applyFill="1" applyBorder="1"/>
    <xf numFmtId="166" fontId="19" fillId="18" borderId="17" xfId="0" applyNumberFormat="1" applyFont="1" applyFill="1" applyBorder="1"/>
    <xf numFmtId="164" fontId="19" fillId="18" borderId="17" xfId="0" applyFont="1" applyFill="1" applyBorder="1"/>
    <xf numFmtId="165" fontId="19" fillId="18" borderId="17" xfId="0" applyNumberFormat="1" applyFont="1" applyFill="1" applyBorder="1"/>
    <xf numFmtId="0" fontId="19" fillId="18" borderId="17" xfId="0" applyNumberFormat="1" applyFont="1" applyFill="1" applyBorder="1"/>
    <xf numFmtId="0" fontId="19" fillId="18" borderId="19" xfId="0" applyNumberFormat="1" applyFont="1" applyFill="1" applyBorder="1"/>
    <xf numFmtId="168" fontId="19" fillId="18" borderId="17" xfId="0" applyNumberFormat="1" applyFont="1" applyFill="1" applyBorder="1"/>
    <xf numFmtId="166" fontId="0" fillId="18" borderId="17" xfId="0" applyNumberFormat="1" applyFill="1" applyBorder="1"/>
    <xf numFmtId="164" fontId="0" fillId="18" borderId="17" xfId="0" applyFill="1" applyBorder="1"/>
    <xf numFmtId="164" fontId="19" fillId="18" borderId="18" xfId="0" applyFont="1" applyFill="1" applyBorder="1"/>
    <xf numFmtId="164" fontId="2" fillId="16" borderId="59" xfId="0" applyFont="1" applyFill="1" applyBorder="1" applyProtection="1">
      <protection locked="0"/>
    </xf>
    <xf numFmtId="164" fontId="2" fillId="17" borderId="59" xfId="0" applyFont="1" applyFill="1" applyBorder="1" applyProtection="1">
      <protection locked="0"/>
    </xf>
    <xf numFmtId="164" fontId="2" fillId="9" borderId="59" xfId="0" applyFont="1" applyFill="1" applyBorder="1" applyProtection="1">
      <protection locked="0"/>
    </xf>
    <xf numFmtId="164" fontId="2" fillId="8" borderId="59" xfId="0" applyFont="1" applyFill="1" applyBorder="1" applyProtection="1">
      <protection locked="0"/>
    </xf>
    <xf numFmtId="164" fontId="2" fillId="10" borderId="59" xfId="0" applyFont="1" applyFill="1" applyBorder="1" applyProtection="1">
      <protection locked="0"/>
    </xf>
    <xf numFmtId="164" fontId="2" fillId="13" borderId="59" xfId="0" applyFont="1" applyFill="1" applyBorder="1" applyProtection="1">
      <protection locked="0"/>
    </xf>
    <xf numFmtId="164" fontId="18" fillId="11" borderId="59" xfId="0" applyFont="1" applyFill="1" applyBorder="1" applyProtection="1">
      <protection locked="0"/>
    </xf>
    <xf numFmtId="164" fontId="2" fillId="14" borderId="59" xfId="0" applyFont="1" applyFill="1" applyBorder="1" applyProtection="1">
      <protection locked="0"/>
    </xf>
    <xf numFmtId="164" fontId="2" fillId="18" borderId="59" xfId="0" applyFont="1" applyFill="1" applyBorder="1" applyProtection="1">
      <protection locked="0"/>
    </xf>
    <xf numFmtId="164" fontId="14" fillId="5" borderId="57" xfId="0" applyFont="1" applyFill="1" applyBorder="1" applyAlignment="1" applyProtection="1">
      <alignment horizontal="center"/>
      <protection locked="0"/>
    </xf>
    <xf numFmtId="164" fontId="14" fillId="5" borderId="45" xfId="0" applyFont="1" applyFill="1" applyBorder="1" applyAlignment="1" applyProtection="1">
      <alignment horizontal="center"/>
      <protection locked="0"/>
    </xf>
    <xf numFmtId="164" fontId="14" fillId="5" borderId="48" xfId="0" applyFont="1" applyFill="1" applyBorder="1" applyAlignment="1" applyProtection="1">
      <alignment horizontal="center"/>
      <protection locked="0"/>
    </xf>
    <xf numFmtId="164" fontId="5" fillId="13" borderId="16" xfId="0" applyFont="1" applyFill="1" applyBorder="1"/>
    <xf numFmtId="166" fontId="20" fillId="14" borderId="16" xfId="0" applyNumberFormat="1" applyFont="1" applyFill="1" applyBorder="1"/>
    <xf numFmtId="164" fontId="2" fillId="5" borderId="59" xfId="0" applyFont="1" applyFill="1" applyBorder="1" applyProtection="1">
      <protection locked="0"/>
    </xf>
    <xf numFmtId="0" fontId="5" fillId="16" borderId="88" xfId="0" applyNumberFormat="1" applyFont="1" applyFill="1" applyBorder="1"/>
    <xf numFmtId="0" fontId="5" fillId="16" borderId="17" xfId="0" applyNumberFormat="1" applyFont="1" applyFill="1" applyBorder="1"/>
    <xf numFmtId="166" fontId="5" fillId="16" borderId="17" xfId="0" applyNumberFormat="1" applyFont="1" applyFill="1" applyBorder="1"/>
    <xf numFmtId="164" fontId="5" fillId="16" borderId="17" xfId="0" applyFont="1" applyFill="1" applyBorder="1"/>
    <xf numFmtId="168" fontId="5" fillId="16" borderId="17" xfId="0" applyNumberFormat="1" applyFont="1" applyFill="1" applyBorder="1"/>
    <xf numFmtId="165" fontId="5" fillId="16" borderId="17" xfId="0" applyNumberFormat="1" applyFont="1" applyFill="1" applyBorder="1"/>
    <xf numFmtId="164" fontId="5" fillId="16" borderId="18" xfId="0" applyFont="1" applyFill="1" applyBorder="1"/>
    <xf numFmtId="0" fontId="5" fillId="16" borderId="19" xfId="0" applyNumberFormat="1" applyFont="1" applyFill="1" applyBorder="1"/>
    <xf numFmtId="166" fontId="20" fillId="16" borderId="17" xfId="0" applyNumberFormat="1" applyFont="1" applyFill="1" applyBorder="1"/>
    <xf numFmtId="165" fontId="20" fillId="16" borderId="17" xfId="0" applyNumberFormat="1" applyFont="1" applyFill="1" applyBorder="1"/>
    <xf numFmtId="0" fontId="5" fillId="17" borderId="88" xfId="0" applyNumberFormat="1" applyFont="1" applyFill="1" applyBorder="1"/>
    <xf numFmtId="0" fontId="5" fillId="17" borderId="17" xfId="0" applyNumberFormat="1" applyFont="1" applyFill="1" applyBorder="1"/>
    <xf numFmtId="166" fontId="5" fillId="17" borderId="17" xfId="0" applyNumberFormat="1" applyFont="1" applyFill="1" applyBorder="1"/>
    <xf numFmtId="164" fontId="5" fillId="17" borderId="17" xfId="0" applyFont="1" applyFill="1" applyBorder="1"/>
    <xf numFmtId="168" fontId="5" fillId="17" borderId="17" xfId="0" applyNumberFormat="1" applyFont="1" applyFill="1" applyBorder="1"/>
    <xf numFmtId="165" fontId="5" fillId="17" borderId="17" xfId="0" applyNumberFormat="1" applyFont="1" applyFill="1" applyBorder="1"/>
    <xf numFmtId="164" fontId="5" fillId="17" borderId="18" xfId="0" applyFont="1" applyFill="1" applyBorder="1"/>
    <xf numFmtId="0" fontId="5" fillId="17" borderId="19" xfId="0" applyNumberFormat="1" applyFont="1" applyFill="1" applyBorder="1"/>
    <xf numFmtId="0" fontId="5" fillId="9" borderId="17" xfId="0" applyNumberFormat="1" applyFont="1" applyFill="1" applyBorder="1"/>
    <xf numFmtId="166" fontId="5" fillId="9" borderId="17" xfId="0" applyNumberFormat="1" applyFont="1" applyFill="1" applyBorder="1"/>
    <xf numFmtId="164" fontId="5" fillId="9" borderId="17" xfId="0" applyFont="1" applyFill="1" applyBorder="1"/>
    <xf numFmtId="168" fontId="5" fillId="9" borderId="17" xfId="0" applyNumberFormat="1" applyFont="1" applyFill="1" applyBorder="1"/>
    <xf numFmtId="165" fontId="5" fillId="9" borderId="17" xfId="0" applyNumberFormat="1" applyFont="1" applyFill="1" applyBorder="1"/>
    <xf numFmtId="164" fontId="5" fillId="9" borderId="18" xfId="0" applyFont="1" applyFill="1" applyBorder="1"/>
    <xf numFmtId="164" fontId="20" fillId="9" borderId="18" xfId="0" applyFont="1" applyFill="1" applyBorder="1"/>
    <xf numFmtId="0" fontId="5" fillId="8" borderId="88" xfId="0" applyNumberFormat="1" applyFont="1" applyFill="1" applyBorder="1"/>
    <xf numFmtId="0" fontId="5" fillId="8" borderId="17" xfId="0" applyNumberFormat="1" applyFont="1" applyFill="1" applyBorder="1"/>
    <xf numFmtId="166" fontId="5" fillId="8" borderId="17" xfId="0" applyNumberFormat="1" applyFont="1" applyFill="1" applyBorder="1"/>
    <xf numFmtId="164" fontId="5" fillId="8" borderId="17" xfId="0" applyFont="1" applyFill="1" applyBorder="1"/>
    <xf numFmtId="168" fontId="5" fillId="8" borderId="17" xfId="0" applyNumberFormat="1" applyFont="1" applyFill="1" applyBorder="1"/>
    <xf numFmtId="165" fontId="5" fillId="8" borderId="17" xfId="0" applyNumberFormat="1" applyFont="1" applyFill="1" applyBorder="1"/>
    <xf numFmtId="164" fontId="5" fillId="8" borderId="18" xfId="0" applyFont="1" applyFill="1" applyBorder="1"/>
    <xf numFmtId="0" fontId="5" fillId="8" borderId="19" xfId="0" applyNumberFormat="1" applyFont="1" applyFill="1" applyBorder="1"/>
    <xf numFmtId="0" fontId="5" fillId="19" borderId="17" xfId="0" applyNumberFormat="1" applyFont="1" applyFill="1" applyBorder="1"/>
    <xf numFmtId="166" fontId="5" fillId="19" borderId="17" xfId="0" applyNumberFormat="1" applyFont="1" applyFill="1" applyBorder="1"/>
    <xf numFmtId="164" fontId="5" fillId="19" borderId="17" xfId="0" applyFont="1" applyFill="1" applyBorder="1"/>
    <xf numFmtId="168" fontId="5" fillId="19" borderId="17" xfId="0" applyNumberFormat="1" applyFont="1" applyFill="1" applyBorder="1"/>
    <xf numFmtId="165" fontId="5" fillId="19" borderId="17" xfId="0" applyNumberFormat="1" applyFont="1" applyFill="1" applyBorder="1"/>
    <xf numFmtId="164" fontId="5" fillId="19" borderId="18" xfId="0" applyFont="1" applyFill="1" applyBorder="1"/>
    <xf numFmtId="0" fontId="5" fillId="19" borderId="19" xfId="0" applyNumberFormat="1" applyFont="1" applyFill="1" applyBorder="1"/>
    <xf numFmtId="164" fontId="2" fillId="19" borderId="59" xfId="0" applyFont="1" applyFill="1" applyBorder="1" applyProtection="1">
      <protection locked="0"/>
    </xf>
    <xf numFmtId="164" fontId="2" fillId="15" borderId="59" xfId="0" applyFont="1" applyFill="1" applyBorder="1" applyProtection="1">
      <protection locked="0"/>
    </xf>
    <xf numFmtId="164" fontId="25" fillId="0" borderId="0" xfId="0" applyFont="1"/>
    <xf numFmtId="0" fontId="2" fillId="0" borderId="82" xfId="0" applyNumberFormat="1" applyFont="1" applyBorder="1"/>
    <xf numFmtId="166" fontId="19" fillId="0" borderId="83" xfId="0" applyNumberFormat="1" applyFont="1" applyBorder="1"/>
    <xf numFmtId="164" fontId="19" fillId="0" borderId="83" xfId="0" applyFont="1" applyBorder="1"/>
    <xf numFmtId="164" fontId="2" fillId="0" borderId="83" xfId="0" applyFont="1" applyBorder="1" applyAlignment="1">
      <alignment horizontal="right"/>
    </xf>
    <xf numFmtId="165" fontId="2" fillId="0" borderId="83" xfId="0" applyNumberFormat="1" applyFont="1" applyBorder="1" applyAlignment="1">
      <alignment horizontal="right"/>
    </xf>
    <xf numFmtId="168" fontId="0" fillId="0" borderId="83" xfId="0" applyNumberFormat="1" applyBorder="1" applyAlignment="1">
      <alignment horizontal="right"/>
    </xf>
    <xf numFmtId="165" fontId="19" fillId="0" borderId="16" xfId="0" applyNumberFormat="1" applyFont="1" applyBorder="1"/>
    <xf numFmtId="164" fontId="0" fillId="20" borderId="0" xfId="0" applyFill="1" applyProtection="1">
      <protection locked="0"/>
    </xf>
    <xf numFmtId="0" fontId="5" fillId="12" borderId="20" xfId="0" applyNumberFormat="1" applyFont="1" applyFill="1" applyBorder="1" applyAlignment="1">
      <alignment horizontal="right"/>
    </xf>
    <xf numFmtId="166" fontId="0" fillId="12" borderId="16" xfId="0" applyNumberFormat="1" applyFill="1" applyBorder="1"/>
    <xf numFmtId="166" fontId="5" fillId="12" borderId="16" xfId="0" applyNumberFormat="1" applyFont="1" applyFill="1" applyBorder="1"/>
    <xf numFmtId="164" fontId="5" fillId="12" borderId="16" xfId="0" applyFont="1" applyFill="1" applyBorder="1"/>
    <xf numFmtId="165" fontId="5" fillId="12" borderId="16" xfId="0" applyNumberFormat="1" applyFont="1" applyFill="1" applyBorder="1"/>
    <xf numFmtId="168" fontId="5" fillId="12" borderId="16" xfId="0" applyNumberFormat="1" applyFont="1" applyFill="1" applyBorder="1"/>
    <xf numFmtId="165" fontId="5" fillId="12" borderId="21" xfId="0" applyNumberFormat="1" applyFont="1" applyFill="1" applyBorder="1"/>
    <xf numFmtId="0" fontId="5" fillId="12" borderId="88" xfId="0" applyNumberFormat="1" applyFont="1" applyFill="1" applyBorder="1"/>
    <xf numFmtId="0" fontId="5" fillId="12" borderId="17" xfId="0" applyNumberFormat="1" applyFont="1" applyFill="1" applyBorder="1"/>
    <xf numFmtId="166" fontId="5" fillId="12" borderId="17" xfId="0" applyNumberFormat="1" applyFont="1" applyFill="1" applyBorder="1"/>
    <xf numFmtId="164" fontId="5" fillId="12" borderId="17" xfId="0" applyFont="1" applyFill="1" applyBorder="1"/>
    <xf numFmtId="168" fontId="5" fillId="12" borderId="17" xfId="0" applyNumberFormat="1" applyFont="1" applyFill="1" applyBorder="1"/>
    <xf numFmtId="164" fontId="5" fillId="12" borderId="18" xfId="0" applyFont="1" applyFill="1" applyBorder="1"/>
    <xf numFmtId="0" fontId="5" fillId="12" borderId="19" xfId="0" applyNumberFormat="1" applyFont="1" applyFill="1" applyBorder="1"/>
    <xf numFmtId="164" fontId="2" fillId="12" borderId="0" xfId="0" applyFont="1" applyFill="1" applyProtection="1">
      <protection locked="0"/>
    </xf>
    <xf numFmtId="164" fontId="0" fillId="12" borderId="0" xfId="0" applyFill="1" applyProtection="1">
      <protection locked="0"/>
    </xf>
    <xf numFmtId="166" fontId="5" fillId="0" borderId="99" xfId="0" applyNumberFormat="1" applyFont="1" applyBorder="1"/>
    <xf numFmtId="164" fontId="5" fillId="0" borderId="99" xfId="0" applyFont="1" applyBorder="1"/>
    <xf numFmtId="165" fontId="5" fillId="0" borderId="99" xfId="0" applyNumberFormat="1" applyFont="1" applyBorder="1"/>
    <xf numFmtId="168" fontId="5" fillId="0" borderId="99" xfId="0" applyNumberFormat="1" applyFont="1" applyBorder="1"/>
    <xf numFmtId="165" fontId="5" fillId="0" borderId="100" xfId="0" applyNumberFormat="1" applyFont="1" applyBorder="1"/>
    <xf numFmtId="171" fontId="3" fillId="0" borderId="59" xfId="0" applyNumberFormat="1" applyFont="1" applyBorder="1" applyProtection="1">
      <protection locked="0"/>
    </xf>
    <xf numFmtId="164" fontId="2" fillId="0" borderId="59" xfId="0" applyFont="1" applyBorder="1" applyProtection="1">
      <protection locked="0"/>
    </xf>
    <xf numFmtId="164" fontId="5" fillId="19" borderId="16" xfId="0" applyFont="1" applyFill="1" applyBorder="1"/>
    <xf numFmtId="168" fontId="5" fillId="19" borderId="16" xfId="0" applyNumberFormat="1" applyFont="1" applyFill="1" applyBorder="1"/>
    <xf numFmtId="165" fontId="5" fillId="19" borderId="16" xfId="0" applyNumberFormat="1" applyFont="1" applyFill="1" applyBorder="1"/>
    <xf numFmtId="165" fontId="5" fillId="19" borderId="21" xfId="0" applyNumberFormat="1" applyFont="1" applyFill="1" applyBorder="1"/>
    <xf numFmtId="164" fontId="26" fillId="19" borderId="16" xfId="0" applyFont="1" applyFill="1" applyBorder="1"/>
    <xf numFmtId="166" fontId="26" fillId="19" borderId="16" xfId="0" applyNumberFormat="1" applyFont="1" applyFill="1" applyBorder="1"/>
    <xf numFmtId="165" fontId="26" fillId="19" borderId="16" xfId="0" applyNumberFormat="1" applyFont="1" applyFill="1" applyBorder="1"/>
    <xf numFmtId="0" fontId="26" fillId="19" borderId="20" xfId="0" applyNumberFormat="1" applyFont="1" applyFill="1" applyBorder="1" applyAlignment="1">
      <alignment horizontal="right"/>
    </xf>
    <xf numFmtId="164" fontId="0" fillId="21" borderId="0" xfId="0" applyFill="1" applyAlignment="1" applyProtection="1">
      <alignment horizontal="center"/>
      <protection locked="0"/>
    </xf>
    <xf numFmtId="0" fontId="5" fillId="21" borderId="88" xfId="0" applyNumberFormat="1" applyFont="1" applyFill="1" applyBorder="1"/>
    <xf numFmtId="0" fontId="5" fillId="21" borderId="17" xfId="0" applyNumberFormat="1" applyFont="1" applyFill="1" applyBorder="1"/>
    <xf numFmtId="166" fontId="5" fillId="21" borderId="17" xfId="0" applyNumberFormat="1" applyFont="1" applyFill="1" applyBorder="1"/>
    <xf numFmtId="164" fontId="5" fillId="21" borderId="17" xfId="0" applyFont="1" applyFill="1" applyBorder="1"/>
    <xf numFmtId="168" fontId="5" fillId="21" borderId="17" xfId="0" applyNumberFormat="1" applyFont="1" applyFill="1" applyBorder="1"/>
    <xf numFmtId="165" fontId="5" fillId="21" borderId="17" xfId="0" applyNumberFormat="1" applyFont="1" applyFill="1" applyBorder="1"/>
    <xf numFmtId="164" fontId="5" fillId="21" borderId="18" xfId="0" applyFont="1" applyFill="1" applyBorder="1"/>
    <xf numFmtId="164" fontId="2" fillId="21" borderId="0" xfId="0" applyFont="1" applyFill="1" applyProtection="1">
      <protection locked="0"/>
    </xf>
    <xf numFmtId="0" fontId="5" fillId="21" borderId="19" xfId="0" applyNumberFormat="1" applyFont="1" applyFill="1" applyBorder="1"/>
    <xf numFmtId="165" fontId="26" fillId="21" borderId="17" xfId="0" applyNumberFormat="1" applyFont="1" applyFill="1" applyBorder="1"/>
    <xf numFmtId="0" fontId="26" fillId="14" borderId="20" xfId="0" applyNumberFormat="1" applyFont="1" applyFill="1" applyBorder="1" applyAlignment="1">
      <alignment horizontal="right"/>
    </xf>
    <xf numFmtId="164" fontId="26" fillId="14" borderId="16" xfId="0" applyFont="1" applyFill="1" applyBorder="1"/>
    <xf numFmtId="165" fontId="26" fillId="14" borderId="16" xfId="0" applyNumberFormat="1" applyFont="1" applyFill="1" applyBorder="1"/>
    <xf numFmtId="164" fontId="20" fillId="14" borderId="16" xfId="0" applyFont="1" applyFill="1" applyBorder="1"/>
    <xf numFmtId="0" fontId="0" fillId="20" borderId="20" xfId="0" applyNumberFormat="1" applyFill="1" applyBorder="1" applyAlignment="1">
      <alignment horizontal="right"/>
    </xf>
    <xf numFmtId="166" fontId="3" fillId="20" borderId="16" xfId="0" applyNumberFormat="1" applyFont="1" applyFill="1" applyBorder="1"/>
    <xf numFmtId="164" fontId="0" fillId="20" borderId="16" xfId="0" applyFill="1" applyBorder="1"/>
    <xf numFmtId="165" fontId="0" fillId="20" borderId="16" xfId="0" applyNumberFormat="1" applyFill="1" applyBorder="1"/>
    <xf numFmtId="168" fontId="0" fillId="20" borderId="16" xfId="0" applyNumberFormat="1" applyFill="1" applyBorder="1"/>
    <xf numFmtId="165" fontId="0" fillId="20" borderId="21" xfId="0" applyNumberFormat="1" applyFill="1" applyBorder="1"/>
    <xf numFmtId="164" fontId="0" fillId="0" borderId="0" xfId="0" applyAlignment="1" applyProtection="1">
      <alignment horizontal="right"/>
      <protection locked="0"/>
    </xf>
    <xf numFmtId="166" fontId="3" fillId="14" borderId="17" xfId="0" applyNumberFormat="1" applyFont="1" applyFill="1" applyBorder="1"/>
    <xf numFmtId="166" fontId="26" fillId="14" borderId="16" xfId="0" applyNumberFormat="1" applyFont="1" applyFill="1" applyBorder="1"/>
    <xf numFmtId="0" fontId="26" fillId="0" borderId="20" xfId="0" applyNumberFormat="1" applyFont="1" applyBorder="1" applyAlignment="1">
      <alignment horizontal="right"/>
    </xf>
    <xf numFmtId="166" fontId="16" fillId="0" borderId="16" xfId="0" applyNumberFormat="1" applyFont="1" applyBorder="1"/>
    <xf numFmtId="164" fontId="27" fillId="0" borderId="16" xfId="0" applyFont="1" applyBorder="1"/>
    <xf numFmtId="165" fontId="27" fillId="0" borderId="16" xfId="0" applyNumberFormat="1" applyFont="1" applyBorder="1"/>
    <xf numFmtId="166" fontId="26" fillId="0" borderId="16" xfId="0" applyNumberFormat="1" applyFont="1" applyBorder="1"/>
    <xf numFmtId="164" fontId="26" fillId="0" borderId="16" xfId="0" applyFont="1" applyBorder="1"/>
    <xf numFmtId="165" fontId="26" fillId="0" borderId="16" xfId="0" applyNumberFormat="1" applyFont="1" applyBorder="1"/>
    <xf numFmtId="0" fontId="5" fillId="13" borderId="20" xfId="0" applyNumberFormat="1" applyFont="1" applyFill="1" applyBorder="1" applyAlignment="1">
      <alignment horizontal="right"/>
    </xf>
    <xf numFmtId="164" fontId="6" fillId="13" borderId="0" xfId="0" applyFont="1" applyFill="1" applyProtection="1">
      <protection locked="0"/>
    </xf>
    <xf numFmtId="0" fontId="5" fillId="22" borderId="20" xfId="0" applyNumberFormat="1" applyFont="1" applyFill="1" applyBorder="1" applyAlignment="1">
      <alignment horizontal="right"/>
    </xf>
    <xf numFmtId="164" fontId="16" fillId="0" borderId="16" xfId="0" applyFont="1" applyBorder="1"/>
    <xf numFmtId="165" fontId="16" fillId="0" borderId="16" xfId="0" applyNumberFormat="1" applyFont="1" applyBorder="1"/>
    <xf numFmtId="164" fontId="16" fillId="0" borderId="0" xfId="0" applyFont="1" applyProtection="1">
      <protection locked="0"/>
    </xf>
    <xf numFmtId="164" fontId="16" fillId="0" borderId="16" xfId="0" quotePrefix="1" applyFont="1" applyBorder="1" applyAlignment="1">
      <alignment horizontal="right"/>
    </xf>
    <xf numFmtId="164" fontId="16" fillId="0" borderId="16" xfId="0" quotePrefix="1" applyFont="1" applyBorder="1"/>
    <xf numFmtId="165" fontId="16" fillId="0" borderId="17" xfId="0" applyNumberFormat="1" applyFont="1" applyBorder="1"/>
    <xf numFmtId="165" fontId="5" fillId="23" borderId="17" xfId="0" applyNumberFormat="1" applyFont="1" applyFill="1" applyBorder="1"/>
    <xf numFmtId="164" fontId="5" fillId="23" borderId="18" xfId="0" applyFont="1" applyFill="1" applyBorder="1"/>
    <xf numFmtId="164" fontId="16" fillId="0" borderId="17" xfId="0" applyFont="1" applyBorder="1"/>
    <xf numFmtId="0" fontId="5" fillId="13" borderId="17" xfId="0" applyNumberFormat="1" applyFont="1" applyFill="1" applyBorder="1"/>
    <xf numFmtId="164" fontId="16" fillId="0" borderId="18" xfId="0" applyFont="1" applyBorder="1"/>
    <xf numFmtId="164" fontId="2" fillId="0" borderId="96" xfId="0" applyFont="1" applyBorder="1" applyProtection="1">
      <protection locked="0"/>
    </xf>
    <xf numFmtId="164" fontId="6" fillId="24" borderId="0" xfId="0" applyFont="1" applyFill="1" applyProtection="1">
      <protection locked="0"/>
    </xf>
    <xf numFmtId="164" fontId="5" fillId="0" borderId="0" xfId="0" applyFont="1" applyAlignment="1">
      <alignment horizontal="right"/>
    </xf>
    <xf numFmtId="164" fontId="6" fillId="0" borderId="0" xfId="0" applyFont="1" applyAlignment="1" applyProtection="1">
      <alignment horizontal="right"/>
      <protection locked="0"/>
    </xf>
    <xf numFmtId="164" fontId="6" fillId="0" borderId="96" xfId="0" applyFont="1" applyBorder="1" applyAlignment="1" applyProtection="1">
      <alignment horizontal="right"/>
      <protection locked="0"/>
    </xf>
    <xf numFmtId="164" fontId="0" fillId="0" borderId="92" xfId="0" applyBorder="1" applyAlignment="1" applyProtection="1">
      <alignment horizontal="right"/>
      <protection locked="0"/>
    </xf>
    <xf numFmtId="164" fontId="6" fillId="0" borderId="98" xfId="0" applyFont="1" applyBorder="1" applyAlignment="1" applyProtection="1">
      <alignment horizontal="right"/>
      <protection locked="0"/>
    </xf>
    <xf numFmtId="164" fontId="0" fillId="13" borderId="0" xfId="0" applyFill="1" applyAlignment="1" applyProtection="1">
      <alignment horizontal="right"/>
      <protection locked="0"/>
    </xf>
    <xf numFmtId="164" fontId="19" fillId="0" borderId="0" xfId="0" applyFont="1" applyAlignment="1" applyProtection="1">
      <alignment horizontal="right"/>
      <protection locked="0"/>
    </xf>
    <xf numFmtId="164" fontId="0" fillId="13" borderId="0" xfId="0" quotePrefix="1" applyFill="1" applyAlignment="1" applyProtection="1">
      <alignment horizontal="right"/>
      <protection locked="0"/>
    </xf>
    <xf numFmtId="164" fontId="14" fillId="5" borderId="97" xfId="0" applyFont="1" applyFill="1" applyBorder="1" applyAlignment="1" applyProtection="1">
      <alignment horizontal="right"/>
      <protection locked="0"/>
    </xf>
    <xf numFmtId="164" fontId="6" fillId="0" borderId="94" xfId="0" applyFont="1" applyBorder="1" applyAlignment="1" applyProtection="1">
      <alignment horizontal="right"/>
      <protection locked="0"/>
    </xf>
    <xf numFmtId="164" fontId="28" fillId="0" borderId="0" xfId="0" applyFont="1" applyProtection="1">
      <protection locked="0"/>
    </xf>
    <xf numFmtId="165" fontId="5" fillId="25" borderId="17" xfId="0" applyNumberFormat="1" applyFont="1" applyFill="1" applyBorder="1"/>
    <xf numFmtId="164" fontId="5" fillId="23" borderId="16" xfId="0" applyFont="1" applyFill="1" applyBorder="1"/>
    <xf numFmtId="164" fontId="5" fillId="25" borderId="18" xfId="0" applyFont="1" applyFill="1" applyBorder="1"/>
    <xf numFmtId="164" fontId="16" fillId="0" borderId="0" xfId="0" applyFont="1"/>
    <xf numFmtId="171" fontId="0" fillId="0" borderId="0" xfId="3" quotePrefix="1" applyNumberFormat="1" applyFont="1" applyAlignment="1">
      <alignment horizontal="left"/>
    </xf>
    <xf numFmtId="166" fontId="19" fillId="0" borderId="0" xfId="0" applyNumberFormat="1" applyFont="1" applyAlignment="1" applyProtection="1">
      <alignment horizontal="right"/>
      <protection locked="0"/>
    </xf>
    <xf numFmtId="166" fontId="0" fillId="0" borderId="0" xfId="0" applyNumberFormat="1" applyAlignment="1" applyProtection="1">
      <alignment horizontal="right"/>
      <protection locked="0"/>
    </xf>
    <xf numFmtId="166" fontId="6" fillId="0" borderId="0" xfId="0" applyNumberFormat="1" applyFont="1" applyAlignment="1" applyProtection="1">
      <alignment horizontal="right"/>
      <protection locked="0"/>
    </xf>
    <xf numFmtId="0" fontId="5" fillId="14" borderId="88" xfId="0" applyNumberFormat="1" applyFont="1" applyFill="1" applyBorder="1"/>
    <xf numFmtId="0" fontId="5" fillId="26" borderId="20" xfId="0" applyNumberFormat="1" applyFont="1" applyFill="1" applyBorder="1" applyAlignment="1">
      <alignment horizontal="right"/>
    </xf>
    <xf numFmtId="166" fontId="0" fillId="26" borderId="16" xfId="0" applyNumberFormat="1" applyFill="1" applyBorder="1"/>
    <xf numFmtId="164" fontId="5" fillId="26" borderId="16" xfId="0" applyFont="1" applyFill="1" applyBorder="1"/>
    <xf numFmtId="164" fontId="0" fillId="26" borderId="16" xfId="0" applyFill="1" applyBorder="1"/>
    <xf numFmtId="165" fontId="5" fillId="26" borderId="16" xfId="0" applyNumberFormat="1" applyFont="1" applyFill="1" applyBorder="1"/>
    <xf numFmtId="168" fontId="5" fillId="26" borderId="16" xfId="0" applyNumberFormat="1" applyFont="1" applyFill="1" applyBorder="1"/>
    <xf numFmtId="165" fontId="5" fillId="26" borderId="21" xfId="0" applyNumberFormat="1" applyFont="1" applyFill="1" applyBorder="1"/>
    <xf numFmtId="166" fontId="5" fillId="26" borderId="16" xfId="0" applyNumberFormat="1" applyFont="1" applyFill="1" applyBorder="1"/>
    <xf numFmtId="165" fontId="0" fillId="26" borderId="16" xfId="0" applyNumberFormat="1" applyFill="1" applyBorder="1"/>
    <xf numFmtId="168" fontId="0" fillId="26" borderId="16" xfId="0" applyNumberFormat="1" applyFill="1" applyBorder="1"/>
    <xf numFmtId="164" fontId="3" fillId="26" borderId="16" xfId="0" applyFont="1" applyFill="1" applyBorder="1"/>
    <xf numFmtId="165" fontId="3" fillId="26" borderId="16" xfId="0" applyNumberFormat="1" applyFont="1" applyFill="1" applyBorder="1"/>
    <xf numFmtId="164" fontId="0" fillId="26" borderId="0" xfId="0" applyFill="1" applyProtection="1">
      <protection locked="0"/>
    </xf>
    <xf numFmtId="0" fontId="5" fillId="26" borderId="88" xfId="0" applyNumberFormat="1" applyFont="1" applyFill="1" applyBorder="1"/>
    <xf numFmtId="0" fontId="5" fillId="26" borderId="17" xfId="0" applyNumberFormat="1" applyFont="1" applyFill="1" applyBorder="1"/>
    <xf numFmtId="166" fontId="5" fillId="26" borderId="17" xfId="0" applyNumberFormat="1" applyFont="1" applyFill="1" applyBorder="1"/>
    <xf numFmtId="164" fontId="5" fillId="26" borderId="17" xfId="0" applyFont="1" applyFill="1" applyBorder="1"/>
    <xf numFmtId="168" fontId="5" fillId="26" borderId="17" xfId="0" applyNumberFormat="1" applyFont="1" applyFill="1" applyBorder="1"/>
    <xf numFmtId="165" fontId="5" fillId="26" borderId="17" xfId="0" applyNumberFormat="1" applyFont="1" applyFill="1" applyBorder="1"/>
    <xf numFmtId="164" fontId="5" fillId="26" borderId="18" xfId="0" applyFont="1" applyFill="1" applyBorder="1"/>
    <xf numFmtId="0" fontId="5" fillId="26" borderId="19" xfId="0" applyNumberFormat="1" applyFont="1" applyFill="1" applyBorder="1"/>
    <xf numFmtId="164" fontId="2" fillId="26" borderId="0" xfId="0" applyFont="1" applyFill="1" applyProtection="1">
      <protection locked="0"/>
    </xf>
    <xf numFmtId="165" fontId="16" fillId="26" borderId="17" xfId="0" applyNumberFormat="1" applyFont="1" applyFill="1" applyBorder="1"/>
    <xf numFmtId="164" fontId="0" fillId="26" borderId="17" xfId="0" applyFill="1" applyBorder="1"/>
    <xf numFmtId="164" fontId="0" fillId="26" borderId="18" xfId="0" applyFill="1" applyBorder="1"/>
    <xf numFmtId="165" fontId="0" fillId="26" borderId="17" xfId="0" applyNumberFormat="1" applyFill="1" applyBorder="1" applyAlignment="1">
      <alignment horizontal="right"/>
    </xf>
    <xf numFmtId="165" fontId="3" fillId="26" borderId="17" xfId="0" applyNumberFormat="1" applyFont="1" applyFill="1" applyBorder="1"/>
    <xf numFmtId="165" fontId="0" fillId="26" borderId="17" xfId="0" applyNumberFormat="1" applyFill="1" applyBorder="1"/>
    <xf numFmtId="165" fontId="29" fillId="26" borderId="17" xfId="0" applyNumberFormat="1" applyFont="1" applyFill="1" applyBorder="1"/>
    <xf numFmtId="164" fontId="2" fillId="26" borderId="96" xfId="0" applyFont="1" applyFill="1" applyBorder="1" applyProtection="1">
      <protection locked="0"/>
    </xf>
    <xf numFmtId="165" fontId="5" fillId="26" borderId="19" xfId="0" applyNumberFormat="1" applyFont="1" applyFill="1" applyBorder="1"/>
    <xf numFmtId="169" fontId="5" fillId="26" borderId="16" xfId="0" applyNumberFormat="1" applyFont="1" applyFill="1" applyBorder="1"/>
    <xf numFmtId="164" fontId="5" fillId="26" borderId="16" xfId="0" applyFont="1" applyFill="1" applyBorder="1" applyAlignment="1">
      <alignment horizontal="left"/>
    </xf>
    <xf numFmtId="164" fontId="5" fillId="26" borderId="21" xfId="0" applyFont="1" applyFill="1" applyBorder="1"/>
    <xf numFmtId="164" fontId="5" fillId="26" borderId="16" xfId="0" quotePrefix="1" applyFont="1" applyFill="1" applyBorder="1" applyAlignment="1">
      <alignment horizontal="left"/>
    </xf>
    <xf numFmtId="164" fontId="5" fillId="26" borderId="16" xfId="0" quotePrefix="1" applyFont="1" applyFill="1" applyBorder="1"/>
    <xf numFmtId="164" fontId="5" fillId="0" borderId="101" xfId="0" applyFont="1" applyBorder="1"/>
    <xf numFmtId="164" fontId="0" fillId="0" borderId="102" xfId="0" applyBorder="1" applyProtection="1">
      <protection locked="0"/>
    </xf>
    <xf numFmtId="164" fontId="0" fillId="0" borderId="103" xfId="0" applyBorder="1"/>
    <xf numFmtId="164" fontId="0" fillId="0" borderId="104" xfId="0" applyBorder="1" applyProtection="1">
      <protection locked="0"/>
    </xf>
    <xf numFmtId="164" fontId="0" fillId="14" borderId="57" xfId="0" applyFill="1" applyBorder="1" applyAlignment="1" applyProtection="1">
      <alignment horizontal="center" vertical="center" wrapText="1"/>
      <protection locked="0"/>
    </xf>
    <xf numFmtId="164" fontId="0" fillId="14" borderId="45" xfId="0" applyFill="1" applyBorder="1" applyAlignment="1" applyProtection="1">
      <alignment horizontal="center" vertical="center" wrapText="1"/>
      <protection locked="0"/>
    </xf>
    <xf numFmtId="164" fontId="0" fillId="14" borderId="48" xfId="0" applyFill="1" applyBorder="1" applyAlignment="1" applyProtection="1">
      <alignment horizontal="center" vertical="center" wrapText="1"/>
      <protection locked="0"/>
    </xf>
    <xf numFmtId="164" fontId="0" fillId="11" borderId="57" xfId="0" applyFill="1" applyBorder="1" applyAlignment="1" applyProtection="1">
      <alignment horizontal="center" vertical="center"/>
      <protection locked="0"/>
    </xf>
    <xf numFmtId="164" fontId="0" fillId="11" borderId="45" xfId="0" applyFill="1" applyBorder="1" applyAlignment="1" applyProtection="1">
      <alignment horizontal="center" vertical="center"/>
      <protection locked="0"/>
    </xf>
    <xf numFmtId="164" fontId="0" fillId="11" borderId="48" xfId="0" applyFill="1" applyBorder="1" applyAlignment="1" applyProtection="1">
      <alignment horizontal="center" vertical="center"/>
      <protection locked="0"/>
    </xf>
    <xf numFmtId="164" fontId="0" fillId="18" borderId="57" xfId="0" applyFill="1" applyBorder="1" applyAlignment="1" applyProtection="1">
      <alignment horizontal="center" vertical="center"/>
      <protection locked="0"/>
    </xf>
    <xf numFmtId="164" fontId="0" fillId="18" borderId="45" xfId="0" applyFill="1" applyBorder="1" applyAlignment="1" applyProtection="1">
      <alignment horizontal="center" vertical="center"/>
      <protection locked="0"/>
    </xf>
    <xf numFmtId="164" fontId="0" fillId="18" borderId="48" xfId="0" applyFill="1" applyBorder="1" applyAlignment="1" applyProtection="1">
      <alignment horizontal="center" vertical="center"/>
      <protection locked="0"/>
    </xf>
    <xf numFmtId="164" fontId="0" fillId="19" borderId="57" xfId="0" applyFill="1" applyBorder="1" applyAlignment="1" applyProtection="1">
      <alignment horizontal="center" vertical="center"/>
      <protection locked="0"/>
    </xf>
    <xf numFmtId="164" fontId="0" fillId="19" borderId="45" xfId="0" applyFill="1" applyBorder="1" applyAlignment="1" applyProtection="1">
      <alignment horizontal="center" vertical="center"/>
      <protection locked="0"/>
    </xf>
    <xf numFmtId="164" fontId="0" fillId="19" borderId="48" xfId="0" applyFill="1" applyBorder="1" applyAlignment="1" applyProtection="1">
      <alignment horizontal="center" vertical="center"/>
      <protection locked="0"/>
    </xf>
    <xf numFmtId="164" fontId="0" fillId="16" borderId="92" xfId="0" applyFill="1" applyBorder="1" applyAlignment="1" applyProtection="1">
      <alignment horizontal="center" vertical="center"/>
      <protection locked="0"/>
    </xf>
    <xf numFmtId="164" fontId="0" fillId="16" borderId="95" xfId="0" applyFill="1" applyBorder="1" applyAlignment="1" applyProtection="1">
      <alignment horizontal="center" vertical="center"/>
      <protection locked="0"/>
    </xf>
    <xf numFmtId="164" fontId="0" fillId="16" borderId="93" xfId="0" applyFill="1" applyBorder="1" applyAlignment="1" applyProtection="1">
      <alignment horizontal="center" vertical="center"/>
      <protection locked="0"/>
    </xf>
    <xf numFmtId="164" fontId="0" fillId="9" borderId="92" xfId="0" applyFill="1" applyBorder="1" applyAlignment="1" applyProtection="1">
      <alignment horizontal="center" vertical="center"/>
      <protection locked="0"/>
    </xf>
    <xf numFmtId="164" fontId="0" fillId="9" borderId="95" xfId="0" applyFill="1" applyBorder="1" applyAlignment="1" applyProtection="1">
      <alignment horizontal="center" vertical="center"/>
      <protection locked="0"/>
    </xf>
    <xf numFmtId="164" fontId="0" fillId="9" borderId="93" xfId="0" applyFill="1" applyBorder="1" applyAlignment="1" applyProtection="1">
      <alignment horizontal="center" vertical="center"/>
      <protection locked="0"/>
    </xf>
    <xf numFmtId="164" fontId="0" fillId="8" borderId="92" xfId="0" applyFill="1" applyBorder="1" applyAlignment="1" applyProtection="1">
      <alignment horizontal="center" vertical="center"/>
      <protection locked="0"/>
    </xf>
    <xf numFmtId="164" fontId="0" fillId="8" borderId="95" xfId="0" applyFill="1" applyBorder="1" applyAlignment="1" applyProtection="1">
      <alignment horizontal="center" vertical="center"/>
      <protection locked="0"/>
    </xf>
    <xf numFmtId="164" fontId="0" fillId="8" borderId="93" xfId="0" applyFill="1" applyBorder="1" applyAlignment="1" applyProtection="1">
      <alignment horizontal="center" vertical="center"/>
      <protection locked="0"/>
    </xf>
    <xf numFmtId="164" fontId="0" fillId="17" borderId="94" xfId="0" applyFill="1" applyBorder="1" applyAlignment="1" applyProtection="1">
      <alignment horizontal="center" vertical="center"/>
      <protection locked="0"/>
    </xf>
    <xf numFmtId="164" fontId="0" fillId="10" borderId="92" xfId="0" applyFill="1" applyBorder="1" applyAlignment="1" applyProtection="1">
      <alignment horizontal="center" vertical="center"/>
      <protection locked="0"/>
    </xf>
    <xf numFmtId="164" fontId="0" fillId="10" borderId="95" xfId="0" applyFill="1" applyBorder="1" applyAlignment="1" applyProtection="1">
      <alignment horizontal="center" vertical="center"/>
      <protection locked="0"/>
    </xf>
    <xf numFmtId="164" fontId="0" fillId="10" borderId="93" xfId="0" applyFill="1" applyBorder="1" applyAlignment="1" applyProtection="1">
      <alignment horizontal="center" vertical="center"/>
      <protection locked="0"/>
    </xf>
    <xf numFmtId="164" fontId="0" fillId="16" borderId="98" xfId="0" applyFill="1" applyBorder="1" applyAlignment="1" applyProtection="1">
      <alignment horizontal="right" vertical="center"/>
      <protection locked="0"/>
    </xf>
    <xf numFmtId="164" fontId="0" fillId="16" borderId="96" xfId="0" applyFill="1" applyBorder="1" applyAlignment="1" applyProtection="1">
      <alignment horizontal="right" vertical="center"/>
      <protection locked="0"/>
    </xf>
    <xf numFmtId="164" fontId="3" fillId="3" borderId="61" xfId="0" applyFont="1" applyFill="1" applyBorder="1" applyAlignment="1">
      <alignment horizontal="right"/>
    </xf>
  </cellXfs>
  <cellStyles count="4">
    <cellStyle name="Hyperlink" xfId="2" builtinId="8"/>
    <cellStyle name="Normal" xfId="0" builtinId="0"/>
    <cellStyle name="Normal 2" xfId="3" xr:uid="{11E0BF9E-F920-427A-8997-E1789E127C5F}"/>
    <cellStyle name="Normal_H&amp;H" xfId="1" xr:uid="{00000000-0005-0000-0000-000003000000}"/>
  </cellStyles>
  <dxfs count="40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CC3300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2</v>
  </rv>
  <rv s="1">
    <v>2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Brendanp\AppData\Local\Microsoft\Windows\Current%20H&amp;H\Excel\Temp%20H&amp;H\YP%20Entire%20System\BX-Ref\BX-45B.pdf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syncVertical="1" syncRef="F60" transitionEvaluation="1" codeName="Sheet1"/>
  <dimension ref="A1:EB749"/>
  <sheetViews>
    <sheetView showGridLines="0" view="pageBreakPreview" zoomScale="70" zoomScaleNormal="70" zoomScaleSheetLayoutView="70" workbookViewId="0">
      <pane xSplit="5" ySplit="9" topLeftCell="F60" activePane="bottomRight" state="frozen"/>
      <selection activeCell="A478" sqref="A478"/>
      <selection pane="topRight" activeCell="F478" sqref="F478"/>
      <selection pane="bottomLeft" activeCell="A478" sqref="A478"/>
      <selection pane="bottomRight" activeCell="B13" sqref="B13"/>
    </sheetView>
  </sheetViews>
  <sheetFormatPr defaultColWidth="9.77734375" defaultRowHeight="15" x14ac:dyDescent="0.2"/>
  <cols>
    <col min="1" max="1" width="7" style="98" bestFit="1" customWidth="1"/>
    <col min="2" max="2" width="6.77734375" style="98" customWidth="1"/>
    <col min="3" max="3" width="8.109375" style="98" customWidth="1"/>
    <col min="4" max="4" width="7.77734375" style="98" customWidth="1"/>
    <col min="5" max="5" width="8.77734375" style="98" customWidth="1"/>
    <col min="6" max="6" width="6.77734375" style="98" customWidth="1"/>
    <col min="7" max="7" width="7.77734375" style="98" customWidth="1"/>
    <col min="8" max="8" width="8.77734375" style="98" customWidth="1"/>
    <col min="9" max="11" width="7.77734375" style="98" customWidth="1"/>
    <col min="12" max="12" width="6.77734375" style="98" customWidth="1"/>
    <col min="13" max="13" width="7.77734375" style="98" customWidth="1"/>
    <col min="14" max="16" width="5.77734375" style="98" customWidth="1"/>
    <col min="17" max="18" width="6.77734375" style="98" customWidth="1"/>
    <col min="19" max="19" width="4.77734375" style="98" customWidth="1"/>
    <col min="20" max="20" width="6.77734375" style="98" customWidth="1"/>
    <col min="21" max="22" width="8.77734375" style="98" customWidth="1"/>
    <col min="23" max="23" width="5.77734375" style="98" customWidth="1"/>
    <col min="24" max="25" width="6.77734375" style="98" customWidth="1"/>
    <col min="26" max="27" width="8.77734375" style="98" customWidth="1"/>
    <col min="28" max="28" width="10.77734375" style="98" customWidth="1"/>
    <col min="29" max="29" width="12.21875" style="98" bestFit="1" customWidth="1"/>
    <col min="30" max="30" width="10.44140625" style="98" customWidth="1"/>
    <col min="31" max="36" width="9.77734375" style="98"/>
    <col min="37" max="37" width="23.21875" style="98" customWidth="1"/>
    <col min="38" max="48" width="9.77734375" style="98"/>
    <col min="49" max="49" width="16.77734375" style="98" customWidth="1"/>
    <col min="50" max="16384" width="9.77734375" style="98"/>
  </cols>
  <sheetData>
    <row r="1" spans="1:132" s="1" customFormat="1" ht="18" x14ac:dyDescent="0.25">
      <c r="A1" s="6"/>
      <c r="B1" s="5" t="s">
        <v>0</v>
      </c>
      <c r="C1" s="103"/>
      <c r="D1" s="103"/>
      <c r="E1" s="103"/>
      <c r="F1" s="103"/>
      <c r="G1" s="103"/>
      <c r="H1" s="103"/>
      <c r="I1" s="104"/>
      <c r="J1" s="104"/>
      <c r="K1" s="105"/>
      <c r="L1" s="105"/>
      <c r="M1" s="105"/>
      <c r="N1" s="105"/>
      <c r="O1" s="106"/>
      <c r="P1" s="106"/>
      <c r="Q1" s="104"/>
      <c r="R1" s="107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</row>
    <row r="2" spans="1:132" s="1" customFormat="1" ht="18" x14ac:dyDescent="0.25">
      <c r="B2" s="5" t="s">
        <v>1</v>
      </c>
      <c r="C2" s="4"/>
      <c r="D2" s="4"/>
      <c r="E2" s="4"/>
      <c r="F2" s="4"/>
      <c r="G2" s="4"/>
      <c r="H2" s="4"/>
      <c r="I2" s="6"/>
      <c r="K2" s="3"/>
      <c r="L2" s="3"/>
      <c r="M2" s="3"/>
      <c r="N2" s="3"/>
      <c r="O2" s="3"/>
      <c r="P2" s="3"/>
      <c r="V2" s="16" t="s">
        <v>2</v>
      </c>
      <c r="X2" s="30">
        <v>1.6E-2</v>
      </c>
      <c r="Y2" s="6"/>
      <c r="Z2" s="226"/>
      <c r="AA2" s="227"/>
      <c r="AB2" s="16" t="s">
        <v>3</v>
      </c>
      <c r="AC2" s="29">
        <v>382.27</v>
      </c>
    </row>
    <row r="3" spans="1:132" s="1" customFormat="1" ht="18" x14ac:dyDescent="0.25">
      <c r="B3" s="6"/>
      <c r="C3" s="4"/>
      <c r="D3" s="4"/>
      <c r="E3" s="4"/>
      <c r="F3" s="4"/>
      <c r="G3" s="4"/>
      <c r="H3" s="4"/>
      <c r="I3" s="6"/>
      <c r="K3" s="3"/>
      <c r="L3" s="3"/>
      <c r="M3" s="3"/>
      <c r="N3" s="3"/>
      <c r="O3" s="3"/>
      <c r="P3" s="3"/>
      <c r="V3" s="16" t="s">
        <v>6</v>
      </c>
      <c r="X3" s="13">
        <v>0.42</v>
      </c>
      <c r="Y3" s="225"/>
      <c r="Z3" s="242" t="s">
        <v>243</v>
      </c>
      <c r="AA3" s="229">
        <v>2</v>
      </c>
      <c r="AB3" s="237" t="s">
        <v>244</v>
      </c>
      <c r="AC3" s="224">
        <v>6.0049000000000001</v>
      </c>
    </row>
    <row r="4" spans="1:132" s="1" customFormat="1" ht="18" x14ac:dyDescent="0.25">
      <c r="B4" s="13" t="s">
        <v>9</v>
      </c>
      <c r="C4" s="4"/>
      <c r="D4" s="93"/>
      <c r="E4" s="91" t="s">
        <v>258</v>
      </c>
      <c r="F4" s="93"/>
      <c r="G4" s="93"/>
      <c r="H4" s="93"/>
      <c r="I4" s="94"/>
      <c r="J4" s="95" t="s">
        <v>10</v>
      </c>
      <c r="K4" s="95" t="s">
        <v>10</v>
      </c>
      <c r="L4" s="89"/>
      <c r="M4" s="89"/>
      <c r="O4" s="6"/>
      <c r="P4" s="27" t="s">
        <v>11</v>
      </c>
      <c r="Q4" s="92" t="s">
        <v>479</v>
      </c>
      <c r="S4" s="6"/>
      <c r="T4" s="6"/>
      <c r="V4" s="16" t="s">
        <v>12</v>
      </c>
      <c r="X4" s="30">
        <v>1.2999999999999999E-2</v>
      </c>
      <c r="Y4" s="6"/>
      <c r="Z4" s="228" t="s">
        <v>246</v>
      </c>
      <c r="AA4" s="230">
        <v>1.4499999999999999E-3</v>
      </c>
      <c r="AB4" s="16" t="s">
        <v>13</v>
      </c>
      <c r="AC4" s="243">
        <v>5.5411999999999999</v>
      </c>
      <c r="AZ4" s="51"/>
    </row>
    <row r="5" spans="1:132" s="1" customFormat="1" ht="15.75" x14ac:dyDescent="0.25">
      <c r="B5" s="13" t="s">
        <v>15</v>
      </c>
      <c r="C5" s="6"/>
      <c r="D5" s="94"/>
      <c r="E5" s="91" t="s">
        <v>480</v>
      </c>
      <c r="F5" s="89"/>
      <c r="G5" s="89"/>
      <c r="H5" s="89"/>
      <c r="I5" s="89"/>
      <c r="J5" s="89"/>
      <c r="K5" s="96"/>
      <c r="L5" s="97"/>
      <c r="M5" s="96"/>
      <c r="P5" s="16" t="s">
        <v>16</v>
      </c>
      <c r="Q5" s="92" t="s">
        <v>259</v>
      </c>
      <c r="S5" s="6"/>
      <c r="T5" s="6"/>
      <c r="V5" s="16" t="s">
        <v>17</v>
      </c>
      <c r="X5" s="13">
        <v>1.1499999999999999</v>
      </c>
      <c r="Y5" s="6"/>
      <c r="Z5" s="221" t="s">
        <v>247</v>
      </c>
      <c r="AA5" s="231">
        <v>0.02</v>
      </c>
      <c r="AB5" s="16" t="s">
        <v>18</v>
      </c>
      <c r="AC5" s="243">
        <v>-0.62619999999999998</v>
      </c>
    </row>
    <row r="6" spans="1:132" s="1" customFormat="1" ht="16.5" thickBot="1" x14ac:dyDescent="0.3">
      <c r="E6" s="414"/>
      <c r="O6"/>
      <c r="P6" s="354" t="s">
        <v>490</v>
      </c>
      <c r="Q6" s="358" t="s">
        <v>663</v>
      </c>
    </row>
    <row r="7" spans="1:132" s="1" customFormat="1" ht="15.75" x14ac:dyDescent="0.25">
      <c r="B7" s="17" t="s">
        <v>23</v>
      </c>
      <c r="C7" s="17" t="s">
        <v>24</v>
      </c>
      <c r="D7" s="17" t="s">
        <v>24</v>
      </c>
      <c r="E7" s="17" t="s">
        <v>25</v>
      </c>
      <c r="F7" s="17" t="s">
        <v>26</v>
      </c>
      <c r="G7" s="17" t="s">
        <v>27</v>
      </c>
      <c r="H7" s="17" t="s">
        <v>27</v>
      </c>
      <c r="I7" s="17" t="s">
        <v>28</v>
      </c>
      <c r="J7" s="17" t="s">
        <v>28</v>
      </c>
      <c r="K7" s="17" t="s">
        <v>29</v>
      </c>
      <c r="L7" s="17" t="s">
        <v>30</v>
      </c>
      <c r="M7" s="17" t="s">
        <v>31</v>
      </c>
      <c r="N7" s="17" t="s">
        <v>32</v>
      </c>
      <c r="O7" s="17" t="s">
        <v>33</v>
      </c>
      <c r="P7" s="17" t="s">
        <v>34</v>
      </c>
      <c r="Q7" s="17" t="s">
        <v>35</v>
      </c>
      <c r="R7" s="17" t="s">
        <v>36</v>
      </c>
      <c r="S7" s="17" t="s">
        <v>37</v>
      </c>
      <c r="T7" s="239" t="s">
        <v>31</v>
      </c>
      <c r="U7" s="17" t="s">
        <v>38</v>
      </c>
      <c r="V7" s="17" t="s">
        <v>39</v>
      </c>
      <c r="W7" s="17" t="s">
        <v>40</v>
      </c>
      <c r="X7" s="17" t="s">
        <v>41</v>
      </c>
      <c r="Y7" s="17" t="s">
        <v>42</v>
      </c>
      <c r="Z7" s="17" t="s">
        <v>43</v>
      </c>
      <c r="AA7" s="17" t="s">
        <v>44</v>
      </c>
      <c r="AB7" s="17" t="s">
        <v>45</v>
      </c>
      <c r="AC7" s="33" t="s">
        <v>46</v>
      </c>
      <c r="AD7"/>
      <c r="AE7"/>
      <c r="AF7"/>
      <c r="AG7"/>
      <c r="AH7"/>
      <c r="AI7"/>
      <c r="AJ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</row>
    <row r="8" spans="1:132" s="1" customFormat="1" ht="16.5" thickBot="1" x14ac:dyDescent="0.3">
      <c r="B8" s="31" t="s">
        <v>66</v>
      </c>
      <c r="C8" s="31" t="s">
        <v>66</v>
      </c>
      <c r="D8" s="31" t="s">
        <v>47</v>
      </c>
      <c r="E8" s="31" t="s">
        <v>47</v>
      </c>
      <c r="F8" s="32"/>
      <c r="G8" s="31" t="s">
        <v>67</v>
      </c>
      <c r="H8" s="31" t="s">
        <v>68</v>
      </c>
      <c r="I8" s="31" t="s">
        <v>67</v>
      </c>
      <c r="J8" s="31" t="s">
        <v>68</v>
      </c>
      <c r="K8" s="31" t="s">
        <v>69</v>
      </c>
      <c r="L8" s="31" t="s">
        <v>70</v>
      </c>
      <c r="M8" s="31" t="s">
        <v>71</v>
      </c>
      <c r="N8" s="31" t="s">
        <v>72</v>
      </c>
      <c r="O8" s="31" t="s">
        <v>72</v>
      </c>
      <c r="P8" s="31" t="s">
        <v>72</v>
      </c>
      <c r="Q8" s="31" t="s">
        <v>73</v>
      </c>
      <c r="R8" s="31" t="s">
        <v>74</v>
      </c>
      <c r="S8" s="31" t="s">
        <v>75</v>
      </c>
      <c r="T8" s="240" t="s">
        <v>71</v>
      </c>
      <c r="U8" s="31" t="s">
        <v>69</v>
      </c>
      <c r="V8" s="31" t="s">
        <v>70</v>
      </c>
      <c r="W8" s="31" t="s">
        <v>72</v>
      </c>
      <c r="X8" s="31" t="s">
        <v>72</v>
      </c>
      <c r="Y8" s="31" t="s">
        <v>70</v>
      </c>
      <c r="Z8" s="31" t="s">
        <v>76</v>
      </c>
      <c r="AA8" s="31" t="s">
        <v>76</v>
      </c>
      <c r="AB8" s="31" t="s">
        <v>70</v>
      </c>
      <c r="AC8" s="34" t="s">
        <v>76</v>
      </c>
      <c r="AD8"/>
      <c r="AE8"/>
      <c r="AF8"/>
      <c r="AG8"/>
      <c r="AH8"/>
      <c r="AI8"/>
      <c r="AJ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</row>
    <row r="9" spans="1:132" s="1" customFormat="1" ht="9.75" customHeight="1" thickTop="1" thickBot="1" x14ac:dyDescent="0.25"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238"/>
      <c r="U9" s="19"/>
      <c r="V9" s="19"/>
      <c r="W9" s="19"/>
      <c r="X9" s="19"/>
      <c r="Y9" s="19"/>
      <c r="Z9" s="19"/>
      <c r="AA9" s="19"/>
      <c r="AB9" s="19"/>
      <c r="AC9" s="20"/>
      <c r="AD9"/>
      <c r="AE9"/>
      <c r="AF9"/>
      <c r="AG9"/>
      <c r="AH9"/>
      <c r="AI9"/>
      <c r="AJ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</row>
    <row r="10" spans="1:132" s="1" customFormat="1" ht="15.75" thickTop="1" x14ac:dyDescent="0.2">
      <c r="B10" s="209" t="s">
        <v>10</v>
      </c>
      <c r="C10" s="210" t="s">
        <v>10</v>
      </c>
      <c r="D10" s="211" t="s">
        <v>10</v>
      </c>
      <c r="E10" s="211" t="s">
        <v>10</v>
      </c>
      <c r="F10" s="212" t="s">
        <v>10</v>
      </c>
      <c r="G10" s="211" t="s">
        <v>10</v>
      </c>
      <c r="H10" s="211" t="s">
        <v>10</v>
      </c>
      <c r="I10" s="211" t="s">
        <v>10</v>
      </c>
      <c r="J10" s="211" t="s">
        <v>10</v>
      </c>
      <c r="K10" s="213" t="s">
        <v>10</v>
      </c>
      <c r="L10" s="210" t="s">
        <v>10</v>
      </c>
      <c r="M10" s="212" t="s">
        <v>10</v>
      </c>
      <c r="N10" s="210" t="s">
        <v>10</v>
      </c>
      <c r="O10" s="210" t="s">
        <v>10</v>
      </c>
      <c r="P10" s="210" t="s">
        <v>10</v>
      </c>
      <c r="Q10" s="212" t="s">
        <v>10</v>
      </c>
      <c r="R10" s="211" t="s">
        <v>10</v>
      </c>
      <c r="S10" s="210" t="s">
        <v>10</v>
      </c>
      <c r="T10" s="241" t="s">
        <v>10</v>
      </c>
      <c r="U10" s="213" t="s">
        <v>10</v>
      </c>
      <c r="V10" s="210" t="s">
        <v>10</v>
      </c>
      <c r="W10" s="210" t="s">
        <v>10</v>
      </c>
      <c r="X10" s="210" t="s">
        <v>10</v>
      </c>
      <c r="Y10" s="212" t="s">
        <v>10</v>
      </c>
      <c r="Z10" s="212" t="s">
        <v>10</v>
      </c>
      <c r="AA10" s="212" t="s">
        <v>10</v>
      </c>
      <c r="AB10" s="212" t="s">
        <v>10</v>
      </c>
      <c r="AC10" s="214" t="s">
        <v>10</v>
      </c>
      <c r="AD10" t="s">
        <v>10</v>
      </c>
      <c r="AE10"/>
      <c r="AF10"/>
      <c r="AG10"/>
      <c r="AH10"/>
      <c r="AI10"/>
      <c r="AJ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</row>
    <row r="11" spans="1:132" x14ac:dyDescent="0.2">
      <c r="B11" s="216" t="s">
        <v>10</v>
      </c>
      <c r="C11" s="215">
        <v>1</v>
      </c>
      <c r="D11" s="54">
        <f>VLOOKUP(C11,table_DI,2)</f>
        <v>14.7</v>
      </c>
      <c r="E11" s="54" t="s">
        <v>10</v>
      </c>
      <c r="F11" s="55">
        <f>VLOOKUP(C11,table_DI,5)</f>
        <v>0.65</v>
      </c>
      <c r="G11" s="54">
        <f>VLOOKUP(C11,table_DI,3)</f>
        <v>9.5549999999999997</v>
      </c>
      <c r="H11" s="54" t="s">
        <v>10</v>
      </c>
      <c r="I11" s="54">
        <f>VLOOKUP(C11,table_DI,4)</f>
        <v>9.5549999999999997</v>
      </c>
      <c r="J11" s="54" t="s">
        <v>10</v>
      </c>
      <c r="K11" s="250" t="s">
        <v>254</v>
      </c>
      <c r="L11" s="53" t="str">
        <f>VLOOKUP(C11,table_DI,8)</f>
        <v>N/A</v>
      </c>
      <c r="M11" s="365" t="s">
        <v>254</v>
      </c>
      <c r="N11" s="53">
        <f>VLOOKUP(C11,table_DI,10)</f>
        <v>10</v>
      </c>
      <c r="O11" s="251" t="s">
        <v>254</v>
      </c>
      <c r="P11" s="53">
        <v>42</v>
      </c>
      <c r="Q11" s="55">
        <v>0.53</v>
      </c>
      <c r="R11" s="54">
        <f>Q11*I11</f>
        <v>5.0641499999999997</v>
      </c>
      <c r="S11" s="53" t="s">
        <v>10</v>
      </c>
      <c r="T11" s="55" t="s">
        <v>10</v>
      </c>
      <c r="U11" s="56" t="s">
        <v>10</v>
      </c>
      <c r="V11" s="53" t="s">
        <v>10</v>
      </c>
      <c r="W11" s="53" t="s">
        <v>10</v>
      </c>
      <c r="X11" s="53" t="s">
        <v>10</v>
      </c>
      <c r="Y11" s="55" t="s">
        <v>10</v>
      </c>
      <c r="Z11" s="55" t="s">
        <v>10</v>
      </c>
      <c r="AA11" s="55" t="s">
        <v>10</v>
      </c>
      <c r="AB11" s="55" t="s">
        <v>10</v>
      </c>
      <c r="AC11" s="57" t="s">
        <v>10</v>
      </c>
      <c r="AD11" t="s">
        <v>10</v>
      </c>
    </row>
    <row r="12" spans="1:132" x14ac:dyDescent="0.2">
      <c r="B12" s="216" t="s">
        <v>10</v>
      </c>
      <c r="C12" s="215">
        <v>2</v>
      </c>
      <c r="D12" s="54">
        <f>VLOOKUP(C12,table_DI,2)</f>
        <v>6</v>
      </c>
      <c r="E12" s="54" t="s">
        <v>10</v>
      </c>
      <c r="F12" s="55">
        <f>VLOOKUP(C12,table_DI,5)</f>
        <v>0.9</v>
      </c>
      <c r="G12" s="54">
        <f>VLOOKUP(C12,table_DI,3)</f>
        <v>5.4</v>
      </c>
      <c r="H12" s="54" t="s">
        <v>10</v>
      </c>
      <c r="I12" s="54">
        <f>VLOOKUP(C12,table_DI,4)</f>
        <v>5.4</v>
      </c>
      <c r="J12" s="54" t="s">
        <v>10</v>
      </c>
      <c r="K12" s="56">
        <f>VLOOKUP(C12,table_DI,9)</f>
        <v>4.4046511627907105E-3</v>
      </c>
      <c r="L12" s="53">
        <f>VLOOKUP(C12,table_DI,8)</f>
        <v>2150</v>
      </c>
      <c r="M12" s="55">
        <f>(0.84*(K12^0.5)*(cell_GUTDEP^0.6666)/cell_NRD)</f>
        <v>1.9542181383347215</v>
      </c>
      <c r="N12" s="53">
        <f>VLOOKUP(C12,table_DI,10)</f>
        <v>5</v>
      </c>
      <c r="O12" s="53">
        <f>(L12/(M12*60))</f>
        <v>18.336404022873594</v>
      </c>
      <c r="P12" s="53">
        <f>N12+O12</f>
        <v>23.336404022873594</v>
      </c>
      <c r="Q12" s="55">
        <f>cell_P*(P12^cell_E)</f>
        <v>0.77079870330302636</v>
      </c>
      <c r="R12" s="54">
        <f>Q12*I12</f>
        <v>4.1623129978363425</v>
      </c>
      <c r="S12" s="53" t="s">
        <v>10</v>
      </c>
      <c r="T12" s="55" t="s">
        <v>10</v>
      </c>
      <c r="U12" s="56" t="s">
        <v>10</v>
      </c>
      <c r="V12" s="53" t="s">
        <v>10</v>
      </c>
      <c r="W12" s="53" t="s">
        <v>10</v>
      </c>
      <c r="X12" s="53" t="s">
        <v>10</v>
      </c>
      <c r="Y12" s="55" t="s">
        <v>10</v>
      </c>
      <c r="Z12" s="55" t="s">
        <v>10</v>
      </c>
      <c r="AA12" s="55" t="s">
        <v>10</v>
      </c>
      <c r="AB12" s="55" t="s">
        <v>10</v>
      </c>
      <c r="AC12" s="57" t="s">
        <v>10</v>
      </c>
      <c r="AD12" t="s">
        <v>10</v>
      </c>
    </row>
    <row r="13" spans="1:132" x14ac:dyDescent="0.2">
      <c r="B13" s="216">
        <v>1</v>
      </c>
      <c r="C13" s="217" t="s">
        <v>10</v>
      </c>
      <c r="D13" s="54" t="s">
        <v>10</v>
      </c>
      <c r="E13" s="54">
        <f>VLOOKUP(1,table_CIA_INLETS,2,FALSE)+VLOOKUP(2,table_CIA_INLETS,2,FALSE)</f>
        <v>20.7</v>
      </c>
      <c r="F13" s="55" t="s">
        <v>10</v>
      </c>
      <c r="G13" s="54" t="s">
        <v>10</v>
      </c>
      <c r="H13" s="54">
        <f>VLOOKUP(1,table_CIA_INLETS,5,FALSE)+VLOOKUP(2,table_CIA_INLETS,5,FALSE)</f>
        <v>14.955</v>
      </c>
      <c r="I13" s="54" t="s">
        <v>10</v>
      </c>
      <c r="J13" s="54">
        <f>VLOOKUP(1,table_CIA_INLETS,7,FALSE)+VLOOKUP(2,table_CIA_INLETS,7,FALSE)</f>
        <v>14.955</v>
      </c>
      <c r="K13" s="56" t="s">
        <v>10</v>
      </c>
      <c r="L13" s="53" t="s">
        <v>10</v>
      </c>
      <c r="M13" s="55" t="s">
        <v>10</v>
      </c>
      <c r="N13" s="53" t="s">
        <v>10</v>
      </c>
      <c r="O13" s="53" t="s">
        <v>10</v>
      </c>
      <c r="P13" s="53">
        <f>VLOOKUP(1,table_CIA_INLETS,14,FALSE)</f>
        <v>42</v>
      </c>
      <c r="Q13" s="55">
        <f>cell_P*(P13^cell_E)</f>
        <v>0.53348857099079838</v>
      </c>
      <c r="R13" s="54">
        <f>J13*Q13</f>
        <v>7.9783215791673898</v>
      </c>
      <c r="S13" s="53">
        <v>24</v>
      </c>
      <c r="T13" s="55">
        <f>(4*R13)/(3.14159*(S13/12)^2)</f>
        <v>2.5395807788945692</v>
      </c>
      <c r="U13" s="56">
        <f>((R13/((0.463135/cell_NP)*((S13/12)^(8/3))))^2)*cell_FF</f>
        <v>1.4305370291077986E-3</v>
      </c>
      <c r="V13" s="53">
        <v>176</v>
      </c>
      <c r="W13" s="53">
        <f>V13/(T13*60)</f>
        <v>1.1550462807527457</v>
      </c>
      <c r="X13" s="53">
        <f>W13+P13</f>
        <v>43.155046280752742</v>
      </c>
      <c r="Y13" s="55">
        <f>U13*V13</f>
        <v>0.25177451712297255</v>
      </c>
      <c r="Z13" s="55">
        <f>+Z16+Y13</f>
        <v>423.7273078632457</v>
      </c>
      <c r="AA13" s="55">
        <v>427.61</v>
      </c>
      <c r="AB13" s="55">
        <f>(AA13-0.5)-Z13</f>
        <v>3.382692136754315</v>
      </c>
      <c r="AC13" s="57">
        <v>423.13</v>
      </c>
      <c r="AD13" t="s">
        <v>10</v>
      </c>
    </row>
    <row r="14" spans="1:132" x14ac:dyDescent="0.2">
      <c r="B14" s="216" t="s">
        <v>10</v>
      </c>
      <c r="C14" s="217" t="s">
        <v>10</v>
      </c>
      <c r="D14" s="54" t="s">
        <v>10</v>
      </c>
      <c r="E14" s="54" t="s">
        <v>10</v>
      </c>
      <c r="F14" s="55" t="s">
        <v>10</v>
      </c>
      <c r="G14" s="54" t="s">
        <v>10</v>
      </c>
      <c r="H14" s="54" t="s">
        <v>10</v>
      </c>
      <c r="I14" s="54" t="s">
        <v>10</v>
      </c>
      <c r="J14" s="54" t="s">
        <v>10</v>
      </c>
      <c r="K14" s="56" t="s">
        <v>10</v>
      </c>
      <c r="L14" s="53" t="s">
        <v>10</v>
      </c>
      <c r="M14" s="55" t="s">
        <v>10</v>
      </c>
      <c r="N14" s="53" t="s">
        <v>10</v>
      </c>
      <c r="O14" s="53" t="s">
        <v>10</v>
      </c>
      <c r="P14" s="53" t="s">
        <v>10</v>
      </c>
      <c r="Q14" s="55" t="s">
        <v>10</v>
      </c>
      <c r="R14" s="54" t="s">
        <v>10</v>
      </c>
      <c r="S14" s="53" t="s">
        <v>10</v>
      </c>
      <c r="T14" s="55" t="s">
        <v>10</v>
      </c>
      <c r="U14" s="56" t="s">
        <v>10</v>
      </c>
      <c r="V14" s="53" t="s">
        <v>10</v>
      </c>
      <c r="W14" s="53" t="s">
        <v>10</v>
      </c>
      <c r="X14" s="53" t="s">
        <v>10</v>
      </c>
      <c r="Y14" s="55" t="s">
        <v>10</v>
      </c>
      <c r="Z14" s="55" t="s">
        <v>10</v>
      </c>
      <c r="AA14" s="55" t="s">
        <v>10</v>
      </c>
      <c r="AB14" s="55" t="s">
        <v>10</v>
      </c>
      <c r="AC14" s="57" t="s">
        <v>10</v>
      </c>
      <c r="AD14" t="s">
        <v>10</v>
      </c>
    </row>
    <row r="15" spans="1:132" x14ac:dyDescent="0.2">
      <c r="B15" s="216" t="s">
        <v>10</v>
      </c>
      <c r="C15" s="215">
        <v>3</v>
      </c>
      <c r="D15" s="54">
        <f>VLOOKUP(C15,table_DI,2)</f>
        <v>8.6</v>
      </c>
      <c r="E15" s="54" t="s">
        <v>10</v>
      </c>
      <c r="F15" s="55">
        <f>VLOOKUP(C15,table_DI,5)</f>
        <v>0.67637209302325596</v>
      </c>
      <c r="G15" s="54">
        <f>VLOOKUP(C15,table_DI,3)</f>
        <v>5.2880000000000003</v>
      </c>
      <c r="H15" s="54" t="s">
        <v>10</v>
      </c>
      <c r="I15" s="54">
        <f>VLOOKUP(C15,table_DI,4)</f>
        <v>5.8168000000000006</v>
      </c>
      <c r="J15" s="54" t="s">
        <v>10</v>
      </c>
      <c r="K15" s="56">
        <f>VLOOKUP(C15,table_DI,9)</f>
        <v>6.0000000000000522E-3</v>
      </c>
      <c r="L15" s="53">
        <f>VLOOKUP(C15,table_DI,8)</f>
        <v>650</v>
      </c>
      <c r="M15" s="55">
        <f>(0.84*(K15^0.5)*(cell_GUTDEP^0.6666)/cell_NRD)</f>
        <v>2.2808299417913953</v>
      </c>
      <c r="N15" s="53">
        <f>VLOOKUP(C15,table_DI,10)</f>
        <v>5</v>
      </c>
      <c r="O15" s="53">
        <f>(L15/(M15*60))</f>
        <v>4.7497330400813151</v>
      </c>
      <c r="P15" s="53">
        <f>N15+O15</f>
        <v>9.7497330400813151</v>
      </c>
      <c r="Q15" s="55">
        <f t="shared" ref="Q15:Q18" si="0">cell_P*(P15^cell_E)</f>
        <v>1.3313633013310657</v>
      </c>
      <c r="R15" s="54">
        <f>Q15*I15</f>
        <v>7.7442740511825443</v>
      </c>
      <c r="S15" s="53" t="s">
        <v>10</v>
      </c>
      <c r="T15" s="55" t="s">
        <v>10</v>
      </c>
      <c r="U15" s="56" t="s">
        <v>10</v>
      </c>
      <c r="V15" s="53" t="s">
        <v>10</v>
      </c>
      <c r="W15" s="53" t="s">
        <v>10</v>
      </c>
      <c r="X15" s="53" t="s">
        <v>10</v>
      </c>
      <c r="Y15" s="55" t="s">
        <v>10</v>
      </c>
      <c r="Z15" s="55" t="s">
        <v>10</v>
      </c>
      <c r="AA15" s="55" t="s">
        <v>10</v>
      </c>
      <c r="AB15" s="55" t="s">
        <v>10</v>
      </c>
      <c r="AC15" s="57" t="s">
        <v>10</v>
      </c>
      <c r="AD15" t="s">
        <v>10</v>
      </c>
    </row>
    <row r="16" spans="1:132" x14ac:dyDescent="0.2">
      <c r="B16" s="216">
        <v>2</v>
      </c>
      <c r="C16" s="217" t="s">
        <v>10</v>
      </c>
      <c r="D16" s="54" t="s">
        <v>10</v>
      </c>
      <c r="E16" s="54">
        <f>+E13+D15</f>
        <v>29.299999999999997</v>
      </c>
      <c r="F16" s="55" t="s">
        <v>10</v>
      </c>
      <c r="G16" s="54" t="s">
        <v>10</v>
      </c>
      <c r="H16" s="54">
        <f>+H13+G15</f>
        <v>20.243000000000002</v>
      </c>
      <c r="I16" s="54" t="s">
        <v>10</v>
      </c>
      <c r="J16" s="54">
        <f>+J13+I15</f>
        <v>20.771799999999999</v>
      </c>
      <c r="K16" s="56" t="s">
        <v>10</v>
      </c>
      <c r="L16" s="53" t="s">
        <v>10</v>
      </c>
      <c r="M16" s="55" t="s">
        <v>10</v>
      </c>
      <c r="N16" s="53" t="s">
        <v>10</v>
      </c>
      <c r="O16" s="53" t="s">
        <v>10</v>
      </c>
      <c r="P16" s="53">
        <f>VLOOKUP(1,table_CIA_JCTS,23,FALSE)</f>
        <v>43.155046280752742</v>
      </c>
      <c r="Q16" s="55">
        <f t="shared" si="0"/>
        <v>0.52450187608948939</v>
      </c>
      <c r="R16" s="54">
        <f>J16*Q16</f>
        <v>10.894848069755655</v>
      </c>
      <c r="S16" s="53">
        <v>24</v>
      </c>
      <c r="T16" s="55">
        <f>(4*R16)/(3.14159*(S16/12)^2)</f>
        <v>3.4679407783178759</v>
      </c>
      <c r="U16" s="56">
        <f>((R16/((0.463135/cell_NP)*((S16/12)^(8/3))))^2)*cell_FF</f>
        <v>2.6675857328979451E-3</v>
      </c>
      <c r="V16" s="53">
        <v>943</v>
      </c>
      <c r="W16" s="53">
        <f>V16/(T16*60)</f>
        <v>4.5319881945302516</v>
      </c>
      <c r="X16" s="53">
        <f>W16+P16</f>
        <v>47.687034475282992</v>
      </c>
      <c r="Y16" s="55">
        <f>U16*V16</f>
        <v>2.515533346122762</v>
      </c>
      <c r="Z16" s="55">
        <f>+Z18+Y16</f>
        <v>423.47553334612275</v>
      </c>
      <c r="AA16" s="55">
        <v>428.5</v>
      </c>
      <c r="AB16" s="55">
        <f>(AA16-0.5)-Z16</f>
        <v>4.5244666538772549</v>
      </c>
      <c r="AC16" s="57">
        <v>422.36</v>
      </c>
      <c r="AD16" t="s">
        <v>10</v>
      </c>
    </row>
    <row r="17" spans="1:30" x14ac:dyDescent="0.2">
      <c r="B17" s="216" t="s">
        <v>10</v>
      </c>
      <c r="C17" s="215">
        <v>5</v>
      </c>
      <c r="D17" s="54">
        <f>VLOOKUP(C17,table_DI,2)</f>
        <v>1.68</v>
      </c>
      <c r="E17" s="54" t="s">
        <v>10</v>
      </c>
      <c r="F17" s="55">
        <f>VLOOKUP(C17,table_DI,5)</f>
        <v>0.9</v>
      </c>
      <c r="G17" s="54">
        <f>VLOOKUP(C17,table_DI,3)</f>
        <v>1.512</v>
      </c>
      <c r="H17" s="54" t="s">
        <v>10</v>
      </c>
      <c r="I17" s="54">
        <f>VLOOKUP(C17,table_DI,4)</f>
        <v>1.512</v>
      </c>
      <c r="J17" s="54" t="s">
        <v>10</v>
      </c>
      <c r="K17" s="56">
        <f>VLOOKUP(C17,table_DI,9)</f>
        <v>2.7246376811594138E-3</v>
      </c>
      <c r="L17" s="53">
        <f>VLOOKUP(C17,table_DI,8)</f>
        <v>690</v>
      </c>
      <c r="M17" s="55">
        <f>(0.84*(K17^0.5)*(cell_GUTDEP^0.6666)/cell_NRD)</f>
        <v>1.536992186272174</v>
      </c>
      <c r="N17" s="53">
        <f>VLOOKUP(C17,table_DI,10)</f>
        <v>5</v>
      </c>
      <c r="O17" s="53">
        <f>(L17/(M17*60))</f>
        <v>7.4821460399822444</v>
      </c>
      <c r="P17" s="53">
        <f>N17+O17</f>
        <v>12.482146039982243</v>
      </c>
      <c r="Q17" s="55">
        <f t="shared" si="0"/>
        <v>1.1405320431799368</v>
      </c>
      <c r="R17" s="54">
        <f>Q17*I17</f>
        <v>1.7244844492880644</v>
      </c>
      <c r="S17" s="53" t="s">
        <v>10</v>
      </c>
      <c r="T17" s="55" t="s">
        <v>10</v>
      </c>
      <c r="U17" s="56" t="s">
        <v>10</v>
      </c>
      <c r="V17" s="53" t="s">
        <v>10</v>
      </c>
      <c r="W17" s="53" t="s">
        <v>10</v>
      </c>
      <c r="X17" s="53" t="s">
        <v>10</v>
      </c>
      <c r="Y17" s="55" t="s">
        <v>10</v>
      </c>
      <c r="Z17" s="55" t="s">
        <v>10</v>
      </c>
      <c r="AA17" s="55" t="s">
        <v>10</v>
      </c>
      <c r="AB17" s="55" t="s">
        <v>10</v>
      </c>
      <c r="AC17" s="57" t="s">
        <v>10</v>
      </c>
      <c r="AD17" t="s">
        <v>10</v>
      </c>
    </row>
    <row r="18" spans="1:30" x14ac:dyDescent="0.2">
      <c r="B18" s="216">
        <v>3</v>
      </c>
      <c r="C18" s="217" t="s">
        <v>10</v>
      </c>
      <c r="D18" s="54" t="s">
        <v>10</v>
      </c>
      <c r="E18" s="54">
        <f>+E16+D17</f>
        <v>30.979999999999997</v>
      </c>
      <c r="F18" s="55" t="s">
        <v>10</v>
      </c>
      <c r="G18" s="54" t="s">
        <v>10</v>
      </c>
      <c r="H18" s="54">
        <f>+H16+G17</f>
        <v>21.755000000000003</v>
      </c>
      <c r="I18" s="54" t="s">
        <v>10</v>
      </c>
      <c r="J18" s="54">
        <f>+J16+I17</f>
        <v>22.283799999999999</v>
      </c>
      <c r="K18" s="56" t="s">
        <v>10</v>
      </c>
      <c r="L18" s="53" t="s">
        <v>10</v>
      </c>
      <c r="M18" s="55" t="s">
        <v>10</v>
      </c>
      <c r="N18" s="53" t="s">
        <v>10</v>
      </c>
      <c r="O18" s="53" t="s">
        <v>10</v>
      </c>
      <c r="P18" s="53">
        <f>+X16</f>
        <v>47.687034475282992</v>
      </c>
      <c r="Q18" s="55">
        <f t="shared" si="0"/>
        <v>0.49270792509181283</v>
      </c>
      <c r="R18" s="54">
        <f>J18*Q18</f>
        <v>10.979404861160939</v>
      </c>
      <c r="S18" s="53">
        <v>24</v>
      </c>
      <c r="T18" s="55">
        <f>(4*R18)/(3.14159*(S18/12)^2)</f>
        <v>3.494856063700527</v>
      </c>
      <c r="U18" s="56">
        <f>((R18/((0.463135/cell_NP)*((S18/12)^(8/3))))^2)*cell_FF</f>
        <v>2.709153601230137E-3</v>
      </c>
      <c r="V18" s="53">
        <v>826</v>
      </c>
      <c r="W18" s="53">
        <f>V18/(T18*60)</f>
        <v>3.9391226464674016</v>
      </c>
      <c r="X18" s="53">
        <f>W18+P18</f>
        <v>51.626157121750396</v>
      </c>
      <c r="Y18" s="55">
        <f>U18*V18</f>
        <v>2.2377608746160931</v>
      </c>
      <c r="Z18" s="55">
        <f>IF(VLOOKUP(6,table_CIA_JCTS,25,FALSE)+VLOOKUP(3,table_CIA_JCTS,24,FALSE)&lt;VLOOKUP(3,table_CIA_JCTS,28,FALSE),VLOOKUP(3,table_CIA_JCTS,28,FALSE),VLOOKUP(6,table_CIA_JCTS,25,FALSE)+VLOOKUP(3,table_CIA_JCTS,24,FALSE))</f>
        <v>420.96</v>
      </c>
      <c r="AA18" s="55">
        <v>426.82</v>
      </c>
      <c r="AB18" s="55">
        <f>(AA18-0.5)-Z18</f>
        <v>5.3600000000000136</v>
      </c>
      <c r="AC18" s="57">
        <v>420.96</v>
      </c>
      <c r="AD18" t="s">
        <v>10</v>
      </c>
    </row>
    <row r="19" spans="1:30" x14ac:dyDescent="0.2">
      <c r="B19" s="216" t="s">
        <v>10</v>
      </c>
      <c r="C19" s="217" t="s">
        <v>10</v>
      </c>
      <c r="D19" s="54" t="s">
        <v>10</v>
      </c>
      <c r="E19" s="54" t="s">
        <v>10</v>
      </c>
      <c r="F19" s="55" t="s">
        <v>10</v>
      </c>
      <c r="G19" s="54" t="s">
        <v>10</v>
      </c>
      <c r="H19" s="54" t="s">
        <v>10</v>
      </c>
      <c r="I19" s="54" t="s">
        <v>10</v>
      </c>
      <c r="J19" s="54" t="s">
        <v>10</v>
      </c>
      <c r="K19" s="56" t="s">
        <v>10</v>
      </c>
      <c r="L19" s="53" t="s">
        <v>10</v>
      </c>
      <c r="M19" s="55" t="s">
        <v>10</v>
      </c>
      <c r="N19" s="53" t="s">
        <v>10</v>
      </c>
      <c r="O19" s="53" t="s">
        <v>10</v>
      </c>
      <c r="P19" s="53" t="s">
        <v>10</v>
      </c>
      <c r="Q19" s="55" t="s">
        <v>10</v>
      </c>
      <c r="R19" s="54" t="s">
        <v>10</v>
      </c>
      <c r="S19" s="53" t="s">
        <v>10</v>
      </c>
      <c r="T19" s="55" t="s">
        <v>10</v>
      </c>
      <c r="U19" s="56" t="s">
        <v>10</v>
      </c>
      <c r="V19" s="53" t="s">
        <v>10</v>
      </c>
      <c r="W19" s="53" t="s">
        <v>10</v>
      </c>
      <c r="X19" s="53" t="s">
        <v>10</v>
      </c>
      <c r="Y19" s="55" t="s">
        <v>10</v>
      </c>
      <c r="Z19" s="55" t="s">
        <v>10</v>
      </c>
      <c r="AA19" s="55" t="s">
        <v>10</v>
      </c>
      <c r="AB19" s="55" t="s">
        <v>10</v>
      </c>
      <c r="AC19" s="57" t="s">
        <v>10</v>
      </c>
      <c r="AD19" t="s">
        <v>10</v>
      </c>
    </row>
    <row r="20" spans="1:30" x14ac:dyDescent="0.2">
      <c r="B20" s="216" t="s">
        <v>10</v>
      </c>
      <c r="C20" s="215">
        <v>6</v>
      </c>
      <c r="D20" s="54">
        <f>VLOOKUP(C20,table_DI,2)</f>
        <v>2.17</v>
      </c>
      <c r="E20" s="54" t="s">
        <v>10</v>
      </c>
      <c r="F20" s="55">
        <f>VLOOKUP(C20,table_DI,5)</f>
        <v>0.2</v>
      </c>
      <c r="G20" s="54">
        <f>VLOOKUP(C20,table_DI,3)</f>
        <v>0.434</v>
      </c>
      <c r="H20" s="54" t="s">
        <v>10</v>
      </c>
      <c r="I20" s="54">
        <f>VLOOKUP(C20,table_DI,4)</f>
        <v>0.434</v>
      </c>
      <c r="J20" s="54" t="s">
        <v>10</v>
      </c>
      <c r="K20" s="56">
        <f>VLOOKUP(C20,table_DI,9)</f>
        <v>3.1594202898550658E-3</v>
      </c>
      <c r="L20" s="53">
        <f>VLOOKUP(C20,table_DI,8)</f>
        <v>1725</v>
      </c>
      <c r="M20" s="55">
        <f>(0.84*(K20^0.5)*(cell_GUTDEP^0.6666)/cell_NRD)</f>
        <v>1.655087588130711</v>
      </c>
      <c r="N20" s="53">
        <f>VLOOKUP(C20,table_DI,10)</f>
        <v>10</v>
      </c>
      <c r="O20" s="53">
        <f>(L20/(M20*60))</f>
        <v>17.37068189392371</v>
      </c>
      <c r="P20" s="53">
        <f>N20+O20</f>
        <v>27.37068189392371</v>
      </c>
      <c r="Q20" s="55">
        <f t="shared" ref="Q20:Q29" si="1">cell_P*(P20^cell_E)</f>
        <v>0.69755036777164159</v>
      </c>
      <c r="R20" s="54">
        <f>Q20*I20</f>
        <v>0.30273685961289243</v>
      </c>
      <c r="S20" s="53" t="s">
        <v>10</v>
      </c>
      <c r="T20" s="55" t="s">
        <v>10</v>
      </c>
      <c r="U20" s="56" t="s">
        <v>10</v>
      </c>
      <c r="V20" s="53" t="s">
        <v>10</v>
      </c>
      <c r="W20" s="53" t="s">
        <v>10</v>
      </c>
      <c r="X20" s="53" t="s">
        <v>10</v>
      </c>
      <c r="Y20" s="55" t="s">
        <v>10</v>
      </c>
      <c r="Z20" s="55" t="s">
        <v>10</v>
      </c>
      <c r="AA20" s="55" t="s">
        <v>10</v>
      </c>
      <c r="AB20" s="55" t="s">
        <v>10</v>
      </c>
      <c r="AC20" s="57" t="s">
        <v>10</v>
      </c>
      <c r="AD20" t="s">
        <v>10</v>
      </c>
    </row>
    <row r="21" spans="1:30" x14ac:dyDescent="0.2">
      <c r="B21" s="216" t="s">
        <v>10</v>
      </c>
      <c r="C21" s="215">
        <v>6.1</v>
      </c>
      <c r="D21" s="54">
        <f>VLOOKUP(C21,table_DI,2)</f>
        <v>1.89</v>
      </c>
      <c r="E21" s="54" t="s">
        <v>10</v>
      </c>
      <c r="F21" s="55">
        <f>VLOOKUP(C21,table_DI,5)</f>
        <v>0.60566137566137568</v>
      </c>
      <c r="G21" s="54">
        <f>VLOOKUP(C21,table_DI,3)</f>
        <v>0.53339999999999999</v>
      </c>
      <c r="H21" s="54" t="s">
        <v>10</v>
      </c>
      <c r="I21" s="54">
        <f>VLOOKUP(C21,table_DI,4)</f>
        <v>1.1447000000000001</v>
      </c>
      <c r="J21" s="54" t="s">
        <v>10</v>
      </c>
      <c r="K21" s="56">
        <f>VLOOKUP(C21,table_DI,9)</f>
        <v>2.4267100977198846E-3</v>
      </c>
      <c r="L21" s="53">
        <f>VLOOKUP(C21,table_DI,8)</f>
        <v>1228</v>
      </c>
      <c r="M21" s="55">
        <f>(0.84*(K21^0.5)*(cell_GUTDEP^0.6666)/cell_NRD)</f>
        <v>1.4505283756713294</v>
      </c>
      <c r="N21" s="53">
        <f>VLOOKUP(C21,table_DI,10)</f>
        <v>20</v>
      </c>
      <c r="O21" s="53">
        <f>(L21/(M21*60))</f>
        <v>14.109800959387879</v>
      </c>
      <c r="P21" s="53">
        <f>N21+O21</f>
        <v>34.109800959387883</v>
      </c>
      <c r="Q21" s="55">
        <f>cell_P*(P21^cell_E)</f>
        <v>0.60773588343883878</v>
      </c>
      <c r="R21" s="54">
        <f>Q21*I21</f>
        <v>0.69567526577243877</v>
      </c>
      <c r="S21" s="53" t="s">
        <v>10</v>
      </c>
      <c r="T21" s="55" t="s">
        <v>10</v>
      </c>
      <c r="U21" s="56" t="s">
        <v>10</v>
      </c>
      <c r="V21" s="53" t="s">
        <v>10</v>
      </c>
      <c r="W21" s="53" t="s">
        <v>10</v>
      </c>
      <c r="X21" s="53" t="s">
        <v>10</v>
      </c>
      <c r="Y21" s="55" t="s">
        <v>10</v>
      </c>
      <c r="Z21" s="55" t="s">
        <v>10</v>
      </c>
      <c r="AA21" s="55" t="s">
        <v>10</v>
      </c>
      <c r="AB21" s="55" t="s">
        <v>10</v>
      </c>
      <c r="AC21" s="57" t="s">
        <v>10</v>
      </c>
      <c r="AD21" t="s">
        <v>10</v>
      </c>
    </row>
    <row r="22" spans="1:30" x14ac:dyDescent="0.2">
      <c r="B22" s="216" t="s">
        <v>10</v>
      </c>
      <c r="C22" s="215">
        <v>7</v>
      </c>
      <c r="D22" s="54">
        <f>VLOOKUP(C22,table_DI,2)</f>
        <v>5.33</v>
      </c>
      <c r="E22" s="54" t="s">
        <v>10</v>
      </c>
      <c r="F22" s="55">
        <f>VLOOKUP(C22,table_DI,5)</f>
        <v>0.4620075046904315</v>
      </c>
      <c r="G22" s="54">
        <f>VLOOKUP(C22,table_DI,3)</f>
        <v>2.2385999999999999</v>
      </c>
      <c r="H22" s="54" t="s">
        <v>10</v>
      </c>
      <c r="I22" s="54">
        <f>VLOOKUP(C22,table_DI,4)</f>
        <v>2.4624999999999999</v>
      </c>
      <c r="J22" s="54" t="s">
        <v>10</v>
      </c>
      <c r="K22" s="56">
        <f>VLOOKUP(C22,table_DI,9)</f>
        <v>2.4119718309859235E-3</v>
      </c>
      <c r="L22" s="53">
        <f>VLOOKUP(C22,table_DI,8)</f>
        <v>1136</v>
      </c>
      <c r="M22" s="55">
        <f>(0.84*(K22^0.5)*(cell_GUTDEP^0.6666)/cell_NRD)</f>
        <v>1.4461168819949459</v>
      </c>
      <c r="N22" s="53">
        <f>VLOOKUP(C22,table_DI,10)</f>
        <v>20</v>
      </c>
      <c r="O22" s="53">
        <f>(L22/(M22*60))</f>
        <v>13.09253323093389</v>
      </c>
      <c r="P22" s="53">
        <f>N22+O22</f>
        <v>33.092533230933888</v>
      </c>
      <c r="Q22" s="55">
        <f t="shared" si="1"/>
        <v>0.6193681818007627</v>
      </c>
      <c r="R22" s="54">
        <f>Q22*I22</f>
        <v>1.525194147684378</v>
      </c>
      <c r="S22" s="53" t="s">
        <v>10</v>
      </c>
      <c r="T22" s="55" t="s">
        <v>10</v>
      </c>
      <c r="U22" s="56" t="s">
        <v>10</v>
      </c>
      <c r="V22" s="53" t="s">
        <v>10</v>
      </c>
      <c r="W22" s="53" t="s">
        <v>10</v>
      </c>
      <c r="X22" s="53" t="s">
        <v>10</v>
      </c>
      <c r="Y22" s="55" t="s">
        <v>10</v>
      </c>
      <c r="Z22" s="55" t="s">
        <v>10</v>
      </c>
      <c r="AA22" s="55" t="s">
        <v>10</v>
      </c>
      <c r="AB22" s="55" t="s">
        <v>10</v>
      </c>
      <c r="AC22" s="57" t="s">
        <v>10</v>
      </c>
      <c r="AD22" t="s">
        <v>10</v>
      </c>
    </row>
    <row r="23" spans="1:30" ht="15.75" x14ac:dyDescent="0.25">
      <c r="B23" s="216">
        <v>4</v>
      </c>
      <c r="C23" s="217" t="s">
        <v>10</v>
      </c>
      <c r="D23" s="54" t="s">
        <v>10</v>
      </c>
      <c r="E23" s="54">
        <f>+D20+D21+D22</f>
        <v>9.39</v>
      </c>
      <c r="F23" s="55" t="s">
        <v>10</v>
      </c>
      <c r="G23" s="54" t="s">
        <v>10</v>
      </c>
      <c r="H23" s="54">
        <f>+G20+G21+G22</f>
        <v>3.206</v>
      </c>
      <c r="I23" s="54" t="s">
        <v>10</v>
      </c>
      <c r="J23" s="54">
        <f>+I20+I21+I22</f>
        <v>4.0411999999999999</v>
      </c>
      <c r="K23" s="56" t="s">
        <v>10</v>
      </c>
      <c r="L23" s="53" t="s">
        <v>10</v>
      </c>
      <c r="M23" s="55" t="s">
        <v>10</v>
      </c>
      <c r="N23" s="53" t="s">
        <v>10</v>
      </c>
      <c r="O23" s="53" t="s">
        <v>10</v>
      </c>
      <c r="P23" s="53">
        <f>VLOOKUP(7,table_CIA_INLETS,14,FALSE)</f>
        <v>33.092533230933888</v>
      </c>
      <c r="Q23" s="55">
        <f t="shared" si="1"/>
        <v>0.6193681818007627</v>
      </c>
      <c r="R23" s="54">
        <f>J23*Q23</f>
        <v>2.5029906962932422</v>
      </c>
      <c r="S23" s="53">
        <v>18</v>
      </c>
      <c r="T23" s="55">
        <f>(4*R23)/(3.14159*(S23/12)^2)</f>
        <v>1.4164041895519952</v>
      </c>
      <c r="U23" s="56">
        <f>((R23/((0.463135/cell_NP)*((S23/12)^(8/3))))^2)*cell_FF</f>
        <v>6.5303194797741129E-4</v>
      </c>
      <c r="V23" s="363">
        <v>214</v>
      </c>
      <c r="W23" s="53">
        <f>V23/(T23*60)</f>
        <v>2.5181136097845016</v>
      </c>
      <c r="X23" s="53">
        <f>W23+P23</f>
        <v>35.610646840718388</v>
      </c>
      <c r="Y23" s="55">
        <f>U23*V23</f>
        <v>0.13974883686716602</v>
      </c>
      <c r="Z23" s="353">
        <f>IF(VLOOKUP(4.1,table_CIA_JCTS,25,FALSE)+VLOOKUP(4,table_CIA_JCTS,24,FALSE)&lt;VLOOKUP(4,table_CIA_JCTS,28,FALSE),VLOOKUP(4,table_CIA_JCTS,28,FALSE),VLOOKUP(4.1,table_CIA_JCTS,25,FALSE)+VLOOKUP(4,table_CIA_JCTS,24,FALSE))</f>
        <v>419.42272143973668</v>
      </c>
      <c r="AA23" s="55">
        <v>423.33</v>
      </c>
      <c r="AB23" s="55">
        <f>(AA23-0.5)-Z23</f>
        <v>3.4072785602633076</v>
      </c>
      <c r="AC23" s="57">
        <v>419.06</v>
      </c>
      <c r="AD23" t="s">
        <v>10</v>
      </c>
    </row>
    <row r="24" spans="1:30" ht="15.75" x14ac:dyDescent="0.25">
      <c r="B24" s="359">
        <v>4.0999999999999996</v>
      </c>
      <c r="C24" s="360" t="s">
        <v>10</v>
      </c>
      <c r="D24" s="361" t="s">
        <v>10</v>
      </c>
      <c r="E24" s="361">
        <f>VLOOKUP(4,table_CIA_JCTS,4,FALSE)</f>
        <v>9.39</v>
      </c>
      <c r="F24" s="353" t="s">
        <v>10</v>
      </c>
      <c r="G24" s="361" t="s">
        <v>10</v>
      </c>
      <c r="H24" s="361">
        <f>VLOOKUP(4,table_CIA_JCTS,7,FALSE)</f>
        <v>3.206</v>
      </c>
      <c r="I24" s="361" t="s">
        <v>10</v>
      </c>
      <c r="J24" s="361">
        <f>VLOOKUP(4,table_CIA_JCTS,9,FALSE)</f>
        <v>4.0411999999999999</v>
      </c>
      <c r="K24" s="362" t="s">
        <v>10</v>
      </c>
      <c r="L24" s="363" t="s">
        <v>10</v>
      </c>
      <c r="M24" s="353" t="s">
        <v>10</v>
      </c>
      <c r="N24" s="363" t="s">
        <v>10</v>
      </c>
      <c r="O24" s="363" t="s">
        <v>10</v>
      </c>
      <c r="P24" s="363">
        <f>VLOOKUP(4,table_CIA_JCTS,23,FALSE)</f>
        <v>35.610646840718388</v>
      </c>
      <c r="Q24" s="353">
        <f>cell_P*(P24^cell_E)</f>
        <v>0.59156778517322195</v>
      </c>
      <c r="R24" s="361">
        <f>J24*Q24</f>
        <v>2.3906437334420243</v>
      </c>
      <c r="S24" s="363">
        <v>24</v>
      </c>
      <c r="T24" s="353">
        <f>(4*R24)/(3.14159*(S24/12)^2)</f>
        <v>0.76096617745855577</v>
      </c>
      <c r="U24" s="362">
        <f>((R24/((0.463135/cell_NP)*((S24/12)^(8/3))))^2)*cell_FF</f>
        <v>1.2844161256934697E-4</v>
      </c>
      <c r="V24" s="363">
        <v>101</v>
      </c>
      <c r="W24" s="363">
        <f>V24/(T24*60)</f>
        <v>2.2121000685671239</v>
      </c>
      <c r="X24" s="363">
        <f>W24+P24</f>
        <v>37.822746909285513</v>
      </c>
      <c r="Y24" s="353">
        <f>U24*V24</f>
        <v>1.2972602869504045E-2</v>
      </c>
      <c r="Z24" s="353">
        <f>IF(VLOOKUP(5,table_CIA_JCTS,25,FALSE)+VLOOKUP(4.1,table_CIA_JCTS,24,FALSE)&lt;VLOOKUP(4.1,table_CIA_JCTS,28,FALSE),VLOOKUP(4.1,table_CIA_JCTS,28,FALSE),VLOOKUP(5,table_CIA_JCTS,25,FALSE)+VLOOKUP(4.1,table_CIA_JCTS,24,FALSE))</f>
        <v>419.28297260286951</v>
      </c>
      <c r="AA24" s="353">
        <v>424.09</v>
      </c>
      <c r="AB24" s="353">
        <f>(AA24-0.5)-Z24</f>
        <v>4.3070273971304687</v>
      </c>
      <c r="AC24" s="364">
        <v>419.27</v>
      </c>
      <c r="AD24" t="s">
        <v>10</v>
      </c>
    </row>
    <row r="25" spans="1:30" x14ac:dyDescent="0.2">
      <c r="A25" s="672" t="s">
        <v>552</v>
      </c>
      <c r="B25" s="471" t="s">
        <v>10</v>
      </c>
      <c r="C25" s="472">
        <v>8</v>
      </c>
      <c r="D25" s="473">
        <f>VLOOKUP(C25,table_DI,2)</f>
        <v>9.8000000000000007</v>
      </c>
      <c r="E25" s="473" t="s">
        <v>10</v>
      </c>
      <c r="F25" s="474">
        <f>VLOOKUP(C25,table_DI,5)</f>
        <v>0.5082000000000001</v>
      </c>
      <c r="G25" s="473">
        <f>VLOOKUP(C25,table_DI,3)</f>
        <v>4.5276000000000005</v>
      </c>
      <c r="H25" s="473" t="s">
        <v>10</v>
      </c>
      <c r="I25" s="473">
        <f>VLOOKUP(C25,table_DI,4)</f>
        <v>4.980360000000001</v>
      </c>
      <c r="J25" s="473" t="s">
        <v>10</v>
      </c>
      <c r="K25" s="475">
        <f>VLOOKUP(C25,table_DI,9)</f>
        <v>3.0423728813559112E-3</v>
      </c>
      <c r="L25" s="476">
        <f>VLOOKUP(C25,table_DI,8)</f>
        <v>1180</v>
      </c>
      <c r="M25" s="474">
        <f>(0.84*(K25^0.5)*(cell_GUTDEP^0.6666)/cell_NRD)</f>
        <v>1.6241401441674554</v>
      </c>
      <c r="N25" s="476">
        <f>VLOOKUP(C25,table_DI,10)</f>
        <v>20</v>
      </c>
      <c r="O25" s="476">
        <f>(L25/(M25*60))</f>
        <v>12.108971468560014</v>
      </c>
      <c r="P25" s="476">
        <f>N25+O25</f>
        <v>32.108971468560014</v>
      </c>
      <c r="Q25" s="474">
        <f t="shared" si="1"/>
        <v>0.63118166903469275</v>
      </c>
      <c r="R25" s="473">
        <f>Q25*I25</f>
        <v>3.1435119371936229</v>
      </c>
      <c r="S25" s="476" t="s">
        <v>10</v>
      </c>
      <c r="T25" s="474" t="s">
        <v>10</v>
      </c>
      <c r="U25" s="475" t="s">
        <v>10</v>
      </c>
      <c r="V25" s="476" t="s">
        <v>10</v>
      </c>
      <c r="W25" s="476" t="s">
        <v>10</v>
      </c>
      <c r="X25" s="476" t="s">
        <v>10</v>
      </c>
      <c r="Y25" s="474" t="s">
        <v>10</v>
      </c>
      <c r="Z25" s="474" t="s">
        <v>10</v>
      </c>
      <c r="AA25" s="474" t="s">
        <v>10</v>
      </c>
      <c r="AB25" s="474" t="s">
        <v>10</v>
      </c>
      <c r="AC25" s="477" t="s">
        <v>10</v>
      </c>
      <c r="AD25" t="s">
        <v>10</v>
      </c>
    </row>
    <row r="26" spans="1:30" ht="15.75" x14ac:dyDescent="0.25">
      <c r="A26" s="673"/>
      <c r="B26" s="471">
        <v>5</v>
      </c>
      <c r="C26" s="478" t="s">
        <v>10</v>
      </c>
      <c r="D26" s="473" t="s">
        <v>10</v>
      </c>
      <c r="E26" s="479">
        <f>VLOOKUP(4.1,table_CIA_JCTS,4,FALSE)+VLOOKUP(8,table_CIA_INLETS,2,FALSE)</f>
        <v>19.190000000000001</v>
      </c>
      <c r="F26" s="474" t="s">
        <v>10</v>
      </c>
      <c r="G26" s="473" t="s">
        <v>10</v>
      </c>
      <c r="H26" s="479">
        <f>VLOOKUP(4.1,table_CIA_JCTS,7,FALSE)+VLOOKUP(8,table_CIA_INLETS,5,FALSE)</f>
        <v>7.7336000000000009</v>
      </c>
      <c r="I26" s="473" t="s">
        <v>10</v>
      </c>
      <c r="J26" s="479">
        <f>VLOOKUP(4.1,table_CIA_JCTS,9,FALSE)+VLOOKUP(8,table_CIA_INLETS,7,FALSE)</f>
        <v>9.0215600000000009</v>
      </c>
      <c r="K26" s="475" t="s">
        <v>10</v>
      </c>
      <c r="L26" s="476" t="s">
        <v>10</v>
      </c>
      <c r="M26" s="474" t="s">
        <v>10</v>
      </c>
      <c r="N26" s="476" t="s">
        <v>10</v>
      </c>
      <c r="O26" s="476" t="s">
        <v>10</v>
      </c>
      <c r="P26" s="480">
        <f>VLOOKUP(4.1,table_CIA_JCTS,23,FALSE)</f>
        <v>37.822746909285513</v>
      </c>
      <c r="Q26" s="474">
        <f t="shared" si="1"/>
        <v>0.56965885840187502</v>
      </c>
      <c r="R26" s="473">
        <f>J26*Q26</f>
        <v>5.1392115706040205</v>
      </c>
      <c r="S26" s="476">
        <v>24</v>
      </c>
      <c r="T26" s="474">
        <f>(4*R26)/(3.14159*(S26/12)^2)</f>
        <v>1.635863231867946</v>
      </c>
      <c r="U26" s="475">
        <f>((R26/((0.463135/cell_NP)*((S26/12)^(8/3))))^2)*cell_FF</f>
        <v>5.9356600991758315E-4</v>
      </c>
      <c r="V26" s="480">
        <v>519</v>
      </c>
      <c r="W26" s="476">
        <f>V26/(T26*60)</f>
        <v>5.287728112895361</v>
      </c>
      <c r="X26" s="476">
        <f>W26+P26</f>
        <v>43.110475022180871</v>
      </c>
      <c r="Y26" s="474">
        <f>U26*V26</f>
        <v>0.30806075914722564</v>
      </c>
      <c r="Z26" s="474">
        <f>IF(VLOOKUP(6,table_CIA_JCTS,25,FALSE)+VLOOKUP(5,table_CIA_JCTS,24,FALSE)&lt;VLOOKUP(5,table_CIA_JCTS,28,FALSE),VLOOKUP(5,table_CIA_JCTS,28,FALSE),VLOOKUP(6,table_CIA_JCTS,25,FALSE)+VLOOKUP(5,table_CIA_JCTS,24,FALSE))</f>
        <v>419.27</v>
      </c>
      <c r="AA26" s="474">
        <v>424.09</v>
      </c>
      <c r="AB26" s="474">
        <f>(AA26-0.5)-Z26</f>
        <v>4.3199999999999932</v>
      </c>
      <c r="AC26" s="477">
        <v>419.27</v>
      </c>
      <c r="AD26" t="s">
        <v>262</v>
      </c>
    </row>
    <row r="27" spans="1:30" x14ac:dyDescent="0.2">
      <c r="A27" s="673"/>
      <c r="B27" s="471" t="s">
        <v>10</v>
      </c>
      <c r="C27" s="472">
        <v>9</v>
      </c>
      <c r="D27" s="473">
        <f>VLOOKUP(C27,table_DI,2)</f>
        <v>3.6</v>
      </c>
      <c r="E27" s="473" t="s">
        <v>10</v>
      </c>
      <c r="F27" s="474">
        <f>VLOOKUP(C27,table_DI,5)</f>
        <v>0.5082000000000001</v>
      </c>
      <c r="G27" s="473">
        <f>VLOOKUP(C27,table_DI,3)</f>
        <v>1.6632</v>
      </c>
      <c r="H27" s="473" t="s">
        <v>10</v>
      </c>
      <c r="I27" s="473">
        <f>VLOOKUP(C27,table_DI,4)</f>
        <v>1.8295200000000003</v>
      </c>
      <c r="J27" s="473" t="s">
        <v>10</v>
      </c>
      <c r="K27" s="475">
        <f>VLOOKUP(C27,table_DI,9)</f>
        <v>4.0809248554912981E-3</v>
      </c>
      <c r="L27" s="476">
        <f>VLOOKUP(C27,table_DI,8)</f>
        <v>865</v>
      </c>
      <c r="M27" s="474">
        <f>(0.84*(K27^0.5)*(cell_GUTDEP^0.6666)/cell_NRD)</f>
        <v>1.8810337131893167</v>
      </c>
      <c r="N27" s="476">
        <f>VLOOKUP(C27,table_DI,10)</f>
        <v>20</v>
      </c>
      <c r="O27" s="476">
        <f>(L27/(M27*60))</f>
        <v>7.6642255614988555</v>
      </c>
      <c r="P27" s="476">
        <f>N27+O27</f>
        <v>27.664225561498856</v>
      </c>
      <c r="Q27" s="474">
        <f t="shared" si="1"/>
        <v>0.69290620458495389</v>
      </c>
      <c r="R27" s="473">
        <f>Q27*I27</f>
        <v>1.267685759412265</v>
      </c>
      <c r="S27" s="476" t="s">
        <v>10</v>
      </c>
      <c r="T27" s="474" t="s">
        <v>10</v>
      </c>
      <c r="U27" s="475" t="s">
        <v>10</v>
      </c>
      <c r="V27" s="476" t="s">
        <v>10</v>
      </c>
      <c r="W27" s="476" t="s">
        <v>10</v>
      </c>
      <c r="X27" s="476" t="s">
        <v>10</v>
      </c>
      <c r="Y27" s="474" t="s">
        <v>10</v>
      </c>
      <c r="Z27" s="474" t="s">
        <v>10</v>
      </c>
      <c r="AA27" s="474" t="s">
        <v>10</v>
      </c>
      <c r="AB27" s="474" t="s">
        <v>10</v>
      </c>
      <c r="AC27" s="477" t="s">
        <v>10</v>
      </c>
      <c r="AD27" t="s">
        <v>10</v>
      </c>
    </row>
    <row r="28" spans="1:30" x14ac:dyDescent="0.2">
      <c r="A28" s="674"/>
      <c r="B28" s="471">
        <v>6</v>
      </c>
      <c r="C28" s="478" t="s">
        <v>10</v>
      </c>
      <c r="D28" s="473" t="s">
        <v>10</v>
      </c>
      <c r="E28" s="473">
        <f>VLOOKUP(3,table_CIA_JCTS,4,FALSE)+VLOOKUP(5,table_CIA_JCTS,4,FALSE)+VLOOKUP(9,table_CIA_INLETS,2,FALSE)</f>
        <v>53.77</v>
      </c>
      <c r="F28" s="474" t="s">
        <v>10</v>
      </c>
      <c r="G28" s="473" t="s">
        <v>10</v>
      </c>
      <c r="H28" s="473">
        <f>VLOOKUP(3,table_CIA_JCTS,7,FALSE)+VLOOKUP(5,table_CIA_JCTS,7,FALSE)+VLOOKUP(9,table_CIA_INLETS,5,FALSE)</f>
        <v>31.151800000000005</v>
      </c>
      <c r="I28" s="473" t="s">
        <v>10</v>
      </c>
      <c r="J28" s="473">
        <f>VLOOKUP(3,table_CIA_JCTS,9,FALSE)+VLOOKUP(5,table_CIA_JCTS,9,FALSE)+VLOOKUP(9,table_CIA_INLETS,7,FALSE)</f>
        <v>33.134880000000003</v>
      </c>
      <c r="K28" s="475" t="s">
        <v>10</v>
      </c>
      <c r="L28" s="476" t="s">
        <v>10</v>
      </c>
      <c r="M28" s="474" t="s">
        <v>10</v>
      </c>
      <c r="N28" s="476" t="s">
        <v>10</v>
      </c>
      <c r="O28" s="476" t="s">
        <v>10</v>
      </c>
      <c r="P28" s="476">
        <f>VLOOKUP(3,table_CIA_JCTS,23,FALSE)</f>
        <v>51.626157121750396</v>
      </c>
      <c r="Q28" s="474">
        <f t="shared" si="1"/>
        <v>0.46881851783973494</v>
      </c>
      <c r="R28" s="473">
        <f>J28*Q28</f>
        <v>15.534245330397477</v>
      </c>
      <c r="S28" s="476">
        <v>30</v>
      </c>
      <c r="T28" s="474">
        <f>(4*R28)/(3.14159*(S28/12)^2)</f>
        <v>3.1646131453991084</v>
      </c>
      <c r="U28" s="475">
        <f>((R28/((0.463135/cell_NP)*((S28/12)^(8/3))))^2)*cell_FF</f>
        <v>1.649692294643311E-3</v>
      </c>
      <c r="V28" s="476">
        <v>606</v>
      </c>
      <c r="W28" s="476">
        <f>V28/(T28*60)</f>
        <v>3.1915433375115518</v>
      </c>
      <c r="X28" s="476">
        <f>W28+P28</f>
        <v>54.81770045926195</v>
      </c>
      <c r="Y28" s="474">
        <f>U28*V28</f>
        <v>0.99971353055384649</v>
      </c>
      <c r="Z28" s="474">
        <f>IF(VLOOKUP(6.1,table_CIA_JCTS,25,FALSE)+VLOOKUP(6,table_CIA_JCTS,24,FALSE)&lt;VLOOKUP(6,table_CIA_JCTS,28,FALSE),VLOOKUP(6,table_CIA_JCTS,28,FALSE),VLOOKUP(6.1,table_CIA_JCTS,25,FALSE)+VLOOKUP(6,table_CIA_JCTS,24,FALSE))</f>
        <v>418.39</v>
      </c>
      <c r="AA28" s="474">
        <v>425.17</v>
      </c>
      <c r="AB28" s="474">
        <f>(AA28-0.5)-Z28</f>
        <v>6.2800000000000296</v>
      </c>
      <c r="AC28" s="477">
        <v>418.39</v>
      </c>
      <c r="AD28" t="s">
        <v>263</v>
      </c>
    </row>
    <row r="29" spans="1:30" x14ac:dyDescent="0.2">
      <c r="B29" s="216" t="s">
        <v>10</v>
      </c>
      <c r="C29" s="215">
        <v>10</v>
      </c>
      <c r="D29" s="54">
        <f>VLOOKUP(C29,table_DI,2)</f>
        <v>6.18</v>
      </c>
      <c r="E29" s="54" t="s">
        <v>10</v>
      </c>
      <c r="F29" s="55">
        <f>VLOOKUP(C29,table_DI,5)</f>
        <v>0.42556634304207119</v>
      </c>
      <c r="G29" s="54">
        <f>VLOOKUP(C29,table_DI,3)</f>
        <v>2.3946000000000001</v>
      </c>
      <c r="H29" s="54" t="s">
        <v>10</v>
      </c>
      <c r="I29" s="54">
        <f>VLOOKUP(C29,table_DI,4)</f>
        <v>2.63</v>
      </c>
      <c r="J29" s="54" t="s">
        <v>10</v>
      </c>
      <c r="K29" s="56">
        <f>VLOOKUP(C29,table_DI,9)</f>
        <v>3.9398496240601573E-3</v>
      </c>
      <c r="L29" s="53">
        <f>VLOOKUP(C29,table_DI,8)</f>
        <v>1330</v>
      </c>
      <c r="M29" s="55">
        <f>(0.84*(K29^0.5)*(cell_GUTDEP^0.6666)/cell_NRD)</f>
        <v>1.848234630514294</v>
      </c>
      <c r="N29" s="53">
        <f>VLOOKUP(C29,table_DI,10)</f>
        <v>25</v>
      </c>
      <c r="O29" s="53">
        <f>(L29/(M29*60))</f>
        <v>11.993426754750569</v>
      </c>
      <c r="P29" s="53">
        <f>N29+O29</f>
        <v>36.993426754750573</v>
      </c>
      <c r="Q29" s="55">
        <f t="shared" si="1"/>
        <v>0.5776226631147674</v>
      </c>
      <c r="R29" s="54">
        <f>Q29*I29</f>
        <v>1.5191476039918381</v>
      </c>
      <c r="S29" s="53" t="s">
        <v>10</v>
      </c>
      <c r="T29" s="55" t="s">
        <v>10</v>
      </c>
      <c r="U29" s="56" t="s">
        <v>10</v>
      </c>
      <c r="V29" s="53" t="s">
        <v>10</v>
      </c>
      <c r="W29" s="53" t="s">
        <v>10</v>
      </c>
      <c r="X29" s="53" t="s">
        <v>10</v>
      </c>
      <c r="Y29" s="55" t="s">
        <v>10</v>
      </c>
      <c r="Z29" s="55" t="s">
        <v>10</v>
      </c>
      <c r="AA29" s="55" t="s">
        <v>10</v>
      </c>
      <c r="AB29" s="55" t="s">
        <v>10</v>
      </c>
      <c r="AC29" s="57" t="s">
        <v>10</v>
      </c>
      <c r="AD29" t="s">
        <v>10</v>
      </c>
    </row>
    <row r="30" spans="1:30" x14ac:dyDescent="0.2">
      <c r="B30" s="216">
        <v>6.1</v>
      </c>
      <c r="C30" s="217" t="s">
        <v>10</v>
      </c>
      <c r="D30" s="54" t="s">
        <v>10</v>
      </c>
      <c r="E30" s="54">
        <f>VLOOKUP(6,table_CIA_JCTS,4,FALSE)+VLOOKUP(10,table_CIA_INLETS,2,FALSE)</f>
        <v>59.95</v>
      </c>
      <c r="F30" s="55" t="s">
        <v>10</v>
      </c>
      <c r="G30" s="54" t="s">
        <v>10</v>
      </c>
      <c r="H30" s="54">
        <f>VLOOKUP(6,table_CIA_JCTS,7,FALSE)+VLOOKUP(10,table_CIA_INLETS,5,FALSE)</f>
        <v>33.546400000000006</v>
      </c>
      <c r="I30" s="54" t="s">
        <v>10</v>
      </c>
      <c r="J30" s="54">
        <f>VLOOKUP(6,table_CIA_JCTS,9,FALSE)+VLOOKUP(10,table_CIA_INLETS,7,FALSE)</f>
        <v>35.764880000000005</v>
      </c>
      <c r="K30" s="56" t="s">
        <v>10</v>
      </c>
      <c r="L30" s="53" t="s">
        <v>10</v>
      </c>
      <c r="M30" s="55" t="s">
        <v>10</v>
      </c>
      <c r="N30" s="53" t="s">
        <v>10</v>
      </c>
      <c r="O30" s="53" t="s">
        <v>10</v>
      </c>
      <c r="P30" s="53">
        <f>VLOOKUP(6,table_CIA_JCTS,23,FALSE)</f>
        <v>54.81770045926195</v>
      </c>
      <c r="Q30" s="55">
        <f>cell_P*(P30^cell_E)</f>
        <v>0.45153520024621913</v>
      </c>
      <c r="R30" s="54">
        <f>J30*Q30</f>
        <v>16.149102252582001</v>
      </c>
      <c r="S30" s="53">
        <v>30</v>
      </c>
      <c r="T30" s="55">
        <f>(4*R30)/(3.14159*(S30/12)^2)</f>
        <v>3.2898708748285044</v>
      </c>
      <c r="U30" s="56">
        <f>((R30/((0.463135/cell_NP)*((S30/12)^(8/3))))^2)*cell_FF</f>
        <v>1.7828688431489757E-3</v>
      </c>
      <c r="V30" s="53">
        <v>32</v>
      </c>
      <c r="W30" s="53">
        <f>V30/(T30*60)</f>
        <v>0.16211375875387057</v>
      </c>
      <c r="X30" s="53">
        <f>W30+P30</f>
        <v>54.979814218015818</v>
      </c>
      <c r="Y30" s="55">
        <f>U30*V30</f>
        <v>5.7051802980767223E-2</v>
      </c>
      <c r="Z30" s="55">
        <f>IF(VLOOKUP(7.1,table_CIA_JCTS,25,FALSE)+VLOOKUP(6.1,table_CIA_JCTS,24,FALSE)&lt;VLOOKUP(6.1,table_CIA_JCTS,28,FALSE),VLOOKUP(6.1,table_CIA_JCTS,28,FALSE),VLOOKUP(7.1,table_CIA_JCTS,25,FALSE)+VLOOKUP(6.1,table_CIA_JCTS,24,FALSE))</f>
        <v>415.73506657559346</v>
      </c>
      <c r="AA30" s="55">
        <v>421.46</v>
      </c>
      <c r="AB30" s="55">
        <f>(AA30-0.5)-Z30</f>
        <v>5.2249334244065153</v>
      </c>
      <c r="AC30" s="57">
        <v>415.62</v>
      </c>
      <c r="AD30" t="s">
        <v>10</v>
      </c>
    </row>
    <row r="31" spans="1:30" x14ac:dyDescent="0.2">
      <c r="B31" s="216" t="s">
        <v>10</v>
      </c>
      <c r="C31" s="217" t="s">
        <v>10</v>
      </c>
      <c r="D31" s="54" t="s">
        <v>10</v>
      </c>
      <c r="E31" s="54" t="s">
        <v>10</v>
      </c>
      <c r="F31" s="55" t="s">
        <v>10</v>
      </c>
      <c r="G31" s="54" t="s">
        <v>10</v>
      </c>
      <c r="H31" s="54" t="s">
        <v>10</v>
      </c>
      <c r="I31" s="54" t="s">
        <v>10</v>
      </c>
      <c r="J31" s="54" t="s">
        <v>10</v>
      </c>
      <c r="K31" s="56" t="s">
        <v>10</v>
      </c>
      <c r="L31" s="53" t="s">
        <v>10</v>
      </c>
      <c r="M31" s="55" t="s">
        <v>10</v>
      </c>
      <c r="N31" s="53" t="s">
        <v>10</v>
      </c>
      <c r="O31" s="53" t="s">
        <v>10</v>
      </c>
      <c r="P31" s="53" t="s">
        <v>10</v>
      </c>
      <c r="Q31" s="55" t="s">
        <v>10</v>
      </c>
      <c r="R31" s="54" t="s">
        <v>10</v>
      </c>
      <c r="S31" s="53" t="s">
        <v>10</v>
      </c>
      <c r="T31" s="55" t="s">
        <v>10</v>
      </c>
      <c r="U31" s="56" t="s">
        <v>10</v>
      </c>
      <c r="V31" s="53" t="s">
        <v>10</v>
      </c>
      <c r="W31" s="53" t="s">
        <v>10</v>
      </c>
      <c r="X31" s="53" t="s">
        <v>10</v>
      </c>
      <c r="Y31" s="55" t="s">
        <v>10</v>
      </c>
      <c r="Z31" s="55" t="s">
        <v>10</v>
      </c>
      <c r="AA31" s="55" t="s">
        <v>10</v>
      </c>
      <c r="AB31" s="55" t="s">
        <v>10</v>
      </c>
      <c r="AC31" s="57" t="s">
        <v>10</v>
      </c>
      <c r="AD31" t="s">
        <v>10</v>
      </c>
    </row>
    <row r="32" spans="1:30" x14ac:dyDescent="0.2">
      <c r="B32" s="216" t="s">
        <v>10</v>
      </c>
      <c r="C32" s="215">
        <v>11</v>
      </c>
      <c r="D32" s="54">
        <f>VLOOKUP(C32,table_DI,2)</f>
        <v>3.36</v>
      </c>
      <c r="E32" s="54" t="s">
        <v>10</v>
      </c>
      <c r="F32" s="55">
        <f>VLOOKUP(C32,table_DI,5)</f>
        <v>0.46199404761904767</v>
      </c>
      <c r="G32" s="54">
        <f>VLOOKUP(C32,table_DI,3)</f>
        <v>1.4112</v>
      </c>
      <c r="H32" s="54" t="s">
        <v>10</v>
      </c>
      <c r="I32" s="54">
        <f>VLOOKUP(C32,table_DI,4)</f>
        <v>1.5523</v>
      </c>
      <c r="J32" s="54" t="s">
        <v>10</v>
      </c>
      <c r="K32" s="56">
        <f>VLOOKUP(C32,table_DI,9)</f>
        <v>5.3475935828877002E-3</v>
      </c>
      <c r="L32" s="53">
        <f>VLOOKUP(C32,table_DI,8)</f>
        <v>561</v>
      </c>
      <c r="M32" s="55">
        <f>(0.84*(K32^0.5)*(cell_GUTDEP^0.6666)/cell_NRD)</f>
        <v>2.1532600213590025</v>
      </c>
      <c r="N32" s="53">
        <f>VLOOKUP(C32,table_DI,10)</f>
        <v>20</v>
      </c>
      <c r="O32" s="53">
        <f>(L32/(M32*60))</f>
        <v>4.342253098675406</v>
      </c>
      <c r="P32" s="53">
        <f>N32+O32</f>
        <v>24.342253098675407</v>
      </c>
      <c r="Q32" s="55">
        <f>cell_P*(P32^cell_E)</f>
        <v>0.75069704971126083</v>
      </c>
      <c r="R32" s="54">
        <f>Q32*I32</f>
        <v>1.1653070302667903</v>
      </c>
      <c r="S32" s="53" t="s">
        <v>10</v>
      </c>
      <c r="T32" s="55" t="s">
        <v>10</v>
      </c>
      <c r="U32" s="56" t="s">
        <v>10</v>
      </c>
      <c r="V32" s="53" t="s">
        <v>10</v>
      </c>
      <c r="W32" s="53" t="s">
        <v>10</v>
      </c>
      <c r="X32" s="53" t="s">
        <v>10</v>
      </c>
      <c r="Y32" s="55" t="s">
        <v>10</v>
      </c>
      <c r="Z32" s="55" t="s">
        <v>10</v>
      </c>
      <c r="AA32" s="55" t="s">
        <v>10</v>
      </c>
      <c r="AB32" s="55" t="s">
        <v>10</v>
      </c>
      <c r="AC32" s="57" t="s">
        <v>10</v>
      </c>
      <c r="AD32" t="s">
        <v>10</v>
      </c>
    </row>
    <row r="33" spans="2:30" x14ac:dyDescent="0.2">
      <c r="B33" s="216">
        <v>7</v>
      </c>
      <c r="C33" s="217" t="s">
        <v>10</v>
      </c>
      <c r="D33" s="54" t="s">
        <v>10</v>
      </c>
      <c r="E33" s="54">
        <f>VLOOKUP(11,table_CIA_INLETS,2,FALSE)</f>
        <v>3.36</v>
      </c>
      <c r="F33" s="55" t="s">
        <v>10</v>
      </c>
      <c r="G33" s="54" t="s">
        <v>10</v>
      </c>
      <c r="H33" s="54">
        <f>VLOOKUP(11,table_CIA_INLETS,5,FALSE)</f>
        <v>1.4112</v>
      </c>
      <c r="I33" s="54" t="s">
        <v>10</v>
      </c>
      <c r="J33" s="54">
        <f>VLOOKUP(11,table_CIA_INLETS,7,FALSE)</f>
        <v>1.5523</v>
      </c>
      <c r="K33" s="56" t="s">
        <v>10</v>
      </c>
      <c r="L33" s="53" t="s">
        <v>10</v>
      </c>
      <c r="M33" s="55" t="s">
        <v>10</v>
      </c>
      <c r="N33" s="53" t="s">
        <v>10</v>
      </c>
      <c r="O33" s="53" t="s">
        <v>10</v>
      </c>
      <c r="P33" s="53">
        <f>VLOOKUP(11,table_CIA_INLETS,14,FALSE)</f>
        <v>24.342253098675407</v>
      </c>
      <c r="Q33" s="55">
        <f>cell_P*(P33^cell_E)</f>
        <v>0.75069704971126083</v>
      </c>
      <c r="R33" s="54">
        <f>J33*Q33</f>
        <v>1.1653070302667903</v>
      </c>
      <c r="S33" s="53">
        <v>18</v>
      </c>
      <c r="T33" s="55">
        <f>(4*R33)/(3.14159*(S33/12)^2)</f>
        <v>0.65942944263780956</v>
      </c>
      <c r="U33" s="56">
        <f>((R33/((0.463135/cell_NP)*((S33/12)^(8/3))))^2)*cell_FF</f>
        <v>1.4154570342623607E-4</v>
      </c>
      <c r="V33" s="53">
        <v>300</v>
      </c>
      <c r="W33" s="53">
        <f>V33/(T33*60)</f>
        <v>7.5823123395875447</v>
      </c>
      <c r="X33" s="53">
        <f>W33+P33</f>
        <v>31.924565438262952</v>
      </c>
      <c r="Y33" s="55">
        <f>U33*V33</f>
        <v>4.2463711027870818E-2</v>
      </c>
      <c r="Z33" s="55">
        <f>IF(VLOOKUP(7.1,table_CIA_JCTS,25,FALSE)+VLOOKUP(7,table_CIA_JCTS,24,FALSE)&lt;VLOOKUP(7,table_CIA_JCTS,28,FALSE),VLOOKUP(7,table_CIA_JCTS,28,FALSE),VLOOKUP(7.1,table_CIA_JCTS,25,FALSE)+VLOOKUP(7,table_CIA_JCTS,24,FALSE))</f>
        <v>415.72047848364059</v>
      </c>
      <c r="AA33" s="55">
        <v>421.85</v>
      </c>
      <c r="AB33" s="55">
        <f>(AA33-0.5)-Z33</f>
        <v>5.6295215163594321</v>
      </c>
      <c r="AC33" s="57">
        <v>415.37</v>
      </c>
      <c r="AD33" t="s">
        <v>10</v>
      </c>
    </row>
    <row r="34" spans="2:30" x14ac:dyDescent="0.2">
      <c r="B34" s="216">
        <v>7.1</v>
      </c>
      <c r="C34" s="217" t="s">
        <v>10</v>
      </c>
      <c r="D34" s="54" t="s">
        <v>10</v>
      </c>
      <c r="E34" s="54">
        <f>VLOOKUP(6.1,table_CIA_JCTS,4,FALSE)+VLOOKUP(7,table_CIA_JCTS,4,FALSE)</f>
        <v>63.31</v>
      </c>
      <c r="F34" s="55" t="s">
        <v>10</v>
      </c>
      <c r="G34" s="54" t="s">
        <v>10</v>
      </c>
      <c r="H34" s="54">
        <f>VLOOKUP(6.1,table_CIA_JCTS,7,FALSE)+VLOOKUP(7,table_CIA_JCTS,7,FALSE)</f>
        <v>34.957600000000006</v>
      </c>
      <c r="I34" s="54" t="s">
        <v>10</v>
      </c>
      <c r="J34" s="54">
        <f>VLOOKUP(6.1,table_CIA_JCTS,9,FALSE)+VLOOKUP(7,table_CIA_JCTS,9,FALSE)</f>
        <v>37.317180000000008</v>
      </c>
      <c r="K34" s="56" t="s">
        <v>10</v>
      </c>
      <c r="L34" s="53" t="s">
        <v>10</v>
      </c>
      <c r="M34" s="55" t="s">
        <v>10</v>
      </c>
      <c r="N34" s="53" t="s">
        <v>10</v>
      </c>
      <c r="O34" s="53" t="s">
        <v>10</v>
      </c>
      <c r="P34" s="53">
        <f>VLOOKUP(6.1,table_CIA_JCTS,23,FALSE)</f>
        <v>54.979814218015818</v>
      </c>
      <c r="Q34" s="55">
        <f>cell_P*(P34^cell_E)</f>
        <v>0.45070101812456653</v>
      </c>
      <c r="R34" s="54">
        <f>J34*Q34</f>
        <v>16.818891019537716</v>
      </c>
      <c r="S34" s="53">
        <v>30</v>
      </c>
      <c r="T34" s="55">
        <f>(4*R34)/(3.14159*(S34/12)^2)</f>
        <v>3.4263192372346927</v>
      </c>
      <c r="U34" s="56">
        <f>((R34/((0.463135/cell_NP)*((S34/12)^(8/3))))^2)*cell_FF</f>
        <v>1.9338257537555774E-3</v>
      </c>
      <c r="V34" s="53">
        <v>30</v>
      </c>
      <c r="W34" s="53">
        <f>V34/(T34*60)</f>
        <v>0.14592919263516702</v>
      </c>
      <c r="X34" s="53">
        <f>W34+P34</f>
        <v>55.125743410650983</v>
      </c>
      <c r="Y34" s="55">
        <f>U34*V34</f>
        <v>5.8014772612667319E-2</v>
      </c>
      <c r="Z34" s="55">
        <f>IF(VLOOKUP(9,table_CIA_JCTS,25,FALSE)+VLOOKUP(7.1,table_CIA_JCTS,24,FALSE)&lt;VLOOKUP(7.1,table_CIA_JCTS,28,FALSE),VLOOKUP(7.1,table_CIA_JCTS,28,FALSE),VLOOKUP(9,table_CIA_JCTS,25,FALSE)+VLOOKUP(7.1,table_CIA_JCTS,24,FALSE))</f>
        <v>415.6780147726127</v>
      </c>
      <c r="AA34" s="55">
        <v>421.55</v>
      </c>
      <c r="AB34" s="55">
        <f>(AA34-0.5)-Z34</f>
        <v>5.371985227387313</v>
      </c>
      <c r="AC34" s="57">
        <v>415.6</v>
      </c>
      <c r="AD34" t="s">
        <v>10</v>
      </c>
    </row>
    <row r="35" spans="2:30" x14ac:dyDescent="0.2">
      <c r="B35" s="216" t="s">
        <v>10</v>
      </c>
      <c r="C35" s="217" t="s">
        <v>10</v>
      </c>
      <c r="D35" s="54" t="s">
        <v>10</v>
      </c>
      <c r="E35" s="54" t="s">
        <v>10</v>
      </c>
      <c r="F35" s="55" t="s">
        <v>10</v>
      </c>
      <c r="G35" s="54" t="s">
        <v>10</v>
      </c>
      <c r="H35" s="54" t="s">
        <v>10</v>
      </c>
      <c r="I35" s="54" t="s">
        <v>10</v>
      </c>
      <c r="J35" s="54" t="s">
        <v>10</v>
      </c>
      <c r="K35" s="56" t="s">
        <v>10</v>
      </c>
      <c r="L35" s="53" t="s">
        <v>10</v>
      </c>
      <c r="M35" s="55" t="s">
        <v>10</v>
      </c>
      <c r="N35" s="53" t="s">
        <v>10</v>
      </c>
      <c r="O35" s="53" t="s">
        <v>10</v>
      </c>
      <c r="P35" s="53" t="s">
        <v>10</v>
      </c>
      <c r="Q35" s="55" t="s">
        <v>10</v>
      </c>
      <c r="R35" s="54" t="s">
        <v>10</v>
      </c>
      <c r="S35" s="53" t="s">
        <v>10</v>
      </c>
      <c r="T35" s="55" t="s">
        <v>10</v>
      </c>
      <c r="U35" s="56" t="s">
        <v>10</v>
      </c>
      <c r="V35" s="53" t="s">
        <v>10</v>
      </c>
      <c r="W35" s="53" t="s">
        <v>10</v>
      </c>
      <c r="X35" s="53" t="s">
        <v>10</v>
      </c>
      <c r="Y35" s="55" t="s">
        <v>10</v>
      </c>
      <c r="Z35" s="55" t="s">
        <v>10</v>
      </c>
      <c r="AA35" s="55" t="s">
        <v>10</v>
      </c>
      <c r="AB35" s="55" t="s">
        <v>10</v>
      </c>
      <c r="AC35" s="57" t="s">
        <v>10</v>
      </c>
      <c r="AD35" t="s">
        <v>10</v>
      </c>
    </row>
    <row r="36" spans="2:30" x14ac:dyDescent="0.2">
      <c r="B36" s="216" t="s">
        <v>10</v>
      </c>
      <c r="C36" s="215">
        <v>12</v>
      </c>
      <c r="D36" s="54">
        <f>VLOOKUP(C36,table_DI,2)</f>
        <v>1.95</v>
      </c>
      <c r="E36" s="54" t="s">
        <v>10</v>
      </c>
      <c r="F36" s="55">
        <f>VLOOKUP(C36,table_DI,5)</f>
        <v>0.35000000000000003</v>
      </c>
      <c r="G36" s="54">
        <f>VLOOKUP(C36,table_DI,3)</f>
        <v>0.624</v>
      </c>
      <c r="H36" s="54" t="s">
        <v>10</v>
      </c>
      <c r="I36" s="54">
        <f>VLOOKUP(C36,table_DI,4)</f>
        <v>0.6825</v>
      </c>
      <c r="J36" s="54" t="s">
        <v>10</v>
      </c>
      <c r="K36" s="56">
        <f>VLOOKUP(C36,table_DI,9)</f>
        <v>2.2850678733031468E-3</v>
      </c>
      <c r="L36" s="53">
        <f>VLOOKUP(C36,table_DI,8)</f>
        <v>442</v>
      </c>
      <c r="M36" s="55">
        <f>(0.84*(K36^0.5)*(cell_GUTDEP^0.6666)/cell_NRD)</f>
        <v>1.4075597278564491</v>
      </c>
      <c r="N36" s="53">
        <f>VLOOKUP(C36,table_DI,10)</f>
        <v>25</v>
      </c>
      <c r="O36" s="53">
        <f>(L36/(M36*60))</f>
        <v>5.2336441011176476</v>
      </c>
      <c r="P36" s="53">
        <f>N36+O36</f>
        <v>30.233644101117648</v>
      </c>
      <c r="Q36" s="55">
        <f t="shared" ref="Q36:Q41" si="2">cell_P*(P36^cell_E)</f>
        <v>0.65542148960125679</v>
      </c>
      <c r="R36" s="54">
        <f>Q36*I36</f>
        <v>0.44732516665285776</v>
      </c>
      <c r="S36" s="53" t="s">
        <v>10</v>
      </c>
      <c r="T36" s="55" t="s">
        <v>10</v>
      </c>
      <c r="U36" s="56" t="s">
        <v>10</v>
      </c>
      <c r="V36" s="53" t="s">
        <v>10</v>
      </c>
      <c r="W36" s="53" t="s">
        <v>10</v>
      </c>
      <c r="X36" s="53" t="s">
        <v>10</v>
      </c>
      <c r="Y36" s="55" t="s">
        <v>10</v>
      </c>
      <c r="Z36" s="55" t="s">
        <v>10</v>
      </c>
      <c r="AA36" s="55" t="s">
        <v>10</v>
      </c>
      <c r="AB36" s="55" t="s">
        <v>10</v>
      </c>
      <c r="AC36" s="57" t="s">
        <v>10</v>
      </c>
      <c r="AD36" t="s">
        <v>10</v>
      </c>
    </row>
    <row r="37" spans="2:30" x14ac:dyDescent="0.2">
      <c r="B37" s="216" t="s">
        <v>10</v>
      </c>
      <c r="C37" s="215">
        <v>13</v>
      </c>
      <c r="D37" s="54">
        <f>VLOOKUP(C37,table_DI,2)</f>
        <v>3.98</v>
      </c>
      <c r="E37" s="54" t="s">
        <v>10</v>
      </c>
      <c r="F37" s="55">
        <f>VLOOKUP(C37,table_DI,5)</f>
        <v>0.35000000000000003</v>
      </c>
      <c r="G37" s="54">
        <f>VLOOKUP(C37,table_DI,3)</f>
        <v>1.2736000000000001</v>
      </c>
      <c r="H37" s="54" t="s">
        <v>10</v>
      </c>
      <c r="I37" s="54">
        <f>VLOOKUP(C37,table_DI,4)</f>
        <v>1.393</v>
      </c>
      <c r="J37" s="54" t="s">
        <v>10</v>
      </c>
      <c r="K37" s="56">
        <f>VLOOKUP(C37,table_DI,9)</f>
        <v>2.7352941176470788E-3</v>
      </c>
      <c r="L37" s="53">
        <f>VLOOKUP(C37,table_DI,8)</f>
        <v>680</v>
      </c>
      <c r="M37" s="55">
        <f>(0.84*(K37^0.5)*(cell_GUTDEP^0.6666)/cell_NRD)</f>
        <v>1.5399949480653199</v>
      </c>
      <c r="N37" s="53">
        <f>VLOOKUP(C37,table_DI,10)</f>
        <v>25</v>
      </c>
      <c r="O37" s="53">
        <f>(L37/(M37*60))</f>
        <v>7.3593315014255634</v>
      </c>
      <c r="P37" s="53">
        <f>N37+O37</f>
        <v>32.359331501425565</v>
      </c>
      <c r="Q37" s="55">
        <f t="shared" si="2"/>
        <v>0.62811926366843596</v>
      </c>
      <c r="R37" s="54">
        <f>Q37*I37</f>
        <v>0.87497013429013126</v>
      </c>
      <c r="S37" s="53" t="s">
        <v>10</v>
      </c>
      <c r="T37" s="55" t="s">
        <v>10</v>
      </c>
      <c r="U37" s="56" t="s">
        <v>10</v>
      </c>
      <c r="V37" s="53" t="s">
        <v>10</v>
      </c>
      <c r="W37" s="53" t="s">
        <v>10</v>
      </c>
      <c r="X37" s="53" t="s">
        <v>10</v>
      </c>
      <c r="Y37" s="55" t="s">
        <v>10</v>
      </c>
      <c r="Z37" s="55" t="s">
        <v>10</v>
      </c>
      <c r="AA37" s="55" t="s">
        <v>10</v>
      </c>
      <c r="AB37" s="55" t="s">
        <v>10</v>
      </c>
      <c r="AC37" s="57" t="s">
        <v>10</v>
      </c>
      <c r="AD37" t="s">
        <v>10</v>
      </c>
    </row>
    <row r="38" spans="2:30" x14ac:dyDescent="0.2">
      <c r="B38" s="216">
        <v>8</v>
      </c>
      <c r="C38" s="217" t="s">
        <v>10</v>
      </c>
      <c r="D38" s="54" t="s">
        <v>10</v>
      </c>
      <c r="E38" s="54">
        <f>VLOOKUP(12,table_CIA_INLETS,2,FALSE)+VLOOKUP(13,table_CIA_INLETS,2,FALSE)</f>
        <v>5.93</v>
      </c>
      <c r="F38" s="55" t="s">
        <v>10</v>
      </c>
      <c r="G38" s="54" t="s">
        <v>10</v>
      </c>
      <c r="H38" s="54">
        <f>VLOOKUP(12,table_CIA_INLETS,5,FALSE)+VLOOKUP(13,table_CIA_INLETS,5,FALSE)</f>
        <v>1.8976000000000002</v>
      </c>
      <c r="I38" s="54" t="s">
        <v>10</v>
      </c>
      <c r="J38" s="54">
        <f>VLOOKUP(12,table_CIA_INLETS,7,FALSE)+VLOOKUP(13,table_CIA_INLETS,7,FALSE)</f>
        <v>2.0754999999999999</v>
      </c>
      <c r="K38" s="56" t="s">
        <v>10</v>
      </c>
      <c r="L38" s="53" t="s">
        <v>10</v>
      </c>
      <c r="M38" s="55" t="s">
        <v>10</v>
      </c>
      <c r="N38" s="53" t="s">
        <v>10</v>
      </c>
      <c r="O38" s="53" t="s">
        <v>10</v>
      </c>
      <c r="P38" s="53">
        <f>VLOOKUP(13,table_CIA_INLETS,14,FALSE)</f>
        <v>32.359331501425565</v>
      </c>
      <c r="Q38" s="55">
        <f t="shared" si="2"/>
        <v>0.62811926366843596</v>
      </c>
      <c r="R38" s="54">
        <f>J38*Q38</f>
        <v>1.3036615317438387</v>
      </c>
      <c r="S38" s="53">
        <v>18</v>
      </c>
      <c r="T38" s="55">
        <f>(4*R38)/(3.14159*(S38/12)^2)</f>
        <v>0.73772214097891053</v>
      </c>
      <c r="U38" s="56">
        <f>((R38/((0.463135/cell_NP)*((S38/12)^(8/3))))^2)*cell_FF</f>
        <v>1.7715183659215862E-4</v>
      </c>
      <c r="V38" s="53">
        <v>291</v>
      </c>
      <c r="W38" s="53">
        <f>V38/(T38*60)</f>
        <v>6.5742909567067587</v>
      </c>
      <c r="X38" s="53">
        <f>W38+P38</f>
        <v>38.933622458132326</v>
      </c>
      <c r="Y38" s="55">
        <f>U38*V38</f>
        <v>5.155118444831816E-2</v>
      </c>
      <c r="Z38" s="55">
        <f>IF(VLOOKUP(9,table_CIA_JCTS,25,FALSE)+VLOOKUP(8,table_CIA_JCTS,24,FALSE)&lt;VLOOKUP(8,table_CIA_JCTS,28,FALSE),VLOOKUP(8,table_CIA_JCTS,28,FALSE),VLOOKUP(9,table_CIA_JCTS,25,FALSE)+VLOOKUP(8,table_CIA_JCTS,24,FALSE))</f>
        <v>416.19</v>
      </c>
      <c r="AA38" s="55">
        <v>422</v>
      </c>
      <c r="AB38" s="55">
        <f>(AA38-0.5)-Z38</f>
        <v>5.3100000000000023</v>
      </c>
      <c r="AC38" s="57">
        <v>416.19</v>
      </c>
      <c r="AD38" t="s">
        <v>10</v>
      </c>
    </row>
    <row r="39" spans="2:30" x14ac:dyDescent="0.2">
      <c r="B39" s="216">
        <v>9</v>
      </c>
      <c r="C39" s="217" t="s">
        <v>10</v>
      </c>
      <c r="D39" s="54" t="s">
        <v>10</v>
      </c>
      <c r="E39" s="54">
        <f>VLOOKUP(7.1,table_CIA_JCTS,4,FALSE)+VLOOKUP(8,table_CIA_JCTS,4,FALSE)</f>
        <v>69.240000000000009</v>
      </c>
      <c r="F39" s="55" t="s">
        <v>10</v>
      </c>
      <c r="G39" s="54" t="s">
        <v>10</v>
      </c>
      <c r="H39" s="54">
        <f>VLOOKUP(7.1,table_CIA_JCTS,7,FALSE)+VLOOKUP(8,table_CIA_JCTS,7,FALSE)</f>
        <v>36.855200000000004</v>
      </c>
      <c r="I39" s="54" t="s">
        <v>10</v>
      </c>
      <c r="J39" s="54">
        <f>VLOOKUP(7.1,table_CIA_JCTS,9,FALSE)+VLOOKUP(8,table_CIA_JCTS,9,FALSE)</f>
        <v>39.392680000000006</v>
      </c>
      <c r="K39" s="56" t="s">
        <v>10</v>
      </c>
      <c r="L39" s="53" t="s">
        <v>10</v>
      </c>
      <c r="M39" s="55" t="s">
        <v>10</v>
      </c>
      <c r="N39" s="53" t="s">
        <v>10</v>
      </c>
      <c r="O39" s="53" t="s">
        <v>10</v>
      </c>
      <c r="P39" s="53">
        <f>VLOOKUP(7.1,table_CIA_JCTS,23,FALSE)</f>
        <v>55.125743410650983</v>
      </c>
      <c r="Q39" s="55">
        <f t="shared" si="2"/>
        <v>0.44995352981784009</v>
      </c>
      <c r="R39" s="54">
        <f>J39*Q39</f>
        <v>17.724875414984634</v>
      </c>
      <c r="S39" s="53">
        <v>30</v>
      </c>
      <c r="T39" s="55">
        <f>(4*R39)/(3.14159*(S39/12)^2)</f>
        <v>3.6108850186020982</v>
      </c>
      <c r="U39" s="56">
        <f>((R39/((0.463135/cell_NP)*((S39/12)^(8/3))))^2)*cell_FF</f>
        <v>2.1477761192368436E-3</v>
      </c>
      <c r="V39" s="53">
        <v>683</v>
      </c>
      <c r="W39" s="53">
        <f>V39/(T39*60)</f>
        <v>3.1525050713855811</v>
      </c>
      <c r="X39" s="53">
        <f>W39+P39</f>
        <v>58.278248482036567</v>
      </c>
      <c r="Y39" s="55">
        <f>U39*V39</f>
        <v>1.4669310894387642</v>
      </c>
      <c r="Z39" s="55">
        <f>IF(VLOOKUP(11,table_CIA_JCTS,25,FALSE)+VLOOKUP(9,table_CIA_JCTS,24,FALSE)&lt;VLOOKUP(9,table_CIA_JCTS,28,FALSE),VLOOKUP(9,table_CIA_JCTS,28,FALSE),VLOOKUP(11,table_CIA_JCTS,25,FALSE)+VLOOKUP(9,table_CIA_JCTS,24,FALSE))</f>
        <v>415.62</v>
      </c>
      <c r="AA39" s="55">
        <v>421.4</v>
      </c>
      <c r="AB39" s="55">
        <f>(AA39-0.5)-Z39</f>
        <v>5.2799999999999727</v>
      </c>
      <c r="AC39" s="57">
        <v>415.62</v>
      </c>
      <c r="AD39" t="s">
        <v>10</v>
      </c>
    </row>
    <row r="40" spans="2:30" x14ac:dyDescent="0.2">
      <c r="B40" s="216" t="s">
        <v>10</v>
      </c>
      <c r="C40" s="215">
        <v>15</v>
      </c>
      <c r="D40" s="54">
        <f>VLOOKUP(C40,table_DI,2)</f>
        <v>4.8</v>
      </c>
      <c r="E40" s="54" t="s">
        <v>10</v>
      </c>
      <c r="F40" s="55">
        <f>VLOOKUP(C40,table_DI,5)</f>
        <v>0.46200000000000002</v>
      </c>
      <c r="G40" s="54">
        <f>VLOOKUP(C40,table_DI,3)</f>
        <v>2.016</v>
      </c>
      <c r="H40" s="54" t="s">
        <v>10</v>
      </c>
      <c r="I40" s="54">
        <f>VLOOKUP(C40,table_DI,4)</f>
        <v>2.2176</v>
      </c>
      <c r="J40" s="54" t="s">
        <v>10</v>
      </c>
      <c r="K40" s="56">
        <f>VLOOKUP(C40,table_DI,9)</f>
        <v>5.0380848748639772E-3</v>
      </c>
      <c r="L40" s="53">
        <f>VLOOKUP(C40,table_DI,8)</f>
        <v>919</v>
      </c>
      <c r="M40" s="55">
        <f>(0.84*(K40^0.5)*(cell_GUTDEP^0.6666)/cell_NRD)</f>
        <v>2.0900179700228989</v>
      </c>
      <c r="N40" s="53">
        <f>VLOOKUP(C40,table_DI,10)</f>
        <v>20</v>
      </c>
      <c r="O40" s="53">
        <f>(L40/(M40*60))</f>
        <v>7.3284856333071877</v>
      </c>
      <c r="P40" s="53">
        <f>N40+O40</f>
        <v>27.328485633307189</v>
      </c>
      <c r="Q40" s="55">
        <f t="shared" si="2"/>
        <v>0.69822461904616129</v>
      </c>
      <c r="R40" s="54">
        <f>Q40*I40</f>
        <v>1.5483829151967672</v>
      </c>
      <c r="S40" s="53" t="s">
        <v>10</v>
      </c>
      <c r="T40" s="55" t="s">
        <v>10</v>
      </c>
      <c r="U40" s="56" t="s">
        <v>10</v>
      </c>
      <c r="V40" s="53" t="s">
        <v>10</v>
      </c>
      <c r="W40" s="53" t="s">
        <v>10</v>
      </c>
      <c r="X40" s="53" t="s">
        <v>10</v>
      </c>
      <c r="Y40" s="55" t="s">
        <v>10</v>
      </c>
      <c r="Z40" s="55" t="s">
        <v>10</v>
      </c>
      <c r="AA40" s="55" t="s">
        <v>10</v>
      </c>
      <c r="AB40" s="55" t="s">
        <v>10</v>
      </c>
      <c r="AC40" s="57" t="s">
        <v>10</v>
      </c>
      <c r="AD40" t="s">
        <v>10</v>
      </c>
    </row>
    <row r="41" spans="2:30" x14ac:dyDescent="0.2">
      <c r="B41" s="216">
        <v>11</v>
      </c>
      <c r="C41" s="217" t="s">
        <v>10</v>
      </c>
      <c r="D41" s="54" t="s">
        <v>10</v>
      </c>
      <c r="E41" s="54">
        <f>VLOOKUP(9,table_CIA_JCTS,4,FALSE)+VLOOKUP(15,table_CIA_INLETS,2,FALSE)</f>
        <v>74.040000000000006</v>
      </c>
      <c r="F41" s="55" t="s">
        <v>10</v>
      </c>
      <c r="G41" s="54" t="s">
        <v>10</v>
      </c>
      <c r="H41" s="54">
        <f>VLOOKUP(9,table_CIA_JCTS,7,FALSE)+VLOOKUP(15,table_CIA_INLETS,5,FALSE)</f>
        <v>38.871200000000002</v>
      </c>
      <c r="I41" s="54" t="s">
        <v>10</v>
      </c>
      <c r="J41" s="54">
        <f>VLOOKUP(9,table_CIA_JCTS,9,FALSE)+VLOOKUP(15,table_CIA_INLETS,7,FALSE)</f>
        <v>41.610280000000003</v>
      </c>
      <c r="K41" s="56" t="s">
        <v>10</v>
      </c>
      <c r="L41" s="53" t="s">
        <v>10</v>
      </c>
      <c r="M41" s="55" t="s">
        <v>10</v>
      </c>
      <c r="N41" s="53" t="s">
        <v>10</v>
      </c>
      <c r="O41" s="53" t="s">
        <v>10</v>
      </c>
      <c r="P41" s="53">
        <f>VLOOKUP(9,table_CIA_JCTS,23,FALSE)</f>
        <v>58.278248482036567</v>
      </c>
      <c r="Q41" s="55">
        <f t="shared" si="2"/>
        <v>0.43455390904583197</v>
      </c>
      <c r="R41" s="54">
        <f>J41*Q41</f>
        <v>18.081909830491604</v>
      </c>
      <c r="S41" s="53">
        <v>30</v>
      </c>
      <c r="T41" s="55">
        <f>(4*R41)/(3.14159*(S41/12)^2)</f>
        <v>3.6836195339030957</v>
      </c>
      <c r="U41" s="56">
        <f>((R41/((0.463135/cell_NP)*((S41/12)^(8/3))))^2)*cell_FF</f>
        <v>2.2351734238910846E-3</v>
      </c>
      <c r="V41" s="53">
        <v>50</v>
      </c>
      <c r="W41" s="53">
        <f>V41/(T41*60)</f>
        <v>0.22622676572961611</v>
      </c>
      <c r="X41" s="53">
        <f>W41+P41</f>
        <v>58.50447524776618</v>
      </c>
      <c r="Y41" s="55">
        <f>U41*V41</f>
        <v>0.11175867119455422</v>
      </c>
      <c r="Z41" s="55">
        <f>IF(VLOOKUP(15,table_CIA_JCTS,25,FALSE)+VLOOKUP(11,table_CIA_JCTS,24,FALSE)&lt;VLOOKUP(11,table_CIA_JCTS,28,FALSE),VLOOKUP(11,table_CIA_JCTS,28,FALSE),VLOOKUP(15,table_CIA_JCTS,25,FALSE)+VLOOKUP(11,table_CIA_JCTS,24,FALSE))</f>
        <v>411.94175867119452</v>
      </c>
      <c r="AA41" s="55">
        <v>417.6</v>
      </c>
      <c r="AB41" s="55">
        <f>(AA41-0.5)-Z41</f>
        <v>5.1582413288055022</v>
      </c>
      <c r="AC41" s="57">
        <v>411.73</v>
      </c>
      <c r="AD41" t="s">
        <v>10</v>
      </c>
    </row>
    <row r="42" spans="2:30" x14ac:dyDescent="0.2">
      <c r="B42" s="216" t="s">
        <v>10</v>
      </c>
      <c r="C42" s="217" t="s">
        <v>10</v>
      </c>
      <c r="D42" s="54" t="s">
        <v>10</v>
      </c>
      <c r="E42" s="54" t="s">
        <v>10</v>
      </c>
      <c r="F42" s="55" t="s">
        <v>10</v>
      </c>
      <c r="G42" s="54" t="s">
        <v>10</v>
      </c>
      <c r="H42" s="54" t="s">
        <v>10</v>
      </c>
      <c r="I42" s="54" t="s">
        <v>10</v>
      </c>
      <c r="J42" s="54" t="s">
        <v>10</v>
      </c>
      <c r="K42" s="56" t="s">
        <v>10</v>
      </c>
      <c r="L42" s="53" t="s">
        <v>10</v>
      </c>
      <c r="M42" s="55" t="s">
        <v>10</v>
      </c>
      <c r="N42" s="53" t="s">
        <v>10</v>
      </c>
      <c r="O42" s="53" t="s">
        <v>10</v>
      </c>
      <c r="P42" s="53" t="s">
        <v>10</v>
      </c>
      <c r="Q42" s="55" t="s">
        <v>10</v>
      </c>
      <c r="R42" s="54" t="s">
        <v>10</v>
      </c>
      <c r="S42" s="53" t="s">
        <v>10</v>
      </c>
      <c r="T42" s="55" t="s">
        <v>10</v>
      </c>
      <c r="U42" s="56" t="s">
        <v>10</v>
      </c>
      <c r="V42" s="53" t="s">
        <v>10</v>
      </c>
      <c r="W42" s="53" t="s">
        <v>10</v>
      </c>
      <c r="X42" s="53" t="s">
        <v>10</v>
      </c>
      <c r="Y42" s="55" t="s">
        <v>10</v>
      </c>
      <c r="Z42" s="55" t="s">
        <v>10</v>
      </c>
      <c r="AA42" s="55" t="s">
        <v>10</v>
      </c>
      <c r="AB42" s="55" t="s">
        <v>10</v>
      </c>
      <c r="AC42" s="57" t="s">
        <v>10</v>
      </c>
      <c r="AD42" t="s">
        <v>10</v>
      </c>
    </row>
    <row r="43" spans="2:30" x14ac:dyDescent="0.2">
      <c r="B43" s="216" t="s">
        <v>10</v>
      </c>
      <c r="C43" s="215">
        <v>16</v>
      </c>
      <c r="D43" s="54">
        <f>VLOOKUP(C43,table_DI,2)</f>
        <v>4.0999999999999996</v>
      </c>
      <c r="E43" s="54" t="s">
        <v>10</v>
      </c>
      <c r="F43" s="55">
        <f>VLOOKUP(C43,table_DI,5)</f>
        <v>0.35000000000000003</v>
      </c>
      <c r="G43" s="54">
        <f>VLOOKUP(C43,table_DI,3)</f>
        <v>1.3120000000000001</v>
      </c>
      <c r="H43" s="54" t="s">
        <v>10</v>
      </c>
      <c r="I43" s="54">
        <f>VLOOKUP(C43,table_DI,4)</f>
        <v>1.4350000000000001</v>
      </c>
      <c r="J43" s="54" t="s">
        <v>10</v>
      </c>
      <c r="K43" s="56">
        <f>VLOOKUP(C43,table_DI,9)</f>
        <v>2.6970954356846473E-3</v>
      </c>
      <c r="L43" s="53">
        <f>VLOOKUP(C43,table_DI,8)</f>
        <v>1205</v>
      </c>
      <c r="M43" s="55">
        <f>(0.84*(K43^0.5)*(cell_GUTDEP^0.6666)/cell_NRD)</f>
        <v>1.5292040424974356</v>
      </c>
      <c r="N43" s="53">
        <f>VLOOKUP(C43,table_DI,10)</f>
        <v>25</v>
      </c>
      <c r="O43" s="53">
        <f>(L43/(M43*60))</f>
        <v>13.13319398537165</v>
      </c>
      <c r="P43" s="53">
        <f>N43+O43</f>
        <v>38.133193985371648</v>
      </c>
      <c r="Q43" s="55">
        <f>cell_P*(P43^cell_E)</f>
        <v>0.56675031806422427</v>
      </c>
      <c r="R43" s="54">
        <f>Q43*I43</f>
        <v>0.81328670642216183</v>
      </c>
      <c r="S43" s="53" t="s">
        <v>10</v>
      </c>
      <c r="T43" s="55" t="s">
        <v>10</v>
      </c>
      <c r="U43" s="56" t="s">
        <v>10</v>
      </c>
      <c r="V43" s="53" t="s">
        <v>10</v>
      </c>
      <c r="W43" s="53" t="s">
        <v>10</v>
      </c>
      <c r="X43" s="53" t="s">
        <v>10</v>
      </c>
      <c r="Y43" s="55" t="s">
        <v>10</v>
      </c>
      <c r="Z43" s="55" t="s">
        <v>10</v>
      </c>
      <c r="AA43" s="55" t="s">
        <v>10</v>
      </c>
      <c r="AB43" s="55" t="s">
        <v>10</v>
      </c>
      <c r="AC43" s="57" t="s">
        <v>10</v>
      </c>
      <c r="AD43" t="s">
        <v>10</v>
      </c>
    </row>
    <row r="44" spans="2:30" x14ac:dyDescent="0.2">
      <c r="B44" s="216">
        <v>12</v>
      </c>
      <c r="C44" s="217" t="s">
        <v>10</v>
      </c>
      <c r="D44" s="54" t="s">
        <v>10</v>
      </c>
      <c r="E44" s="54">
        <f>VLOOKUP(16,table_CIA_INLETS,2,FALSE)</f>
        <v>4.0999999999999996</v>
      </c>
      <c r="F44" s="55" t="s">
        <v>10</v>
      </c>
      <c r="G44" s="54" t="s">
        <v>10</v>
      </c>
      <c r="H44" s="54">
        <f>VLOOKUP(16,table_CIA_INLETS,5,FALSE)</f>
        <v>1.3120000000000001</v>
      </c>
      <c r="I44" s="54" t="s">
        <v>10</v>
      </c>
      <c r="J44" s="54">
        <f>VLOOKUP(16,table_CIA_INLETS,7,FALSE)</f>
        <v>1.4350000000000001</v>
      </c>
      <c r="K44" s="56" t="s">
        <v>10</v>
      </c>
      <c r="L44" s="53" t="s">
        <v>10</v>
      </c>
      <c r="M44" s="55" t="s">
        <v>10</v>
      </c>
      <c r="N44" s="53" t="s">
        <v>10</v>
      </c>
      <c r="O44" s="53" t="s">
        <v>10</v>
      </c>
      <c r="P44" s="53">
        <f>VLOOKUP(16,table_CIA_INLETS,14,FALSE)</f>
        <v>38.133193985371648</v>
      </c>
      <c r="Q44" s="55">
        <f>cell_P*(P44^cell_E)</f>
        <v>0.56675031806422427</v>
      </c>
      <c r="R44" s="54">
        <f>J44*Q44</f>
        <v>0.81328670642216183</v>
      </c>
      <c r="S44" s="53">
        <v>18</v>
      </c>
      <c r="T44" s="55">
        <f>(4*R44)/(3.14159*(S44/12)^2)</f>
        <v>0.46022652021409505</v>
      </c>
      <c r="U44" s="56">
        <f>((R44/((0.463135/cell_NP)*((S44/12)^(8/3))))^2)*cell_FF</f>
        <v>6.8945084010951866E-5</v>
      </c>
      <c r="V44" s="53">
        <v>356</v>
      </c>
      <c r="W44" s="53">
        <f>V44/(T44*60)</f>
        <v>12.89220214987432</v>
      </c>
      <c r="X44" s="53">
        <f>W44+P44</f>
        <v>51.02539613524597</v>
      </c>
      <c r="Y44" s="55">
        <f>U44*V44</f>
        <v>2.4544449907898863E-2</v>
      </c>
      <c r="Z44" s="55">
        <f>IF(VLOOKUP(13,table_CIA_JCTS,25,FALSE)+VLOOKUP(12,table_CIA_JCTS,24,FALSE)&lt;VLOOKUP(12,table_CIA_JCTS,28,FALSE),VLOOKUP(12,table_CIA_JCTS,28,FALSE),VLOOKUP(13,table_CIA_JCTS,25,FALSE)+VLOOKUP(12,table_CIA_JCTS,24,FALSE))</f>
        <v>414.19</v>
      </c>
      <c r="AA44" s="55">
        <v>419.78</v>
      </c>
      <c r="AB44" s="55">
        <f>(AA44-0.5)-Z44</f>
        <v>5.089999999999975</v>
      </c>
      <c r="AC44" s="57">
        <v>414.19</v>
      </c>
      <c r="AD44" t="s">
        <v>10</v>
      </c>
    </row>
    <row r="45" spans="2:30" x14ac:dyDescent="0.2">
      <c r="B45" s="216" t="s">
        <v>10</v>
      </c>
      <c r="C45" s="215">
        <v>17</v>
      </c>
      <c r="D45" s="54">
        <f>VLOOKUP(C45,table_DI,2)</f>
        <v>3.03</v>
      </c>
      <c r="E45" s="54" t="s">
        <v>10</v>
      </c>
      <c r="F45" s="55">
        <f>VLOOKUP(C45,table_DI,5)</f>
        <v>0.35313531353135319</v>
      </c>
      <c r="G45" s="54">
        <f>VLOOKUP(C45,table_DI,3)</f>
        <v>0.96</v>
      </c>
      <c r="H45" s="54" t="s">
        <v>10</v>
      </c>
      <c r="I45" s="54">
        <f>VLOOKUP(C45,table_DI,4)</f>
        <v>1.07</v>
      </c>
      <c r="J45" s="54" t="s">
        <v>10</v>
      </c>
      <c r="K45" s="56">
        <f>VLOOKUP(C45,table_DI,9)</f>
        <v>2.6919140225179074E-3</v>
      </c>
      <c r="L45" s="53">
        <f>VLOOKUP(C45,table_DI,8)</f>
        <v>977</v>
      </c>
      <c r="M45" s="55">
        <f>(0.84*(K45^0.5)*(cell_GUTDEP^0.6666)/cell_NRD)</f>
        <v>1.5277344528489887</v>
      </c>
      <c r="N45" s="53">
        <f>VLOOKUP(C45,table_DI,10)</f>
        <v>25</v>
      </c>
      <c r="O45" s="53">
        <f>(L45/(M45*60))</f>
        <v>10.658484072914264</v>
      </c>
      <c r="P45" s="53">
        <f>N45+O45</f>
        <v>35.658484072914263</v>
      </c>
      <c r="Q45" s="55">
        <f>cell_P*(P45^cell_E)</f>
        <v>0.59107070127887251</v>
      </c>
      <c r="R45" s="54">
        <f>Q45*I45</f>
        <v>0.63244565036839362</v>
      </c>
      <c r="S45" s="53" t="s">
        <v>10</v>
      </c>
      <c r="T45" s="55" t="s">
        <v>10</v>
      </c>
      <c r="U45" s="56" t="s">
        <v>10</v>
      </c>
      <c r="V45" s="53" t="s">
        <v>10</v>
      </c>
      <c r="W45" s="53" t="s">
        <v>10</v>
      </c>
      <c r="X45" s="53" t="s">
        <v>10</v>
      </c>
      <c r="Y45" s="55" t="s">
        <v>10</v>
      </c>
      <c r="Z45" s="55" t="s">
        <v>10</v>
      </c>
      <c r="AA45" s="55" t="s">
        <v>10</v>
      </c>
      <c r="AB45" s="55" t="s">
        <v>10</v>
      </c>
      <c r="AC45" s="57" t="s">
        <v>10</v>
      </c>
      <c r="AD45" t="s">
        <v>10</v>
      </c>
    </row>
    <row r="46" spans="2:30" x14ac:dyDescent="0.2">
      <c r="B46" s="216">
        <v>13</v>
      </c>
      <c r="C46" s="217" t="s">
        <v>10</v>
      </c>
      <c r="D46" s="54" t="s">
        <v>10</v>
      </c>
      <c r="E46" s="54">
        <f>VLOOKUP(12,table_CIA_JCTS,4,FALSE)+VLOOKUP(17,table_CIA_INLETS,2,FALSE)</f>
        <v>7.129999999999999</v>
      </c>
      <c r="F46" s="55" t="s">
        <v>10</v>
      </c>
      <c r="G46" s="54" t="s">
        <v>10</v>
      </c>
      <c r="H46" s="54">
        <f>VLOOKUP(12,table_CIA_JCTS,7,FALSE)+VLOOKUP(17,table_CIA_INLETS,5,FALSE)</f>
        <v>2.2720000000000002</v>
      </c>
      <c r="I46" s="54" t="s">
        <v>10</v>
      </c>
      <c r="J46" s="54">
        <f>VLOOKUP(12,table_CIA_JCTS,9,FALSE)+VLOOKUP(17,table_CIA_INLETS,7,FALSE)</f>
        <v>2.5049999999999999</v>
      </c>
      <c r="K46" s="56" t="s">
        <v>10</v>
      </c>
      <c r="L46" s="53" t="s">
        <v>10</v>
      </c>
      <c r="M46" s="55" t="s">
        <v>10</v>
      </c>
      <c r="N46" s="53" t="s">
        <v>10</v>
      </c>
      <c r="O46" s="53" t="s">
        <v>10</v>
      </c>
      <c r="P46" s="53">
        <f>VLOOKUP(12,table_CIA_JCTS,23,FALSE)</f>
        <v>51.02539613524597</v>
      </c>
      <c r="Q46" s="55">
        <f>cell_P*(P46^cell_E)</f>
        <v>0.47226742544886241</v>
      </c>
      <c r="R46" s="54">
        <f>J46*Q46</f>
        <v>1.1830299007494003</v>
      </c>
      <c r="S46" s="53">
        <v>18</v>
      </c>
      <c r="T46" s="55">
        <f>(4*R46)/(3.14159*(S46/12)^2)</f>
        <v>0.66945854423999751</v>
      </c>
      <c r="U46" s="56">
        <f>((R46/((0.463135/cell_NP)*((S46/12)^(8/3))))^2)*cell_FF</f>
        <v>1.4588391201379321E-4</v>
      </c>
      <c r="V46" s="53">
        <v>264</v>
      </c>
      <c r="W46" s="53">
        <f>V46/(T46*60)</f>
        <v>6.5724756788265326</v>
      </c>
      <c r="X46" s="53">
        <f>W46+P46</f>
        <v>57.597871814072505</v>
      </c>
      <c r="Y46" s="55">
        <f>U46*V46</f>
        <v>3.8513352771641404E-2</v>
      </c>
      <c r="Z46" s="55">
        <f>IF(VLOOKUP(15,table_CIA_JCTS,25,FALSE)+VLOOKUP(13,table_CIA_JCTS,24,FALSE)&lt;VLOOKUP(13,table_CIA_JCTS,28,FALSE),VLOOKUP(13,table_CIA_JCTS,28,FALSE),VLOOKUP(15,table_CIA_JCTS,25,FALSE)+VLOOKUP(13,table_CIA_JCTS,24,FALSE))</f>
        <v>413.38</v>
      </c>
      <c r="AA46" s="55">
        <v>418.37</v>
      </c>
      <c r="AB46" s="55">
        <f>(AA46-0.5)-Z46</f>
        <v>4.4900000000000091</v>
      </c>
      <c r="AC46" s="57">
        <v>413.38</v>
      </c>
      <c r="AD46" t="s">
        <v>10</v>
      </c>
    </row>
    <row r="47" spans="2:30" x14ac:dyDescent="0.2">
      <c r="B47" s="216" t="s">
        <v>10</v>
      </c>
      <c r="C47" s="217" t="s">
        <v>10</v>
      </c>
      <c r="D47" s="54" t="s">
        <v>10</v>
      </c>
      <c r="E47" s="54" t="s">
        <v>10</v>
      </c>
      <c r="F47" s="55" t="s">
        <v>10</v>
      </c>
      <c r="G47" s="54" t="s">
        <v>10</v>
      </c>
      <c r="H47" s="54" t="s">
        <v>10</v>
      </c>
      <c r="I47" s="54" t="s">
        <v>10</v>
      </c>
      <c r="J47" s="54" t="s">
        <v>10</v>
      </c>
      <c r="K47" s="56" t="s">
        <v>10</v>
      </c>
      <c r="L47" s="53" t="s">
        <v>10</v>
      </c>
      <c r="M47" s="55" t="s">
        <v>10</v>
      </c>
      <c r="N47" s="53" t="s">
        <v>10</v>
      </c>
      <c r="O47" s="53" t="s">
        <v>10</v>
      </c>
      <c r="P47" s="53" t="s">
        <v>10</v>
      </c>
      <c r="Q47" s="55" t="s">
        <v>10</v>
      </c>
      <c r="R47" s="54" t="s">
        <v>10</v>
      </c>
      <c r="S47" s="53" t="s">
        <v>10</v>
      </c>
      <c r="T47" s="55" t="s">
        <v>10</v>
      </c>
      <c r="U47" s="56" t="s">
        <v>10</v>
      </c>
      <c r="V47" s="53" t="s">
        <v>10</v>
      </c>
      <c r="W47" s="53" t="s">
        <v>10</v>
      </c>
      <c r="X47" s="53" t="s">
        <v>10</v>
      </c>
      <c r="Y47" s="55" t="s">
        <v>10</v>
      </c>
      <c r="Z47" s="55" t="s">
        <v>10</v>
      </c>
      <c r="AA47" s="55" t="s">
        <v>10</v>
      </c>
      <c r="AB47" s="55" t="s">
        <v>10</v>
      </c>
      <c r="AC47" s="57" t="s">
        <v>10</v>
      </c>
      <c r="AD47" t="s">
        <v>10</v>
      </c>
    </row>
    <row r="48" spans="2:30" x14ac:dyDescent="0.2">
      <c r="B48" s="216" t="s">
        <v>10</v>
      </c>
      <c r="C48" s="215">
        <v>18</v>
      </c>
      <c r="D48" s="54">
        <f>VLOOKUP(C48,table_DI,2)</f>
        <v>2.67</v>
      </c>
      <c r="E48" s="54" t="s">
        <v>10</v>
      </c>
      <c r="F48" s="55">
        <f>VLOOKUP(C48,table_DI,5)</f>
        <v>0.46198501872659181</v>
      </c>
      <c r="G48" s="54">
        <f>VLOOKUP(C48,table_DI,3)</f>
        <v>1.1214</v>
      </c>
      <c r="H48" s="54" t="s">
        <v>10</v>
      </c>
      <c r="I48" s="54">
        <f>VLOOKUP(C48,table_DI,4)</f>
        <v>1.2335</v>
      </c>
      <c r="J48" s="54" t="s">
        <v>10</v>
      </c>
      <c r="K48" s="56">
        <f>VLOOKUP(C48,table_DI,9)</f>
        <v>5.9337349397590331E-3</v>
      </c>
      <c r="L48" s="53">
        <f>VLOOKUP(C48,table_DI,8)</f>
        <v>1328</v>
      </c>
      <c r="M48" s="55">
        <f>(0.84*(K48^0.5)*(cell_GUTDEP^0.6666)/cell_NRD)</f>
        <v>2.268200028768081</v>
      </c>
      <c r="N48" s="53">
        <f>VLOOKUP(C48,table_DI,10)</f>
        <v>20</v>
      </c>
      <c r="O48" s="53">
        <f>(L48/(M48*60))</f>
        <v>9.7581046876868811</v>
      </c>
      <c r="P48" s="53">
        <f>N48+O48</f>
        <v>29.758104687686881</v>
      </c>
      <c r="Q48" s="55">
        <f>cell_P*(P48^cell_E)</f>
        <v>0.66196070098481286</v>
      </c>
      <c r="R48" s="54">
        <f>Q48*I48</f>
        <v>0.81652852466476666</v>
      </c>
      <c r="S48" s="53" t="s">
        <v>10</v>
      </c>
      <c r="T48" s="55" t="s">
        <v>10</v>
      </c>
      <c r="U48" s="56" t="s">
        <v>10</v>
      </c>
      <c r="V48" s="53" t="s">
        <v>10</v>
      </c>
      <c r="W48" s="53" t="s">
        <v>10</v>
      </c>
      <c r="X48" s="53" t="s">
        <v>10</v>
      </c>
      <c r="Y48" s="55" t="s">
        <v>10</v>
      </c>
      <c r="Z48" s="55" t="s">
        <v>10</v>
      </c>
      <c r="AA48" s="55" t="s">
        <v>10</v>
      </c>
      <c r="AB48" s="55" t="s">
        <v>10</v>
      </c>
      <c r="AC48" s="57" t="s">
        <v>10</v>
      </c>
      <c r="AD48" t="s">
        <v>10</v>
      </c>
    </row>
    <row r="49" spans="2:30" x14ac:dyDescent="0.2">
      <c r="B49" s="216">
        <v>14</v>
      </c>
      <c r="C49" s="217" t="s">
        <v>10</v>
      </c>
      <c r="D49" s="54" t="s">
        <v>10</v>
      </c>
      <c r="E49" s="54">
        <f>VLOOKUP(18,table_CIA_INLETS,2,FALSE)</f>
        <v>2.67</v>
      </c>
      <c r="F49" s="55" t="s">
        <v>10</v>
      </c>
      <c r="G49" s="54" t="s">
        <v>10</v>
      </c>
      <c r="H49" s="54">
        <f>VLOOKUP(18,table_CIA_INLETS,5,FALSE)</f>
        <v>1.1214</v>
      </c>
      <c r="I49" s="54" t="s">
        <v>10</v>
      </c>
      <c r="J49" s="54">
        <f>VLOOKUP(18,table_CIA_INLETS,7,FALSE)</f>
        <v>1.2335</v>
      </c>
      <c r="K49" s="56" t="s">
        <v>10</v>
      </c>
      <c r="L49" s="53" t="s">
        <v>10</v>
      </c>
      <c r="M49" s="55" t="s">
        <v>10</v>
      </c>
      <c r="N49" s="53" t="s">
        <v>10</v>
      </c>
      <c r="O49" s="53" t="s">
        <v>10</v>
      </c>
      <c r="P49" s="53">
        <f>VLOOKUP(18,table_CIA_INLETS,14,FALSE)</f>
        <v>29.758104687686881</v>
      </c>
      <c r="Q49" s="55">
        <f>cell_P*(P49^cell_E)</f>
        <v>0.66196070098481286</v>
      </c>
      <c r="R49" s="54">
        <f>J49*Q49</f>
        <v>0.81652852466476666</v>
      </c>
      <c r="S49" s="53">
        <v>18</v>
      </c>
      <c r="T49" s="55">
        <f>(4*R49)/(3.14159*(S49/12)^2)</f>
        <v>0.46206101562288404</v>
      </c>
      <c r="U49" s="56">
        <f>((R49/((0.463135/cell_NP)*((S49/12)^(8/3))))^2)*cell_FF</f>
        <v>6.9495819409718095E-5</v>
      </c>
      <c r="V49" s="53">
        <v>76</v>
      </c>
      <c r="W49" s="53">
        <f>V49/(T49*60)</f>
        <v>2.7413406970919829</v>
      </c>
      <c r="X49" s="53">
        <f>W49+P49</f>
        <v>32.499445384778866</v>
      </c>
      <c r="Y49" s="55">
        <f>U49*V49</f>
        <v>5.2816822751385753E-3</v>
      </c>
      <c r="Z49" s="55">
        <f>IF(VLOOKUP(15,table_CIA_JCTS,25,FALSE)+VLOOKUP(14,table_CIA_JCTS,24,FALSE)&lt;VLOOKUP(14,table_CIA_JCTS,28,FALSE),VLOOKUP(14,table_CIA_JCTS,28,FALSE),VLOOKUP(15,table_CIA_JCTS,25,FALSE)+VLOOKUP(14,table_CIA_JCTS,24,FALSE))</f>
        <v>411.83528168227514</v>
      </c>
      <c r="AA49" s="55">
        <v>417.61</v>
      </c>
      <c r="AB49" s="55">
        <f>(AA49-0.5)-Z49</f>
        <v>5.2747183177248758</v>
      </c>
      <c r="AC49" s="57">
        <v>411.38</v>
      </c>
      <c r="AD49" t="s">
        <v>10</v>
      </c>
    </row>
    <row r="50" spans="2:30" x14ac:dyDescent="0.2">
      <c r="B50" s="216">
        <v>15</v>
      </c>
      <c r="C50" s="217" t="s">
        <v>10</v>
      </c>
      <c r="D50" s="54" t="s">
        <v>10</v>
      </c>
      <c r="E50" s="54">
        <f>VLOOKUP(11,table_CIA_JCTS,4,FALSE)+VLOOKUP(13,table_CIA_JCTS,4,FALSE)+VLOOKUP(14,table_CIA_JCTS,4,FALSE)</f>
        <v>83.84</v>
      </c>
      <c r="F50" s="55" t="s">
        <v>10</v>
      </c>
      <c r="G50" s="54" t="s">
        <v>10</v>
      </c>
      <c r="H50" s="54">
        <f>VLOOKUP(11,table_CIA_JCTS,7,FALSE)+VLOOKUP(13,table_CIA_JCTS,7,FALSE)+VLOOKUP(14,table_CIA_JCTS,7,FALSE)</f>
        <v>42.264600000000002</v>
      </c>
      <c r="I50" s="54" t="s">
        <v>10</v>
      </c>
      <c r="J50" s="54">
        <f>VLOOKUP(11,table_CIA_JCTS,9,FALSE)+VLOOKUP(13,table_CIA_JCTS,9,FALSE)+VLOOKUP(14,table_CIA_JCTS,9,FALSE)</f>
        <v>45.348780000000005</v>
      </c>
      <c r="K50" s="56" t="s">
        <v>10</v>
      </c>
      <c r="L50" s="53" t="s">
        <v>10</v>
      </c>
      <c r="M50" s="55" t="s">
        <v>10</v>
      </c>
      <c r="N50" s="53" t="s">
        <v>10</v>
      </c>
      <c r="O50" s="53" t="s">
        <v>10</v>
      </c>
      <c r="P50" s="53">
        <f>VLOOKUP(11,table_CIA_JCTS,23,FALSE)</f>
        <v>58.50447524776618</v>
      </c>
      <c r="Q50" s="55">
        <f>cell_P*(P50^cell_E)</f>
        <v>0.43350091495281345</v>
      </c>
      <c r="R50" s="54">
        <f>J50*Q50</f>
        <v>19.658737621993851</v>
      </c>
      <c r="S50" s="53">
        <v>36</v>
      </c>
      <c r="T50" s="55">
        <f>(4*R50)/(3.14159*(S50/12)^2)</f>
        <v>2.7811448091209088</v>
      </c>
      <c r="U50" s="56">
        <f>((R50/((0.463135/cell_NP)*((S50/12)^(8/3))))^2)*cell_FF</f>
        <v>9.9915737975933192E-4</v>
      </c>
      <c r="V50" s="53">
        <v>630</v>
      </c>
      <c r="W50" s="53">
        <f>V50/(T50*60)</f>
        <v>3.7754236908357686</v>
      </c>
      <c r="X50" s="53">
        <f>W50+P50</f>
        <v>62.279898938601946</v>
      </c>
      <c r="Y50" s="55">
        <f>U50*V50</f>
        <v>0.62946914924837916</v>
      </c>
      <c r="Z50" s="55">
        <f>IF(VLOOKUP(29,table_CIA_JCTS,25,FALSE)+VLOOKUP(15,table_CIA_JCTS,24,FALSE)&lt;VLOOKUP(15,table_CIA_JCTS,28,FALSE),VLOOKUP(15,table_CIA_JCTS,28,FALSE),VLOOKUP(29,table_CIA_JCTS,25,FALSE)+VLOOKUP(15,table_CIA_JCTS,24,FALSE))</f>
        <v>411.83</v>
      </c>
      <c r="AA50" s="55">
        <v>417.6</v>
      </c>
      <c r="AB50" s="55">
        <f>(AA50-0.5)-Z50</f>
        <v>5.2700000000000387</v>
      </c>
      <c r="AC50" s="57">
        <v>411.83</v>
      </c>
      <c r="AD50" t="s">
        <v>10</v>
      </c>
    </row>
    <row r="51" spans="2:30" x14ac:dyDescent="0.2">
      <c r="B51" s="216" t="s">
        <v>10</v>
      </c>
      <c r="C51" s="217" t="s">
        <v>10</v>
      </c>
      <c r="D51" s="54" t="s">
        <v>10</v>
      </c>
      <c r="E51" s="54" t="s">
        <v>10</v>
      </c>
      <c r="F51" s="55" t="s">
        <v>10</v>
      </c>
      <c r="G51" s="54" t="s">
        <v>10</v>
      </c>
      <c r="H51" s="54" t="s">
        <v>10</v>
      </c>
      <c r="I51" s="54" t="s">
        <v>10</v>
      </c>
      <c r="J51" s="54" t="s">
        <v>10</v>
      </c>
      <c r="K51" s="56" t="s">
        <v>10</v>
      </c>
      <c r="L51" s="53" t="s">
        <v>10</v>
      </c>
      <c r="M51" s="55" t="s">
        <v>10</v>
      </c>
      <c r="N51" s="53" t="s">
        <v>10</v>
      </c>
      <c r="O51" s="53" t="s">
        <v>10</v>
      </c>
      <c r="P51" s="53" t="s">
        <v>10</v>
      </c>
      <c r="Q51" s="55" t="s">
        <v>10</v>
      </c>
      <c r="R51" s="54" t="s">
        <v>10</v>
      </c>
      <c r="S51" s="53" t="s">
        <v>10</v>
      </c>
      <c r="T51" s="55" t="s">
        <v>10</v>
      </c>
      <c r="U51" s="56" t="s">
        <v>10</v>
      </c>
      <c r="V51" s="53" t="s">
        <v>10</v>
      </c>
      <c r="W51" s="53" t="s">
        <v>10</v>
      </c>
      <c r="X51" s="53" t="s">
        <v>10</v>
      </c>
      <c r="Y51" s="55" t="s">
        <v>10</v>
      </c>
      <c r="Z51" s="55" t="s">
        <v>10</v>
      </c>
      <c r="AA51" s="55" t="s">
        <v>10</v>
      </c>
      <c r="AB51" s="55" t="s">
        <v>10</v>
      </c>
      <c r="AC51" s="57" t="s">
        <v>10</v>
      </c>
      <c r="AD51" t="s">
        <v>10</v>
      </c>
    </row>
    <row r="52" spans="2:30" x14ac:dyDescent="0.2">
      <c r="B52" s="216" t="s">
        <v>10</v>
      </c>
      <c r="C52" s="215">
        <v>19</v>
      </c>
      <c r="D52" s="54">
        <f>VLOOKUP(C52,table_DI,2)</f>
        <v>4.1500000000000004</v>
      </c>
      <c r="E52" s="54" t="s">
        <v>10</v>
      </c>
      <c r="F52" s="55">
        <f>VLOOKUP(C52,table_DI,5)</f>
        <v>0.89999999999999991</v>
      </c>
      <c r="G52" s="54">
        <f>VLOOKUP(C52,table_DI,3)</f>
        <v>3.7349999999999999</v>
      </c>
      <c r="H52" s="54" t="s">
        <v>10</v>
      </c>
      <c r="I52" s="54">
        <f>VLOOKUP(C52,table_DI,4)</f>
        <v>3.7349999999999999</v>
      </c>
      <c r="J52" s="54" t="s">
        <v>10</v>
      </c>
      <c r="K52" s="56">
        <f>VLOOKUP(C52,table_DI,9)</f>
        <v>4.5521472392638131E-3</v>
      </c>
      <c r="L52" s="53">
        <f>VLOOKUP(C52,table_DI,8)</f>
        <v>1630</v>
      </c>
      <c r="M52" s="55">
        <f>(0.84*(K52^0.5)*(cell_GUTDEP^0.6666)/cell_NRD)</f>
        <v>1.986668614486417</v>
      </c>
      <c r="N52" s="53">
        <f>VLOOKUP(C52,table_DI,10)</f>
        <v>5</v>
      </c>
      <c r="O52" s="53">
        <f>(L52/(M52*60))</f>
        <v>13.674483237200407</v>
      </c>
      <c r="P52" s="53">
        <f>N52+O52</f>
        <v>18.674483237200405</v>
      </c>
      <c r="Q52" s="55">
        <f>cell_P*(P52^cell_E)</f>
        <v>0.886233080074881</v>
      </c>
      <c r="R52" s="54">
        <f>Q52*I52</f>
        <v>3.3100805540796805</v>
      </c>
      <c r="S52" s="53" t="s">
        <v>10</v>
      </c>
      <c r="T52" s="55" t="s">
        <v>10</v>
      </c>
      <c r="U52" s="56" t="s">
        <v>10</v>
      </c>
      <c r="V52" s="53" t="s">
        <v>10</v>
      </c>
      <c r="W52" s="53" t="s">
        <v>10</v>
      </c>
      <c r="X52" s="53" t="s">
        <v>10</v>
      </c>
      <c r="Y52" s="55" t="s">
        <v>10</v>
      </c>
      <c r="Z52" s="55" t="s">
        <v>10</v>
      </c>
      <c r="AA52" s="55" t="s">
        <v>10</v>
      </c>
      <c r="AB52" s="55" t="s">
        <v>10</v>
      </c>
      <c r="AC52" s="57" t="s">
        <v>10</v>
      </c>
      <c r="AD52" t="s">
        <v>10</v>
      </c>
    </row>
    <row r="53" spans="2:30" x14ac:dyDescent="0.2">
      <c r="B53" s="216" t="s">
        <v>10</v>
      </c>
      <c r="C53" s="215">
        <v>20</v>
      </c>
      <c r="D53" s="54">
        <f>VLOOKUP(C53,table_DI,2)</f>
        <v>2.5299999999999998</v>
      </c>
      <c r="E53" s="54" t="s">
        <v>10</v>
      </c>
      <c r="F53" s="55">
        <f>VLOOKUP(C53,table_DI,5)</f>
        <v>0.90000000000000013</v>
      </c>
      <c r="G53" s="54">
        <f>VLOOKUP(C53,table_DI,3)</f>
        <v>2.2770000000000001</v>
      </c>
      <c r="H53" s="54" t="s">
        <v>10</v>
      </c>
      <c r="I53" s="54">
        <f>VLOOKUP(C53,table_DI,4)</f>
        <v>2.2770000000000001</v>
      </c>
      <c r="J53" s="54" t="s">
        <v>10</v>
      </c>
      <c r="K53" s="56">
        <f>VLOOKUP(C53,table_DI,9)</f>
        <v>4.7448979591836722E-3</v>
      </c>
      <c r="L53" s="53">
        <f>VLOOKUP(C53,table_DI,8)</f>
        <v>1568</v>
      </c>
      <c r="M53" s="55">
        <f>(0.84*(K53^0.5)*(cell_GUTDEP^0.6666)/cell_NRD)</f>
        <v>2.0282931268135163</v>
      </c>
      <c r="N53" s="53">
        <f>VLOOKUP(C53,table_DI,10)</f>
        <v>5</v>
      </c>
      <c r="O53" s="53">
        <f>(L53/(M53*60))</f>
        <v>12.884396731348813</v>
      </c>
      <c r="P53" s="53">
        <f>N53+O53</f>
        <v>17.884396731348815</v>
      </c>
      <c r="Q53" s="55">
        <f>cell_P*(P53^cell_E)</f>
        <v>0.91055130645684879</v>
      </c>
      <c r="R53" s="54">
        <f>Q53*I53</f>
        <v>2.0733253248022447</v>
      </c>
      <c r="S53" s="53" t="s">
        <v>10</v>
      </c>
      <c r="T53" s="55" t="s">
        <v>10</v>
      </c>
      <c r="U53" s="56" t="s">
        <v>10</v>
      </c>
      <c r="V53" s="53" t="s">
        <v>10</v>
      </c>
      <c r="W53" s="53" t="s">
        <v>10</v>
      </c>
      <c r="X53" s="53" t="s">
        <v>10</v>
      </c>
      <c r="Y53" s="55" t="s">
        <v>10</v>
      </c>
      <c r="Z53" s="55" t="s">
        <v>10</v>
      </c>
      <c r="AA53" s="55" t="s">
        <v>10</v>
      </c>
      <c r="AB53" s="55" t="s">
        <v>10</v>
      </c>
      <c r="AC53" s="57" t="s">
        <v>10</v>
      </c>
      <c r="AD53" t="s">
        <v>10</v>
      </c>
    </row>
    <row r="54" spans="2:30" x14ac:dyDescent="0.2">
      <c r="B54" s="216">
        <v>16</v>
      </c>
      <c r="C54" s="217" t="s">
        <v>10</v>
      </c>
      <c r="D54" s="54" t="s">
        <v>10</v>
      </c>
      <c r="E54" s="54">
        <f>VLOOKUP(19,table_CIA_INLETS,2,FALSE)+VLOOKUP(20,table_CIA_INLETS,2,FALSE)</f>
        <v>6.68</v>
      </c>
      <c r="F54" s="55" t="s">
        <v>10</v>
      </c>
      <c r="G54" s="54" t="s">
        <v>10</v>
      </c>
      <c r="H54" s="54">
        <f>VLOOKUP(19,table_CIA_INLETS,5,FALSE)+VLOOKUP(20,table_CIA_INLETS,5,FALSE)</f>
        <v>6.0120000000000005</v>
      </c>
      <c r="I54" s="54" t="s">
        <v>10</v>
      </c>
      <c r="J54" s="54">
        <f>VLOOKUP(19,table_CIA_INLETS,7,FALSE)+VLOOKUP(20,table_CIA_INLETS,7,FALSE)</f>
        <v>6.0120000000000005</v>
      </c>
      <c r="K54" s="56" t="s">
        <v>10</v>
      </c>
      <c r="L54" s="53" t="s">
        <v>10</v>
      </c>
      <c r="M54" s="55" t="s">
        <v>10</v>
      </c>
      <c r="N54" s="53" t="s">
        <v>10</v>
      </c>
      <c r="O54" s="53" t="s">
        <v>10</v>
      </c>
      <c r="P54" s="53">
        <f>VLOOKUP(19,table_CIA_INLETS,14,FALSE)</f>
        <v>18.674483237200405</v>
      </c>
      <c r="Q54" s="55">
        <f>cell_P*(P54^cell_E)</f>
        <v>0.886233080074881</v>
      </c>
      <c r="R54" s="54">
        <f>J54*Q54</f>
        <v>5.3280332774101851</v>
      </c>
      <c r="S54" s="53">
        <v>18</v>
      </c>
      <c r="T54" s="55">
        <f>(4*R54)/(3.14159*(S54/12)^2)</f>
        <v>3.0150526198009064</v>
      </c>
      <c r="U54" s="56">
        <f>((R54/((0.463135/cell_NP)*((S54/12)^(8/3))))^2)*cell_FF</f>
        <v>2.9590330454773522E-3</v>
      </c>
      <c r="V54" s="53">
        <v>649</v>
      </c>
      <c r="W54" s="53">
        <f>V54/(T54*60)</f>
        <v>3.5875548558024586</v>
      </c>
      <c r="X54" s="53">
        <f>W54+P54</f>
        <v>22.262038093002865</v>
      </c>
      <c r="Y54" s="55">
        <f>U54*V54</f>
        <v>1.9204124465148016</v>
      </c>
      <c r="Z54" s="55">
        <f>IF(VLOOKUP(18,table_CIA_JCTS,25,FALSE)+VLOOKUP(16,table_CIA_JCTS,24,FALSE)&lt;VLOOKUP(16,table_CIA_JCTS,28,FALSE),VLOOKUP(16,table_CIA_JCTS,28,FALSE),VLOOKUP(18,table_CIA_JCTS,25,FALSE)+VLOOKUP(16,table_CIA_JCTS,24,FALSE))</f>
        <v>413.02598281799629</v>
      </c>
      <c r="AA54" s="55">
        <v>416.46</v>
      </c>
      <c r="AB54" s="55">
        <f>(AA54-0.5)-Z54</f>
        <v>2.9340171820036858</v>
      </c>
      <c r="AC54" s="57">
        <v>412.12</v>
      </c>
      <c r="AD54" t="s">
        <v>10</v>
      </c>
    </row>
    <row r="55" spans="2:30" x14ac:dyDescent="0.2">
      <c r="B55" s="216" t="s">
        <v>10</v>
      </c>
      <c r="C55" s="217" t="s">
        <v>10</v>
      </c>
      <c r="D55" s="54" t="s">
        <v>10</v>
      </c>
      <c r="E55" s="54" t="s">
        <v>10</v>
      </c>
      <c r="F55" s="55" t="s">
        <v>10</v>
      </c>
      <c r="G55" s="54" t="s">
        <v>10</v>
      </c>
      <c r="H55" s="54" t="s">
        <v>10</v>
      </c>
      <c r="I55" s="54" t="s">
        <v>10</v>
      </c>
      <c r="J55" s="54" t="s">
        <v>10</v>
      </c>
      <c r="K55" s="56" t="s">
        <v>10</v>
      </c>
      <c r="L55" s="53" t="s">
        <v>10</v>
      </c>
      <c r="M55" s="55" t="s">
        <v>10</v>
      </c>
      <c r="N55" s="53" t="s">
        <v>10</v>
      </c>
      <c r="O55" s="53" t="s">
        <v>10</v>
      </c>
      <c r="P55" s="53" t="s">
        <v>10</v>
      </c>
      <c r="Q55" s="55" t="s">
        <v>10</v>
      </c>
      <c r="R55" s="54" t="s">
        <v>10</v>
      </c>
      <c r="S55" s="53" t="s">
        <v>10</v>
      </c>
      <c r="T55" s="55" t="s">
        <v>10</v>
      </c>
      <c r="U55" s="56" t="s">
        <v>10</v>
      </c>
      <c r="V55" s="53" t="s">
        <v>10</v>
      </c>
      <c r="W55" s="53" t="s">
        <v>10</v>
      </c>
      <c r="X55" s="53" t="s">
        <v>10</v>
      </c>
      <c r="Y55" s="55" t="s">
        <v>10</v>
      </c>
      <c r="Z55" s="55" t="s">
        <v>10</v>
      </c>
      <c r="AA55" s="55" t="s">
        <v>10</v>
      </c>
      <c r="AB55" s="55" t="s">
        <v>10</v>
      </c>
      <c r="AC55" s="57" t="s">
        <v>10</v>
      </c>
      <c r="AD55" t="s">
        <v>10</v>
      </c>
    </row>
    <row r="56" spans="2:30" x14ac:dyDescent="0.2">
      <c r="B56" s="216" t="s">
        <v>10</v>
      </c>
      <c r="C56" s="215">
        <v>21</v>
      </c>
      <c r="D56" s="54">
        <f>VLOOKUP(C56,table_DI,2)</f>
        <v>9.3800000000000008</v>
      </c>
      <c r="E56" s="54" t="s">
        <v>10</v>
      </c>
      <c r="F56" s="55">
        <f>VLOOKUP(C56,table_DI,5)</f>
        <v>0.3518123667377398</v>
      </c>
      <c r="G56" s="54">
        <f>VLOOKUP(C56,table_DI,3)</f>
        <v>3</v>
      </c>
      <c r="H56" s="54" t="s">
        <v>10</v>
      </c>
      <c r="I56" s="54">
        <f>VLOOKUP(C56,table_DI,4)</f>
        <v>3.3</v>
      </c>
      <c r="J56" s="54" t="s">
        <v>10</v>
      </c>
      <c r="K56" s="56">
        <f>VLOOKUP(C56,table_DI,9)</f>
        <v>2.9798270893371848E-3</v>
      </c>
      <c r="L56" s="53">
        <f>VLOOKUP(C56,table_DI,8)</f>
        <v>1735</v>
      </c>
      <c r="M56" s="55">
        <f>(0.84*(K56^0.5)*(cell_GUTDEP^0.6666)/cell_NRD)</f>
        <v>1.6073587264180627</v>
      </c>
      <c r="N56" s="53">
        <f>VLOOKUP(C56,table_DI,10)</f>
        <v>25</v>
      </c>
      <c r="O56" s="53">
        <f>(L56/(M56*60))</f>
        <v>17.990176176233138</v>
      </c>
      <c r="P56" s="53">
        <f>N56+O56</f>
        <v>42.990176176233135</v>
      </c>
      <c r="Q56" s="55">
        <f>cell_P*(P56^cell_E)</f>
        <v>0.52576057524560671</v>
      </c>
      <c r="R56" s="54">
        <f>Q56*I56</f>
        <v>1.735009898310502</v>
      </c>
      <c r="S56" s="53" t="s">
        <v>10</v>
      </c>
      <c r="T56" s="55" t="s">
        <v>10</v>
      </c>
      <c r="U56" s="56" t="s">
        <v>10</v>
      </c>
      <c r="V56" s="53" t="s">
        <v>10</v>
      </c>
      <c r="W56" s="53" t="s">
        <v>10</v>
      </c>
      <c r="X56" s="53" t="s">
        <v>10</v>
      </c>
      <c r="Y56" s="55" t="s">
        <v>10</v>
      </c>
      <c r="Z56" s="55" t="s">
        <v>10</v>
      </c>
      <c r="AA56" s="55" t="s">
        <v>10</v>
      </c>
      <c r="AB56" s="55" t="s">
        <v>10</v>
      </c>
      <c r="AC56" s="57" t="s">
        <v>10</v>
      </c>
      <c r="AD56" t="s">
        <v>10</v>
      </c>
    </row>
    <row r="57" spans="2:30" x14ac:dyDescent="0.2">
      <c r="B57" s="216" t="s">
        <v>10</v>
      </c>
      <c r="C57" s="215">
        <v>22</v>
      </c>
      <c r="D57" s="54">
        <f>VLOOKUP(C57,table_DI,2)</f>
        <v>8.27</v>
      </c>
      <c r="E57" s="54" t="s">
        <v>10</v>
      </c>
      <c r="F57" s="55">
        <f>VLOOKUP(C57,table_DI,5)</f>
        <v>0.35187424425634828</v>
      </c>
      <c r="G57" s="54">
        <f>VLOOKUP(C57,table_DI,3)</f>
        <v>2.64</v>
      </c>
      <c r="H57" s="54" t="s">
        <v>10</v>
      </c>
      <c r="I57" s="54">
        <f>VLOOKUP(C57,table_DI,4)</f>
        <v>2.91</v>
      </c>
      <c r="J57" s="54" t="s">
        <v>10</v>
      </c>
      <c r="K57" s="56">
        <f>VLOOKUP(C57,table_DI,9)</f>
        <v>2.9798270893371848E-3</v>
      </c>
      <c r="L57" s="53">
        <f>VLOOKUP(C57,table_DI,8)</f>
        <v>1735</v>
      </c>
      <c r="M57" s="55">
        <f>(0.84*(K57^0.5)*(cell_GUTDEP^0.6666)/cell_NRD)</f>
        <v>1.6073587264180627</v>
      </c>
      <c r="N57" s="53">
        <f>VLOOKUP(C57,table_DI,10)</f>
        <v>25</v>
      </c>
      <c r="O57" s="53">
        <f>(L57/(M57*60))</f>
        <v>17.990176176233138</v>
      </c>
      <c r="P57" s="53">
        <f>N57+O57</f>
        <v>42.990176176233135</v>
      </c>
      <c r="Q57" s="55">
        <f>cell_P*(P57^cell_E)</f>
        <v>0.52576057524560671</v>
      </c>
      <c r="R57" s="54">
        <f>Q57*I57</f>
        <v>1.5299632739647155</v>
      </c>
      <c r="S57" s="53" t="s">
        <v>10</v>
      </c>
      <c r="T57" s="55" t="s">
        <v>10</v>
      </c>
      <c r="U57" s="56" t="s">
        <v>10</v>
      </c>
      <c r="V57" s="53" t="s">
        <v>10</v>
      </c>
      <c r="W57" s="53" t="s">
        <v>10</v>
      </c>
      <c r="X57" s="53" t="s">
        <v>10</v>
      </c>
      <c r="Y57" s="55" t="s">
        <v>10</v>
      </c>
      <c r="Z57" s="55" t="s">
        <v>10</v>
      </c>
      <c r="AA57" s="55" t="s">
        <v>10</v>
      </c>
      <c r="AB57" s="55" t="s">
        <v>10</v>
      </c>
      <c r="AC57" s="57" t="s">
        <v>10</v>
      </c>
      <c r="AD57" t="s">
        <v>10</v>
      </c>
    </row>
    <row r="58" spans="2:30" x14ac:dyDescent="0.2">
      <c r="B58" s="216">
        <v>17</v>
      </c>
      <c r="C58" s="217" t="s">
        <v>10</v>
      </c>
      <c r="D58" s="54" t="s">
        <v>10</v>
      </c>
      <c r="E58" s="54">
        <f>VLOOKUP(21,table_CIA_INLETS,2,FALSE)+VLOOKUP(22,table_CIA_INLETS,2,FALSE)</f>
        <v>17.649999999999999</v>
      </c>
      <c r="F58" s="55" t="s">
        <v>10</v>
      </c>
      <c r="G58" s="54" t="s">
        <v>10</v>
      </c>
      <c r="H58" s="54">
        <f>VLOOKUP(21,table_CIA_INLETS,5,FALSE)+VLOOKUP(22,table_CIA_INLETS,5,FALSE)</f>
        <v>5.6400000000000006</v>
      </c>
      <c r="I58" s="54" t="s">
        <v>10</v>
      </c>
      <c r="J58" s="54">
        <f>VLOOKUP(21,table_CIA_INLETS,7,FALSE)+VLOOKUP(22,table_CIA_INLETS,7,FALSE)</f>
        <v>6.21</v>
      </c>
      <c r="K58" s="56" t="s">
        <v>10</v>
      </c>
      <c r="L58" s="53" t="s">
        <v>10</v>
      </c>
      <c r="M58" s="55" t="s">
        <v>10</v>
      </c>
      <c r="N58" s="53" t="s">
        <v>10</v>
      </c>
      <c r="O58" s="53" t="s">
        <v>10</v>
      </c>
      <c r="P58" s="53">
        <f>VLOOKUP(21,table_CIA_INLETS,14,FALSE)</f>
        <v>42.990176176233135</v>
      </c>
      <c r="Q58" s="55">
        <f>cell_P*(P58^cell_E)</f>
        <v>0.52576057524560671</v>
      </c>
      <c r="R58" s="54">
        <f>J58*Q58</f>
        <v>3.2649731722752176</v>
      </c>
      <c r="S58" s="53">
        <v>18</v>
      </c>
      <c r="T58" s="55">
        <f>(4*R58)/(3.14159*(S58/12)^2)</f>
        <v>1.8475984296841721</v>
      </c>
      <c r="U58" s="56">
        <f>((R58/((0.463135/cell_NP)*((S58/12)^(8/3))))^2)*cell_FF</f>
        <v>1.111156400248641E-3</v>
      </c>
      <c r="V58" s="53">
        <v>183</v>
      </c>
      <c r="W58" s="53">
        <f>V58/(T58*60)</f>
        <v>1.6507916173761665</v>
      </c>
      <c r="X58" s="53">
        <f>W58+P58</f>
        <v>44.640967793609299</v>
      </c>
      <c r="Y58" s="55">
        <f>U58*V58</f>
        <v>0.20334162124550129</v>
      </c>
      <c r="Z58" s="55">
        <f>IF(VLOOKUP(18,table_CIA_JCTS,25,FALSE)+VLOOKUP(17,table_CIA_JCTS,24,FALSE)&lt;VLOOKUP(17,table_CIA_JCTS,28,FALSE),VLOOKUP(17,table_CIA_JCTS,28,FALSE),VLOOKUP(18,table_CIA_JCTS,25,FALSE)+VLOOKUP(17,table_CIA_JCTS,24,FALSE))</f>
        <v>411.30891199272702</v>
      </c>
      <c r="AA58" s="55">
        <v>419.56</v>
      </c>
      <c r="AB58" s="55">
        <f>(AA58-0.5)-Z58</f>
        <v>7.7510880072729833</v>
      </c>
      <c r="AC58" s="57">
        <v>411.04</v>
      </c>
      <c r="AD58" t="s">
        <v>10</v>
      </c>
    </row>
    <row r="59" spans="2:30" x14ac:dyDescent="0.2">
      <c r="B59" s="216">
        <v>18</v>
      </c>
      <c r="C59" s="217" t="s">
        <v>10</v>
      </c>
      <c r="D59" s="54" t="s">
        <v>10</v>
      </c>
      <c r="E59" s="54">
        <f>VLOOKUP(16,table_CIA_JCTS,4,FALSE)+VLOOKUP(17,table_CIA_JCTS,4,FALSE)</f>
        <v>24.33</v>
      </c>
      <c r="F59" s="55" t="s">
        <v>10</v>
      </c>
      <c r="G59" s="54" t="s">
        <v>10</v>
      </c>
      <c r="H59" s="54">
        <f>VLOOKUP(16,table_CIA_JCTS,7,FALSE)+VLOOKUP(17,table_CIA_JCTS,7,FALSE)</f>
        <v>11.652000000000001</v>
      </c>
      <c r="I59" s="54" t="s">
        <v>10</v>
      </c>
      <c r="J59" s="54">
        <f>VLOOKUP(16,table_CIA_JCTS,9,FALSE)+VLOOKUP(17,table_CIA_JCTS,9,FALSE)</f>
        <v>12.222000000000001</v>
      </c>
      <c r="K59" s="56" t="s">
        <v>10</v>
      </c>
      <c r="L59" s="53" t="s">
        <v>10</v>
      </c>
      <c r="M59" s="55" t="s">
        <v>10</v>
      </c>
      <c r="N59" s="53" t="s">
        <v>10</v>
      </c>
      <c r="O59" s="53" t="s">
        <v>10</v>
      </c>
      <c r="P59" s="53">
        <f>VLOOKUP(17,table_CIA_JCTS,23,FALSE)</f>
        <v>44.640967793609299</v>
      </c>
      <c r="Q59" s="55">
        <f>cell_P*(P59^cell_E)</f>
        <v>0.51350023230295383</v>
      </c>
      <c r="R59" s="54">
        <f>J59*Q59</f>
        <v>6.275999839206702</v>
      </c>
      <c r="S59" s="53">
        <v>24</v>
      </c>
      <c r="T59" s="55">
        <f>(4*R59)/(3.14159*(S59/12)^2)</f>
        <v>1.9977144819046095</v>
      </c>
      <c r="U59" s="56">
        <f>((R59/((0.463135/cell_NP)*((S59/12)^(8/3))))^2)*cell_FF</f>
        <v>8.8520096139884632E-4</v>
      </c>
      <c r="V59" s="53">
        <v>230</v>
      </c>
      <c r="W59" s="53">
        <f>V59/(T59*60)</f>
        <v>1.9188594606766105</v>
      </c>
      <c r="X59" s="53">
        <f>W59+P59</f>
        <v>46.559827254285906</v>
      </c>
      <c r="Y59" s="55">
        <f>U59*V59</f>
        <v>0.20359622112173464</v>
      </c>
      <c r="Z59" s="55">
        <f>IF(VLOOKUP(20,table_CIA_JCTS,25,FALSE)+VLOOKUP(18,table_CIA_JCTS,24,FALSE)&lt;VLOOKUP(18,table_CIA_JCTS,28,FALSE),VLOOKUP(18,table_CIA_JCTS,28,FALSE),VLOOKUP(20,table_CIA_JCTS,25,FALSE)+VLOOKUP(18,table_CIA_JCTS,24,FALSE))</f>
        <v>411.10557037148152</v>
      </c>
      <c r="AA59" s="55">
        <v>416.74</v>
      </c>
      <c r="AB59" s="55">
        <f>(AA59-0.5)-Z59</f>
        <v>5.1344296285184896</v>
      </c>
      <c r="AC59" s="57">
        <v>410.28</v>
      </c>
      <c r="AD59" t="s">
        <v>10</v>
      </c>
    </row>
    <row r="60" spans="2:30" x14ac:dyDescent="0.2">
      <c r="B60" s="216" t="s">
        <v>10</v>
      </c>
      <c r="C60" s="217" t="s">
        <v>10</v>
      </c>
      <c r="D60" s="54" t="s">
        <v>10</v>
      </c>
      <c r="E60" s="54" t="s">
        <v>10</v>
      </c>
      <c r="F60" s="55" t="s">
        <v>10</v>
      </c>
      <c r="G60" s="54" t="s">
        <v>10</v>
      </c>
      <c r="H60" s="54" t="s">
        <v>10</v>
      </c>
      <c r="I60" s="54" t="s">
        <v>10</v>
      </c>
      <c r="J60" s="54" t="s">
        <v>10</v>
      </c>
      <c r="K60" s="56" t="s">
        <v>10</v>
      </c>
      <c r="L60" s="53" t="s">
        <v>10</v>
      </c>
      <c r="M60" s="55" t="s">
        <v>10</v>
      </c>
      <c r="N60" s="53" t="s">
        <v>10</v>
      </c>
      <c r="O60" s="53" t="s">
        <v>10</v>
      </c>
      <c r="P60" s="53" t="s">
        <v>10</v>
      </c>
      <c r="Q60" s="55" t="s">
        <v>10</v>
      </c>
      <c r="R60" s="54" t="s">
        <v>10</v>
      </c>
      <c r="S60" s="53" t="s">
        <v>10</v>
      </c>
      <c r="T60" s="55" t="s">
        <v>10</v>
      </c>
      <c r="U60" s="56" t="s">
        <v>10</v>
      </c>
      <c r="V60" s="53" t="s">
        <v>10</v>
      </c>
      <c r="W60" s="53" t="s">
        <v>10</v>
      </c>
      <c r="X60" s="53" t="s">
        <v>10</v>
      </c>
      <c r="Y60" s="55" t="s">
        <v>10</v>
      </c>
      <c r="Z60" s="55" t="s">
        <v>10</v>
      </c>
      <c r="AA60" s="55" t="s">
        <v>10</v>
      </c>
      <c r="AB60" s="55" t="s">
        <v>10</v>
      </c>
      <c r="AC60" s="57" t="s">
        <v>10</v>
      </c>
      <c r="AD60" t="s">
        <v>10</v>
      </c>
    </row>
    <row r="61" spans="2:30" x14ac:dyDescent="0.2">
      <c r="B61" s="216" t="s">
        <v>10</v>
      </c>
      <c r="C61" s="215">
        <v>23</v>
      </c>
      <c r="D61" s="54">
        <f>VLOOKUP(C61,table_DI,2)</f>
        <v>8.3800000000000008</v>
      </c>
      <c r="E61" s="54" t="s">
        <v>10</v>
      </c>
      <c r="F61" s="55">
        <f>VLOOKUP(C61,table_DI,5)</f>
        <v>0.35202863961813841</v>
      </c>
      <c r="G61" s="54">
        <f>VLOOKUP(C61,table_DI,3)</f>
        <v>2.68</v>
      </c>
      <c r="H61" s="54" t="s">
        <v>10</v>
      </c>
      <c r="I61" s="54">
        <f>VLOOKUP(C61,table_DI,4)</f>
        <v>2.95</v>
      </c>
      <c r="J61" s="54" t="s">
        <v>10</v>
      </c>
      <c r="K61" s="56">
        <f>VLOOKUP(C61,table_DI,9)</f>
        <v>3.0881017257039364E-3</v>
      </c>
      <c r="L61" s="53">
        <f>VLOOKUP(C61,table_DI,8)</f>
        <v>1101</v>
      </c>
      <c r="M61" s="55">
        <f>(0.84*(K61^0.5)*(cell_GUTDEP^0.6666)/cell_NRD)</f>
        <v>1.6363005615170907</v>
      </c>
      <c r="N61" s="53">
        <f>VLOOKUP(C61,table_DI,10)</f>
        <v>25</v>
      </c>
      <c r="O61" s="53">
        <f>(L61/(M61*60))</f>
        <v>11.214321153191353</v>
      </c>
      <c r="P61" s="53">
        <f>N61+O61</f>
        <v>36.214321153191349</v>
      </c>
      <c r="Q61" s="55">
        <f t="shared" ref="Q61:Q66" si="3">cell_P*(P61^cell_E)</f>
        <v>0.58537335617804409</v>
      </c>
      <c r="R61" s="54">
        <f>Q61*I61</f>
        <v>1.7268514007252302</v>
      </c>
      <c r="S61" s="53" t="s">
        <v>10</v>
      </c>
      <c r="T61" s="55" t="s">
        <v>10</v>
      </c>
      <c r="U61" s="56" t="s">
        <v>10</v>
      </c>
      <c r="V61" s="53" t="s">
        <v>10</v>
      </c>
      <c r="W61" s="53" t="s">
        <v>10</v>
      </c>
      <c r="X61" s="53" t="s">
        <v>10</v>
      </c>
      <c r="Y61" s="55" t="s">
        <v>10</v>
      </c>
      <c r="Z61" s="55" t="s">
        <v>10</v>
      </c>
      <c r="AA61" s="55" t="s">
        <v>10</v>
      </c>
      <c r="AB61" s="55" t="s">
        <v>10</v>
      </c>
      <c r="AC61" s="57" t="s">
        <v>10</v>
      </c>
      <c r="AD61" t="s">
        <v>10</v>
      </c>
    </row>
    <row r="62" spans="2:30" x14ac:dyDescent="0.2">
      <c r="B62" s="216" t="s">
        <v>10</v>
      </c>
      <c r="C62" s="215">
        <v>24</v>
      </c>
      <c r="D62" s="54">
        <f>VLOOKUP(C62,table_DI,2)</f>
        <v>3.15</v>
      </c>
      <c r="E62" s="54" t="s">
        <v>10</v>
      </c>
      <c r="F62" s="55">
        <f>VLOOKUP(C62,table_DI,5)</f>
        <v>0.34920634920634924</v>
      </c>
      <c r="G62" s="54">
        <f>VLOOKUP(C62,table_DI,3)</f>
        <v>1</v>
      </c>
      <c r="H62" s="54" t="s">
        <v>10</v>
      </c>
      <c r="I62" s="54">
        <f>VLOOKUP(C62,table_DI,4)</f>
        <v>1.1000000000000001</v>
      </c>
      <c r="J62" s="54" t="s">
        <v>10</v>
      </c>
      <c r="K62" s="56">
        <f>VLOOKUP(C62,table_DI,9)</f>
        <v>1.7350157728706983E-3</v>
      </c>
      <c r="L62" s="53">
        <f>VLOOKUP(C62,table_DI,8)</f>
        <v>634</v>
      </c>
      <c r="M62" s="55">
        <f>(0.84*(K62^0.5)*(cell_GUTDEP^0.6666)/cell_NRD)</f>
        <v>1.2265040709230892</v>
      </c>
      <c r="N62" s="53">
        <f>VLOOKUP(C62,table_DI,10)</f>
        <v>25</v>
      </c>
      <c r="O62" s="53">
        <f>(L62/(M62*60))</f>
        <v>8.6152723967022808</v>
      </c>
      <c r="P62" s="53">
        <f>N62+O62</f>
        <v>33.615272396702281</v>
      </c>
      <c r="Q62" s="55">
        <f t="shared" si="3"/>
        <v>0.6133192342976338</v>
      </c>
      <c r="R62" s="54">
        <f>Q62*I62</f>
        <v>0.67465115772739725</v>
      </c>
      <c r="S62" s="53" t="s">
        <v>10</v>
      </c>
      <c r="T62" s="55" t="s">
        <v>10</v>
      </c>
      <c r="U62" s="56" t="s">
        <v>10</v>
      </c>
      <c r="V62" s="53" t="s">
        <v>10</v>
      </c>
      <c r="W62" s="53" t="s">
        <v>10</v>
      </c>
      <c r="X62" s="53" t="s">
        <v>10</v>
      </c>
      <c r="Y62" s="55" t="s">
        <v>10</v>
      </c>
      <c r="Z62" s="55" t="s">
        <v>10</v>
      </c>
      <c r="AA62" s="55" t="s">
        <v>10</v>
      </c>
      <c r="AB62" s="55" t="s">
        <v>10</v>
      </c>
      <c r="AC62" s="57" t="s">
        <v>10</v>
      </c>
      <c r="AD62" t="s">
        <v>10</v>
      </c>
    </row>
    <row r="63" spans="2:30" x14ac:dyDescent="0.2">
      <c r="B63" s="216">
        <v>19</v>
      </c>
      <c r="C63" s="217" t="s">
        <v>10</v>
      </c>
      <c r="D63" s="54" t="s">
        <v>10</v>
      </c>
      <c r="E63" s="54">
        <f>VLOOKUP(23,table_CIA_INLETS,2,FALSE)+VLOOKUP(24,table_CIA_INLETS,2,FALSE)</f>
        <v>11.530000000000001</v>
      </c>
      <c r="F63" s="55" t="s">
        <v>10</v>
      </c>
      <c r="G63" s="54" t="s">
        <v>10</v>
      </c>
      <c r="H63" s="54">
        <f>VLOOKUP(23,table_CIA_INLETS,5,FALSE)+VLOOKUP(24,table_CIA_INLETS,5,FALSE)</f>
        <v>3.68</v>
      </c>
      <c r="I63" s="54" t="s">
        <v>10</v>
      </c>
      <c r="J63" s="54">
        <f>VLOOKUP(23,table_CIA_INLETS,7,FALSE)+VLOOKUP(24,table_CIA_INLETS,7,FALSE)</f>
        <v>4.0500000000000007</v>
      </c>
      <c r="K63" s="56" t="s">
        <v>10</v>
      </c>
      <c r="L63" s="53" t="s">
        <v>10</v>
      </c>
      <c r="M63" s="55" t="s">
        <v>10</v>
      </c>
      <c r="N63" s="53" t="s">
        <v>10</v>
      </c>
      <c r="O63" s="53" t="s">
        <v>10</v>
      </c>
      <c r="P63" s="53">
        <f>VLOOKUP(23,table_CIA_INLETS,14,FALSE)</f>
        <v>36.214321153191349</v>
      </c>
      <c r="Q63" s="55">
        <f t="shared" si="3"/>
        <v>0.58537335617804409</v>
      </c>
      <c r="R63" s="54">
        <f>J63*Q63</f>
        <v>2.3707620925210788</v>
      </c>
      <c r="S63" s="53">
        <v>18</v>
      </c>
      <c r="T63" s="55">
        <f>(4*R63)/(3.14159*(S63/12)^2)</f>
        <v>1.3415780431189042</v>
      </c>
      <c r="U63" s="56">
        <f>((R63/((0.463135/cell_NP)*((S63/12)^(8/3))))^2)*cell_FF</f>
        <v>5.8585738235403186E-4</v>
      </c>
      <c r="V63" s="53">
        <v>72</v>
      </c>
      <c r="W63" s="53">
        <f>V63/(T63*60)</f>
        <v>0.89446902187683164</v>
      </c>
      <c r="X63" s="53">
        <f>W63+P63</f>
        <v>37.108790175068179</v>
      </c>
      <c r="Y63" s="55">
        <f>U63*V63</f>
        <v>4.2181731529490292E-2</v>
      </c>
      <c r="Z63" s="55">
        <f>IF(VLOOKUP(20,table_CIA_JCTS,25,FALSE)+VLOOKUP(19,table_CIA_JCTS,24,FALSE)&lt;VLOOKUP(19,table_CIA_JCTS,28,FALSE),VLOOKUP(19,table_CIA_JCTS,28,FALSE),VLOOKUP(20,table_CIA_JCTS,25,FALSE)+VLOOKUP(19,table_CIA_JCTS,24,FALSE))</f>
        <v>410.94415588188923</v>
      </c>
      <c r="AA63" s="55">
        <v>414.36</v>
      </c>
      <c r="AB63" s="55">
        <f>(AA63-0.5)-Z63</f>
        <v>2.9158441181107833</v>
      </c>
      <c r="AC63" s="57">
        <v>409.28</v>
      </c>
      <c r="AD63" t="s">
        <v>10</v>
      </c>
    </row>
    <row r="64" spans="2:30" x14ac:dyDescent="0.2">
      <c r="B64" s="216">
        <v>20</v>
      </c>
      <c r="C64" s="217" t="s">
        <v>10</v>
      </c>
      <c r="D64" s="54" t="s">
        <v>10</v>
      </c>
      <c r="E64" s="54">
        <f>VLOOKUP(18,table_CIA_JCTS,4,FALSE)+VLOOKUP(19,table_CIA_JCTS,4,FALSE)</f>
        <v>35.86</v>
      </c>
      <c r="F64" s="55" t="s">
        <v>10</v>
      </c>
      <c r="G64" s="54" t="s">
        <v>10</v>
      </c>
      <c r="H64" s="54">
        <f>VLOOKUP(18,table_CIA_JCTS,7,FALSE)+VLOOKUP(19,table_CIA_JCTS,7,FALSE)</f>
        <v>15.332000000000001</v>
      </c>
      <c r="I64" s="54" t="s">
        <v>10</v>
      </c>
      <c r="J64" s="54">
        <f>VLOOKUP(18,table_CIA_JCTS,9,FALSE)+VLOOKUP(19,table_CIA_JCTS,9,FALSE)</f>
        <v>16.272000000000002</v>
      </c>
      <c r="K64" s="56" t="s">
        <v>10</v>
      </c>
      <c r="L64" s="53" t="s">
        <v>10</v>
      </c>
      <c r="M64" s="55" t="s">
        <v>10</v>
      </c>
      <c r="N64" s="53" t="s">
        <v>10</v>
      </c>
      <c r="O64" s="53" t="s">
        <v>10</v>
      </c>
      <c r="P64" s="53">
        <f>VLOOKUP(18,table_CIA_JCTS,23,FALSE)</f>
        <v>46.559827254285906</v>
      </c>
      <c r="Q64" s="55">
        <f t="shared" si="3"/>
        <v>0.50014405593481448</v>
      </c>
      <c r="R64" s="54">
        <f>J64*Q64</f>
        <v>8.1383440781713023</v>
      </c>
      <c r="S64" s="53">
        <v>24</v>
      </c>
      <c r="T64" s="55">
        <f>(4*R64)/(3.14159*(S64/12)^2)</f>
        <v>2.5905175653638133</v>
      </c>
      <c r="U64" s="56">
        <f>((R64/((0.463135/cell_NP)*((S64/12)^(8/3))))^2)*cell_FF</f>
        <v>1.4884975492460114E-3</v>
      </c>
      <c r="V64" s="53">
        <v>658</v>
      </c>
      <c r="W64" s="53">
        <f>V64/(T64*60)</f>
        <v>4.2333882669992642</v>
      </c>
      <c r="X64" s="53">
        <f>W64+P64</f>
        <v>50.79321552128517</v>
      </c>
      <c r="Y64" s="55">
        <f>U64*V64</f>
        <v>0.97943138740387548</v>
      </c>
      <c r="Z64" s="55">
        <f>IF(VLOOKUP(21,table_CIA_JCTS,25,FALSE)+VLOOKUP(20,table_CIA_JCTS,24,FALSE)&lt;VLOOKUP(20,table_CIA_JCTS,28,FALSE),VLOOKUP(20,table_CIA_JCTS,28,FALSE),VLOOKUP(21,table_CIA_JCTS,25,FALSE)+VLOOKUP(20,table_CIA_JCTS,24,FALSE))</f>
        <v>410.90197415035976</v>
      </c>
      <c r="AA64" s="55">
        <v>414.84</v>
      </c>
      <c r="AB64" s="55">
        <f>(AA64-0.5)-Z64</f>
        <v>3.4380258496402121</v>
      </c>
      <c r="AC64" s="57">
        <v>409.23</v>
      </c>
      <c r="AD64" t="s">
        <v>10</v>
      </c>
    </row>
    <row r="65" spans="2:30" x14ac:dyDescent="0.2">
      <c r="B65" s="216" t="s">
        <v>10</v>
      </c>
      <c r="C65" s="215">
        <v>25</v>
      </c>
      <c r="D65" s="54">
        <f>VLOOKUP(C65,table_DI,2)</f>
        <v>7.23</v>
      </c>
      <c r="E65" s="54" t="s">
        <v>10</v>
      </c>
      <c r="F65" s="55">
        <f>VLOOKUP(C65,table_DI,5)</f>
        <v>0.35269709543568462</v>
      </c>
      <c r="G65" s="54">
        <f>VLOOKUP(C65,table_DI,3)</f>
        <v>2.31</v>
      </c>
      <c r="H65" s="54" t="s">
        <v>10</v>
      </c>
      <c r="I65" s="54">
        <f>VLOOKUP(C65,table_DI,4)</f>
        <v>2.5499999999999998</v>
      </c>
      <c r="J65" s="54" t="s">
        <v>10</v>
      </c>
      <c r="K65" s="56">
        <f>VLOOKUP(C65,table_DI,9)</f>
        <v>3.1254061078622498E-3</v>
      </c>
      <c r="L65" s="53">
        <f>VLOOKUP(C65,table_DI,8)</f>
        <v>1539</v>
      </c>
      <c r="M65" s="55">
        <f>(0.84*(K65^0.5)*(cell_GUTDEP^0.6666)/cell_NRD)</f>
        <v>1.6461541782468758</v>
      </c>
      <c r="N65" s="53">
        <f>VLOOKUP(C65,table_DI,10)</f>
        <v>25</v>
      </c>
      <c r="O65" s="53">
        <f>(L65/(M65*60))</f>
        <v>15.581772557487161</v>
      </c>
      <c r="P65" s="53">
        <f>N65+O65</f>
        <v>40.581772557487163</v>
      </c>
      <c r="Q65" s="55">
        <f t="shared" si="3"/>
        <v>0.54508840701212824</v>
      </c>
      <c r="R65" s="54">
        <f>Q65*I65</f>
        <v>1.3899754378809268</v>
      </c>
      <c r="S65" s="53" t="s">
        <v>10</v>
      </c>
      <c r="T65" s="55" t="s">
        <v>10</v>
      </c>
      <c r="U65" s="56" t="s">
        <v>10</v>
      </c>
      <c r="V65" s="53" t="s">
        <v>10</v>
      </c>
      <c r="W65" s="53" t="s">
        <v>10</v>
      </c>
      <c r="X65" s="53" t="s">
        <v>10</v>
      </c>
      <c r="Y65" s="55" t="s">
        <v>10</v>
      </c>
      <c r="Z65" s="55" t="s">
        <v>10</v>
      </c>
      <c r="AA65" s="55" t="s">
        <v>10</v>
      </c>
      <c r="AB65" s="55" t="s">
        <v>10</v>
      </c>
      <c r="AC65" s="57" t="s">
        <v>10</v>
      </c>
      <c r="AD65" t="s">
        <v>10</v>
      </c>
    </row>
    <row r="66" spans="2:30" x14ac:dyDescent="0.2">
      <c r="B66" s="216">
        <v>21</v>
      </c>
      <c r="C66" s="217" t="s">
        <v>10</v>
      </c>
      <c r="D66" s="54" t="s">
        <v>10</v>
      </c>
      <c r="E66" s="54">
        <f>VLOOKUP(20,table_CIA_JCTS,4,FALSE)+VLOOKUP(25,table_CIA_INLETS,2,FALSE)</f>
        <v>43.09</v>
      </c>
      <c r="F66" s="55" t="s">
        <v>10</v>
      </c>
      <c r="G66" s="54" t="s">
        <v>10</v>
      </c>
      <c r="H66" s="54">
        <f>VLOOKUP(20,table_CIA_JCTS,7,FALSE)+VLOOKUP(25,table_CIA_INLETS,5,FALSE)</f>
        <v>17.641999999999999</v>
      </c>
      <c r="I66" s="54" t="s">
        <v>10</v>
      </c>
      <c r="J66" s="54">
        <f>VLOOKUP(20,table_CIA_JCTS,9,FALSE)+VLOOKUP(25,table_CIA_INLETS,7,FALSE)</f>
        <v>18.822000000000003</v>
      </c>
      <c r="K66" s="56" t="s">
        <v>10</v>
      </c>
      <c r="L66" s="53" t="s">
        <v>10</v>
      </c>
      <c r="M66" s="55" t="s">
        <v>10</v>
      </c>
      <c r="N66" s="53" t="s">
        <v>10</v>
      </c>
      <c r="O66" s="53" t="s">
        <v>10</v>
      </c>
      <c r="P66" s="53">
        <f>VLOOKUP(20,table_CIA_JCTS,23,FALSE)</f>
        <v>50.79321552128517</v>
      </c>
      <c r="Q66" s="55">
        <f t="shared" si="3"/>
        <v>0.4736181005223975</v>
      </c>
      <c r="R66" s="54">
        <f>J66*Q66</f>
        <v>8.9144398880325664</v>
      </c>
      <c r="S66" s="53">
        <v>30</v>
      </c>
      <c r="T66" s="55">
        <f>(4*R66)/(3.14159*(S66/12)^2)</f>
        <v>1.8160363154774628</v>
      </c>
      <c r="U66" s="56">
        <f>((R66/((0.463135/cell_NP)*((S66/12)^(8/3))))^2)*cell_FF</f>
        <v>5.4326377638738244E-4</v>
      </c>
      <c r="V66" s="53">
        <v>251</v>
      </c>
      <c r="W66" s="53">
        <f>V66/(T66*60)</f>
        <v>2.3035515852189734</v>
      </c>
      <c r="X66" s="53">
        <f>W66+P66</f>
        <v>53.096767106504146</v>
      </c>
      <c r="Y66" s="55">
        <f>U66*V66</f>
        <v>0.136359207873233</v>
      </c>
      <c r="Z66" s="55">
        <f>IF(VLOOKUP(23,table_CIA_JCTS,25,FALSE)+VLOOKUP(21,table_CIA_JCTS,24,FALSE)&lt;VLOOKUP(21,table_CIA_JCTS,28,FALSE),VLOOKUP(21,table_CIA_JCTS,28,FALSE),VLOOKUP(23,table_CIA_JCTS,25,FALSE)+VLOOKUP(21,table_CIA_JCTS,24,FALSE))</f>
        <v>409.92254276295591</v>
      </c>
      <c r="AA66" s="55">
        <v>413.1</v>
      </c>
      <c r="AB66" s="55">
        <f>(AA66-0.5)-Z66</f>
        <v>2.6774572370441092</v>
      </c>
      <c r="AC66" s="57">
        <v>408.7</v>
      </c>
      <c r="AD66" t="s">
        <v>10</v>
      </c>
    </row>
    <row r="67" spans="2:30" x14ac:dyDescent="0.2">
      <c r="B67" s="216" t="s">
        <v>10</v>
      </c>
      <c r="C67" s="217" t="s">
        <v>10</v>
      </c>
      <c r="D67" s="54" t="s">
        <v>10</v>
      </c>
      <c r="E67" s="54" t="s">
        <v>10</v>
      </c>
      <c r="F67" s="55" t="s">
        <v>10</v>
      </c>
      <c r="G67" s="54" t="s">
        <v>10</v>
      </c>
      <c r="H67" s="54" t="s">
        <v>10</v>
      </c>
      <c r="I67" s="54" t="s">
        <v>10</v>
      </c>
      <c r="J67" s="54" t="s">
        <v>10</v>
      </c>
      <c r="K67" s="56" t="s">
        <v>10</v>
      </c>
      <c r="L67" s="53" t="s">
        <v>10</v>
      </c>
      <c r="M67" s="55" t="s">
        <v>10</v>
      </c>
      <c r="N67" s="53" t="s">
        <v>10</v>
      </c>
      <c r="O67" s="53" t="s">
        <v>10</v>
      </c>
      <c r="P67" s="53" t="s">
        <v>10</v>
      </c>
      <c r="Q67" s="55" t="s">
        <v>10</v>
      </c>
      <c r="R67" s="54" t="s">
        <v>10</v>
      </c>
      <c r="S67" s="53" t="s">
        <v>10</v>
      </c>
      <c r="T67" s="55" t="s">
        <v>10</v>
      </c>
      <c r="U67" s="56" t="s">
        <v>10</v>
      </c>
      <c r="V67" s="53" t="s">
        <v>10</v>
      </c>
      <c r="W67" s="53" t="s">
        <v>10</v>
      </c>
      <c r="X67" s="53" t="s">
        <v>10</v>
      </c>
      <c r="Y67" s="55" t="s">
        <v>10</v>
      </c>
      <c r="Z67" s="55" t="s">
        <v>10</v>
      </c>
      <c r="AA67" s="55" t="s">
        <v>10</v>
      </c>
      <c r="AB67" s="55" t="s">
        <v>10</v>
      </c>
      <c r="AC67" s="57" t="s">
        <v>10</v>
      </c>
      <c r="AD67" t="s">
        <v>10</v>
      </c>
    </row>
    <row r="68" spans="2:30" x14ac:dyDescent="0.2">
      <c r="B68" s="216" t="s">
        <v>10</v>
      </c>
      <c r="C68" s="215">
        <v>26</v>
      </c>
      <c r="D68" s="54">
        <f>VLOOKUP(C68,table_DI,2)</f>
        <v>3.01</v>
      </c>
      <c r="E68" s="54" t="s">
        <v>10</v>
      </c>
      <c r="F68" s="55">
        <f>VLOOKUP(C68,table_DI,5)</f>
        <v>0.35215946843853824</v>
      </c>
      <c r="G68" s="54">
        <f>VLOOKUP(C68,table_DI,3)</f>
        <v>0.96</v>
      </c>
      <c r="H68" s="54" t="s">
        <v>10</v>
      </c>
      <c r="I68" s="54">
        <f>VLOOKUP(C68,table_DI,4)</f>
        <v>1.06</v>
      </c>
      <c r="J68" s="54" t="s">
        <v>10</v>
      </c>
      <c r="K68" s="56">
        <f>VLOOKUP(C68,table_DI,9)</f>
        <v>3.1990521327014084E-3</v>
      </c>
      <c r="L68" s="53">
        <f>VLOOKUP(C68,table_DI,8)</f>
        <v>844</v>
      </c>
      <c r="M68" s="55">
        <f>(0.84*(K68^0.5)*(cell_GUTDEP^0.6666)/cell_NRD)</f>
        <v>1.6654359656226281</v>
      </c>
      <c r="N68" s="53">
        <f>VLOOKUP(C68,table_DI,10)</f>
        <v>20</v>
      </c>
      <c r="O68" s="53">
        <f>(L68/(M68*60))</f>
        <v>8.4462368755245425</v>
      </c>
      <c r="P68" s="53">
        <f>N68+O68</f>
        <v>28.446236875524541</v>
      </c>
      <c r="Q68" s="55">
        <f>cell_P*(P68^cell_E)</f>
        <v>0.68091591012436592</v>
      </c>
      <c r="R68" s="54">
        <f>Q68*I68</f>
        <v>0.72177086473182794</v>
      </c>
      <c r="S68" s="53" t="s">
        <v>10</v>
      </c>
      <c r="T68" s="55" t="s">
        <v>10</v>
      </c>
      <c r="U68" s="56" t="s">
        <v>10</v>
      </c>
      <c r="V68" s="53" t="s">
        <v>10</v>
      </c>
      <c r="W68" s="53" t="s">
        <v>10</v>
      </c>
      <c r="X68" s="53" t="s">
        <v>10</v>
      </c>
      <c r="Y68" s="55" t="s">
        <v>10</v>
      </c>
      <c r="Z68" s="55" t="s">
        <v>10</v>
      </c>
      <c r="AA68" s="55" t="s">
        <v>10</v>
      </c>
      <c r="AB68" s="55" t="s">
        <v>10</v>
      </c>
      <c r="AC68" s="57" t="s">
        <v>10</v>
      </c>
      <c r="AD68" t="s">
        <v>10</v>
      </c>
    </row>
    <row r="69" spans="2:30" x14ac:dyDescent="0.2">
      <c r="B69" s="216" t="s">
        <v>10</v>
      </c>
      <c r="C69" s="215">
        <v>27</v>
      </c>
      <c r="D69" s="54">
        <f>VLOOKUP(C69,table_DI,2)</f>
        <v>5.67</v>
      </c>
      <c r="E69" s="54" t="s">
        <v>10</v>
      </c>
      <c r="F69" s="55">
        <f>VLOOKUP(C69,table_DI,5)</f>
        <v>0.35273368606701938</v>
      </c>
      <c r="G69" s="54">
        <f>VLOOKUP(C69,table_DI,3)</f>
        <v>1.81</v>
      </c>
      <c r="H69" s="54" t="s">
        <v>10</v>
      </c>
      <c r="I69" s="54">
        <f>VLOOKUP(C69,table_DI,4)</f>
        <v>2</v>
      </c>
      <c r="J69" s="54" t="s">
        <v>10</v>
      </c>
      <c r="K69" s="56">
        <f>VLOOKUP(C69,table_DI,9)</f>
        <v>3.0455635491606959E-3</v>
      </c>
      <c r="L69" s="53">
        <f>VLOOKUP(C69,table_DI,8)</f>
        <v>834</v>
      </c>
      <c r="M69" s="55">
        <f>(0.84*(K69^0.5)*(cell_GUTDEP^0.6666)/cell_NRD)</f>
        <v>1.6249915739414591</v>
      </c>
      <c r="N69" s="53">
        <f>VLOOKUP(C69,table_DI,10)</f>
        <v>20</v>
      </c>
      <c r="O69" s="53">
        <f>(L69/(M69*60))</f>
        <v>8.5538905080505678</v>
      </c>
      <c r="P69" s="53">
        <f>N69+O69</f>
        <v>28.553890508050568</v>
      </c>
      <c r="Q69" s="55">
        <f>cell_P*(P69^cell_E)</f>
        <v>0.67930720520268961</v>
      </c>
      <c r="R69" s="54">
        <f>Q69*I69</f>
        <v>1.3586144104053792</v>
      </c>
      <c r="S69" s="53" t="s">
        <v>10</v>
      </c>
      <c r="T69" s="55" t="s">
        <v>10</v>
      </c>
      <c r="U69" s="56" t="s">
        <v>10</v>
      </c>
      <c r="V69" s="53" t="s">
        <v>10</v>
      </c>
      <c r="W69" s="53" t="s">
        <v>10</v>
      </c>
      <c r="X69" s="53" t="s">
        <v>10</v>
      </c>
      <c r="Y69" s="55" t="s">
        <v>10</v>
      </c>
      <c r="Z69" s="55" t="s">
        <v>10</v>
      </c>
      <c r="AA69" s="55" t="s">
        <v>10</v>
      </c>
      <c r="AB69" s="55" t="s">
        <v>10</v>
      </c>
      <c r="AC69" s="57" t="s">
        <v>10</v>
      </c>
      <c r="AD69" t="s">
        <v>10</v>
      </c>
    </row>
    <row r="70" spans="2:30" x14ac:dyDescent="0.2">
      <c r="B70" s="216">
        <v>22</v>
      </c>
      <c r="C70" s="217" t="s">
        <v>10</v>
      </c>
      <c r="D70" s="54" t="s">
        <v>10</v>
      </c>
      <c r="E70" s="54">
        <f>VLOOKUP(26,table_CIA_INLETS,2,FALSE)+VLOOKUP(27,table_CIA_INLETS,2,FALSE)</f>
        <v>8.68</v>
      </c>
      <c r="F70" s="55" t="s">
        <v>10</v>
      </c>
      <c r="G70" s="54" t="s">
        <v>10</v>
      </c>
      <c r="H70" s="54">
        <f>VLOOKUP(26,table_CIA_INLETS,5,FALSE)+VLOOKUP(27,table_CIA_INLETS,5,FALSE)</f>
        <v>2.77</v>
      </c>
      <c r="I70" s="54" t="s">
        <v>10</v>
      </c>
      <c r="J70" s="54">
        <f>VLOOKUP(26,table_CIA_INLETS,7,FALSE)+VLOOKUP(27,table_CIA_INLETS,7,FALSE)</f>
        <v>3.06</v>
      </c>
      <c r="K70" s="56" t="s">
        <v>10</v>
      </c>
      <c r="L70" s="53" t="s">
        <v>10</v>
      </c>
      <c r="M70" s="55" t="s">
        <v>10</v>
      </c>
      <c r="N70" s="53" t="s">
        <v>10</v>
      </c>
      <c r="O70" s="53" t="s">
        <v>10</v>
      </c>
      <c r="P70" s="53">
        <f>VLOOKUP(27,table_CIA_INLETS,14,FALSE)</f>
        <v>28.553890508050568</v>
      </c>
      <c r="Q70" s="55">
        <f>cell_P*(P70^cell_E)</f>
        <v>0.67930720520268961</v>
      </c>
      <c r="R70" s="54">
        <f>J70*Q70</f>
        <v>2.0786800479202303</v>
      </c>
      <c r="S70" s="53">
        <v>24</v>
      </c>
      <c r="T70" s="55">
        <f>(4*R70)/(3.14159*(S70/12)^2)</f>
        <v>0.6616649683504946</v>
      </c>
      <c r="U70" s="56">
        <f>((R70/((0.463135/cell_NP)*((S70/12)^(8/3))))^2)*cell_FF</f>
        <v>9.7107175985791034E-5</v>
      </c>
      <c r="V70" s="53">
        <v>146</v>
      </c>
      <c r="W70" s="53">
        <f>V70/(T70*60)</f>
        <v>3.6775913033442591</v>
      </c>
      <c r="X70" s="53">
        <f>W70+P70</f>
        <v>32.231481811394829</v>
      </c>
      <c r="Y70" s="55">
        <f>U70*V70</f>
        <v>1.4177647693925492E-2</v>
      </c>
      <c r="Z70" s="55">
        <f>IF(VLOOKUP(23,table_CIA_JCTS,25,FALSE)+VLOOKUP(22,table_CIA_JCTS,24,FALSE)&lt;VLOOKUP(22,table_CIA_JCTS,28,FALSE),VLOOKUP(22,table_CIA_JCTS,28,FALSE),VLOOKUP(23,table_CIA_JCTS,25,FALSE)+VLOOKUP(22,table_CIA_JCTS,24,FALSE))</f>
        <v>409.80036120277663</v>
      </c>
      <c r="AA70" s="55">
        <v>415.05</v>
      </c>
      <c r="AB70" s="55">
        <f>(AA70-0.5)-Z70</f>
        <v>4.7496387972233833</v>
      </c>
      <c r="AC70" s="57">
        <v>407.54</v>
      </c>
      <c r="AD70" t="s">
        <v>10</v>
      </c>
    </row>
    <row r="71" spans="2:30" x14ac:dyDescent="0.2">
      <c r="B71" s="216">
        <v>23</v>
      </c>
      <c r="C71" s="217" t="s">
        <v>10</v>
      </c>
      <c r="D71" s="54" t="s">
        <v>10</v>
      </c>
      <c r="E71" s="54">
        <f>VLOOKUP(21,table_CIA_JCTS,4,FALSE)+VLOOKUP(22,table_CIA_JCTS,4,FALSE)</f>
        <v>51.77</v>
      </c>
      <c r="F71" s="55" t="s">
        <v>10</v>
      </c>
      <c r="G71" s="54" t="s">
        <v>10</v>
      </c>
      <c r="H71" s="54">
        <f>VLOOKUP(21,table_CIA_JCTS,7,FALSE)+VLOOKUP(22,table_CIA_JCTS,7,FALSE)</f>
        <v>20.411999999999999</v>
      </c>
      <c r="I71" s="54" t="s">
        <v>10</v>
      </c>
      <c r="J71" s="54">
        <f>VLOOKUP(21,table_CIA_JCTS,9,FALSE)+VLOOKUP(22,table_CIA_JCTS,9,FALSE)</f>
        <v>21.882000000000001</v>
      </c>
      <c r="K71" s="56" t="s">
        <v>10</v>
      </c>
      <c r="L71" s="53" t="s">
        <v>10</v>
      </c>
      <c r="M71" s="55" t="s">
        <v>10</v>
      </c>
      <c r="N71" s="53" t="s">
        <v>10</v>
      </c>
      <c r="O71" s="53" t="s">
        <v>10</v>
      </c>
      <c r="P71" s="53">
        <f>VLOOKUP(21,table_CIA_JCTS,23,FALSE)</f>
        <v>53.096767106504146</v>
      </c>
      <c r="Q71" s="55">
        <f>cell_P*(P71^cell_E)</f>
        <v>0.46064482275069252</v>
      </c>
      <c r="R71" s="54">
        <f>J71*Q71</f>
        <v>10.079830011430655</v>
      </c>
      <c r="S71" s="53">
        <v>30</v>
      </c>
      <c r="T71" s="55">
        <f>(4*R71)/(3.14159*(S71/12)^2)</f>
        <v>2.0534478424350788</v>
      </c>
      <c r="U71" s="56">
        <f>((R71/((0.463135/cell_NP)*((S71/12)^(8/3))))^2)*cell_FF</f>
        <v>6.9459082593329433E-4</v>
      </c>
      <c r="V71" s="53">
        <v>114</v>
      </c>
      <c r="W71" s="53">
        <f>V71/(T71*60)</f>
        <v>0.92527307523276914</v>
      </c>
      <c r="X71" s="53">
        <f>W71+P71</f>
        <v>54.022040181736912</v>
      </c>
      <c r="Y71" s="55">
        <f>U71*V71</f>
        <v>7.9183354156395561E-2</v>
      </c>
      <c r="Z71" s="55">
        <f>IF(VLOOKUP(25,table_CIA_JCTS,25,FALSE)+VLOOKUP(23,table_CIA_JCTS,24,FALSE)&lt;VLOOKUP(23,table_CIA_JCTS,28,FALSE),VLOOKUP(23,table_CIA_JCTS,28,FALSE),VLOOKUP(25,table_CIA_JCTS,25,FALSE)+VLOOKUP(23,table_CIA_JCTS,24,FALSE))</f>
        <v>409.78618355508269</v>
      </c>
      <c r="AA71" s="55">
        <v>413.79</v>
      </c>
      <c r="AB71" s="55">
        <f>(AA71-0.5)-Z71</f>
        <v>3.5038164449173337</v>
      </c>
      <c r="AC71" s="57">
        <v>407.69</v>
      </c>
      <c r="AD71" t="s">
        <v>10</v>
      </c>
    </row>
    <row r="72" spans="2:30" x14ac:dyDescent="0.2">
      <c r="B72" s="216" t="s">
        <v>10</v>
      </c>
      <c r="C72" s="217" t="s">
        <v>10</v>
      </c>
      <c r="D72" s="54" t="s">
        <v>10</v>
      </c>
      <c r="E72" s="54" t="s">
        <v>10</v>
      </c>
      <c r="F72" s="55" t="s">
        <v>10</v>
      </c>
      <c r="G72" s="54" t="s">
        <v>10</v>
      </c>
      <c r="H72" s="54" t="s">
        <v>10</v>
      </c>
      <c r="I72" s="54" t="s">
        <v>10</v>
      </c>
      <c r="J72" s="54" t="s">
        <v>10</v>
      </c>
      <c r="K72" s="56" t="s">
        <v>10</v>
      </c>
      <c r="L72" s="53" t="s">
        <v>10</v>
      </c>
      <c r="M72" s="55" t="s">
        <v>10</v>
      </c>
      <c r="N72" s="53" t="s">
        <v>10</v>
      </c>
      <c r="O72" s="53" t="s">
        <v>10</v>
      </c>
      <c r="P72" s="53" t="s">
        <v>10</v>
      </c>
      <c r="Q72" s="55" t="s">
        <v>10</v>
      </c>
      <c r="R72" s="54" t="s">
        <v>10</v>
      </c>
      <c r="S72" s="53" t="s">
        <v>10</v>
      </c>
      <c r="T72" s="55" t="s">
        <v>10</v>
      </c>
      <c r="U72" s="56" t="s">
        <v>10</v>
      </c>
      <c r="V72" s="53" t="s">
        <v>10</v>
      </c>
      <c r="W72" s="53" t="s">
        <v>10</v>
      </c>
      <c r="X72" s="53" t="s">
        <v>10</v>
      </c>
      <c r="Y72" s="55" t="s">
        <v>10</v>
      </c>
      <c r="Z72" s="55" t="s">
        <v>10</v>
      </c>
      <c r="AA72" s="55" t="s">
        <v>10</v>
      </c>
      <c r="AB72" s="55" t="s">
        <v>10</v>
      </c>
      <c r="AC72" s="57" t="s">
        <v>10</v>
      </c>
      <c r="AD72" t="s">
        <v>10</v>
      </c>
    </row>
    <row r="73" spans="2:30" x14ac:dyDescent="0.2">
      <c r="B73" s="216" t="s">
        <v>10</v>
      </c>
      <c r="C73" s="215">
        <v>28</v>
      </c>
      <c r="D73" s="54">
        <f>VLOOKUP(C73,table_DI,2)</f>
        <v>0.85</v>
      </c>
      <c r="E73" s="54" t="s">
        <v>10</v>
      </c>
      <c r="F73" s="55">
        <f>VLOOKUP(C73,table_DI,5)</f>
        <v>0.45882352941176474</v>
      </c>
      <c r="G73" s="54">
        <f>VLOOKUP(C73,table_DI,3)</f>
        <v>0.36</v>
      </c>
      <c r="H73" s="54" t="s">
        <v>10</v>
      </c>
      <c r="I73" s="54">
        <f>VLOOKUP(C73,table_DI,4)</f>
        <v>0.39</v>
      </c>
      <c r="J73" s="54" t="s">
        <v>10</v>
      </c>
      <c r="K73" s="56">
        <f>VLOOKUP(C73,table_DI,9)</f>
        <v>5.298245614035255E-3</v>
      </c>
      <c r="L73" s="53">
        <f>VLOOKUP(C73,table_DI,8)</f>
        <v>285</v>
      </c>
      <c r="M73" s="55">
        <f>(0.84*(K73^0.5)*(cell_GUTDEP^0.6666)/cell_NRD)</f>
        <v>2.1433017769759743</v>
      </c>
      <c r="N73" s="53">
        <f>VLOOKUP(C73,table_DI,10)</f>
        <v>20</v>
      </c>
      <c r="O73" s="53">
        <f>(L73/(M73*60))</f>
        <v>2.2162068127904351</v>
      </c>
      <c r="P73" s="53">
        <f>N73+O73</f>
        <v>22.216206812790436</v>
      </c>
      <c r="Q73" s="55">
        <f t="shared" ref="Q73:Q78" si="4">cell_P*(P73^cell_E)</f>
        <v>0.79491213723723131</v>
      </c>
      <c r="R73" s="54">
        <f>Q73*I73</f>
        <v>0.31001573352252021</v>
      </c>
      <c r="S73" s="53" t="s">
        <v>10</v>
      </c>
      <c r="T73" s="55" t="s">
        <v>10</v>
      </c>
      <c r="U73" s="56" t="s">
        <v>10</v>
      </c>
      <c r="V73" s="53" t="s">
        <v>10</v>
      </c>
      <c r="W73" s="53" t="s">
        <v>10</v>
      </c>
      <c r="X73" s="53" t="s">
        <v>10</v>
      </c>
      <c r="Y73" s="55" t="s">
        <v>10</v>
      </c>
      <c r="Z73" s="55" t="s">
        <v>10</v>
      </c>
      <c r="AA73" s="55" t="s">
        <v>10</v>
      </c>
      <c r="AB73" s="55" t="s">
        <v>10</v>
      </c>
      <c r="AC73" s="57" t="s">
        <v>10</v>
      </c>
      <c r="AD73" t="s">
        <v>10</v>
      </c>
    </row>
    <row r="74" spans="2:30" x14ac:dyDescent="0.2">
      <c r="B74" s="216" t="s">
        <v>10</v>
      </c>
      <c r="C74" s="215">
        <v>29</v>
      </c>
      <c r="D74" s="54">
        <f>VLOOKUP(C74,table_DI,2)</f>
        <v>1.22</v>
      </c>
      <c r="E74" s="54" t="s">
        <v>10</v>
      </c>
      <c r="F74" s="55">
        <f>VLOOKUP(C74,table_DI,5)</f>
        <v>0.45901639344262302</v>
      </c>
      <c r="G74" s="54">
        <f>VLOOKUP(C74,table_DI,3)</f>
        <v>0.51</v>
      </c>
      <c r="H74" s="54" t="s">
        <v>10</v>
      </c>
      <c r="I74" s="54">
        <f>VLOOKUP(C74,table_DI,4)</f>
        <v>0.56000000000000005</v>
      </c>
      <c r="J74" s="54" t="s">
        <v>10</v>
      </c>
      <c r="K74" s="56">
        <f>VLOOKUP(C74,table_DI,9)</f>
        <v>2.8133704735375793E-3</v>
      </c>
      <c r="L74" s="53">
        <f>VLOOKUP(C74,table_DI,8)</f>
        <v>359</v>
      </c>
      <c r="M74" s="55">
        <f>(0.84*(K74^0.5)*(cell_GUTDEP^0.6666)/cell_NRD)</f>
        <v>1.5618191479440753</v>
      </c>
      <c r="N74" s="53">
        <f>VLOOKUP(C74,table_DI,10)</f>
        <v>20</v>
      </c>
      <c r="O74" s="53">
        <f>(L74/(M74*60))</f>
        <v>3.8310026748036647</v>
      </c>
      <c r="P74" s="53">
        <f>N74+O74</f>
        <v>23.831002674803663</v>
      </c>
      <c r="Q74" s="55">
        <f t="shared" si="4"/>
        <v>0.7607418487431391</v>
      </c>
      <c r="R74" s="54">
        <f>Q74*I74</f>
        <v>0.42601543529615793</v>
      </c>
      <c r="S74" s="53" t="s">
        <v>10</v>
      </c>
      <c r="T74" s="55" t="s">
        <v>10</v>
      </c>
      <c r="U74" s="56" t="s">
        <v>10</v>
      </c>
      <c r="V74" s="53" t="s">
        <v>10</v>
      </c>
      <c r="W74" s="53" t="s">
        <v>10</v>
      </c>
      <c r="X74" s="53" t="s">
        <v>10</v>
      </c>
      <c r="Y74" s="55" t="s">
        <v>10</v>
      </c>
      <c r="Z74" s="55" t="s">
        <v>10</v>
      </c>
      <c r="AA74" s="55" t="s">
        <v>10</v>
      </c>
      <c r="AB74" s="55" t="s">
        <v>10</v>
      </c>
      <c r="AC74" s="57" t="s">
        <v>10</v>
      </c>
      <c r="AD74" t="s">
        <v>10</v>
      </c>
    </row>
    <row r="75" spans="2:30" x14ac:dyDescent="0.2">
      <c r="B75" s="216">
        <v>24</v>
      </c>
      <c r="C75" s="217" t="s">
        <v>10</v>
      </c>
      <c r="D75" s="54" t="s">
        <v>10</v>
      </c>
      <c r="E75" s="54">
        <f>VLOOKUP(28,table_CIA_INLETS,2,FALSE)+VLOOKUP(29,table_CIA_INLETS,2,FALSE)</f>
        <v>2.0699999999999998</v>
      </c>
      <c r="F75" s="55" t="s">
        <v>10</v>
      </c>
      <c r="G75" s="54" t="s">
        <v>10</v>
      </c>
      <c r="H75" s="54">
        <f>VLOOKUP(28,table_CIA_INLETS,5,FALSE)+VLOOKUP(29,table_CIA_INLETS,5,FALSE)</f>
        <v>0.87</v>
      </c>
      <c r="I75" s="54" t="s">
        <v>10</v>
      </c>
      <c r="J75" s="54">
        <f>VLOOKUP(28,table_CIA_INLETS,7,FALSE)+VLOOKUP(29,table_CIA_INLETS,7,FALSE)</f>
        <v>0.95000000000000007</v>
      </c>
      <c r="K75" s="56" t="s">
        <v>10</v>
      </c>
      <c r="L75" s="53" t="s">
        <v>10</v>
      </c>
      <c r="M75" s="55" t="s">
        <v>10</v>
      </c>
      <c r="N75" s="53" t="s">
        <v>10</v>
      </c>
      <c r="O75" s="53" t="s">
        <v>10</v>
      </c>
      <c r="P75" s="53">
        <f>VLOOKUP(29,table_CIA_INLETS,14,FALSE)</f>
        <v>23.831002674803663</v>
      </c>
      <c r="Q75" s="55">
        <f t="shared" si="4"/>
        <v>0.7607418487431391</v>
      </c>
      <c r="R75" s="54">
        <f>J75*Q75</f>
        <v>0.72270475630598219</v>
      </c>
      <c r="S75" s="53">
        <v>24</v>
      </c>
      <c r="T75" s="55">
        <f>(4*R75)/(3.14159*(S75/12)^2)</f>
        <v>0.23004426303431771</v>
      </c>
      <c r="U75" s="56">
        <f>((R75/((0.463135/cell_NP)*((S75/12)^(8/3))))^2)*cell_FF</f>
        <v>1.1738101355623886E-5</v>
      </c>
      <c r="V75" s="53">
        <v>73</v>
      </c>
      <c r="W75" s="53">
        <f>V75/(T75*60)</f>
        <v>5.2888372464440288</v>
      </c>
      <c r="X75" s="53">
        <f>W75+P75</f>
        <v>29.119839921247692</v>
      </c>
      <c r="Y75" s="55">
        <f>U75*V75</f>
        <v>8.5688139896054362E-4</v>
      </c>
      <c r="Z75" s="55">
        <f>IF(VLOOKUP(25,table_CIA_JCTS,25,FALSE)+VLOOKUP(24,table_CIA_JCTS,24,FALSE)&lt;VLOOKUP(24,table_CIA_JCTS,28,FALSE),VLOOKUP(24,table_CIA_JCTS,28,FALSE),VLOOKUP(25,table_CIA_JCTS,25,FALSE)+VLOOKUP(24,table_CIA_JCTS,24,FALSE))</f>
        <v>409.70785708232529</v>
      </c>
      <c r="AA75" s="55">
        <v>413.15</v>
      </c>
      <c r="AB75" s="55">
        <f>(AA75-0.5)-Z75</f>
        <v>2.9421429176746869</v>
      </c>
      <c r="AC75" s="57">
        <v>407.36</v>
      </c>
      <c r="AD75" t="s">
        <v>10</v>
      </c>
    </row>
    <row r="76" spans="2:30" x14ac:dyDescent="0.2">
      <c r="B76" s="216">
        <v>25</v>
      </c>
      <c r="C76" s="217" t="s">
        <v>10</v>
      </c>
      <c r="D76" s="54" t="s">
        <v>10</v>
      </c>
      <c r="E76" s="54">
        <f>VLOOKUP(23,table_CIA_JCTS,4,FALSE)+VLOOKUP(24,table_CIA_JCTS,4,FALSE)</f>
        <v>53.84</v>
      </c>
      <c r="F76" s="55" t="s">
        <v>10</v>
      </c>
      <c r="G76" s="54" t="s">
        <v>10</v>
      </c>
      <c r="H76" s="54">
        <f>VLOOKUP(23,table_CIA_JCTS,7,FALSE)+VLOOKUP(24,table_CIA_JCTS,7,FALSE)</f>
        <v>21.282</v>
      </c>
      <c r="I76" s="54" t="s">
        <v>10</v>
      </c>
      <c r="J76" s="54">
        <f>VLOOKUP(23,table_CIA_JCTS,9,FALSE)+VLOOKUP(24,table_CIA_JCTS,9,FALSE)</f>
        <v>22.832000000000001</v>
      </c>
      <c r="K76" s="56" t="s">
        <v>10</v>
      </c>
      <c r="L76" s="53" t="s">
        <v>10</v>
      </c>
      <c r="M76" s="55" t="s">
        <v>10</v>
      </c>
      <c r="N76" s="53" t="s">
        <v>10</v>
      </c>
      <c r="O76" s="53" t="s">
        <v>10</v>
      </c>
      <c r="P76" s="53">
        <f>VLOOKUP(23,table_CIA_JCTS,23,FALSE)</f>
        <v>54.022040181736912</v>
      </c>
      <c r="Q76" s="55">
        <f t="shared" si="4"/>
        <v>0.45568829878675143</v>
      </c>
      <c r="R76" s="54">
        <f>J76*Q76</f>
        <v>10.404275237899109</v>
      </c>
      <c r="S76" s="53">
        <v>30</v>
      </c>
      <c r="T76" s="55">
        <f>(4*R76)/(3.14159*(S76/12)^2)</f>
        <v>2.1195433370539853</v>
      </c>
      <c r="U76" s="56">
        <f>((R76/((0.463135/cell_NP)*((S76/12)^(8/3))))^2)*cell_FF</f>
        <v>7.4002483015742603E-4</v>
      </c>
      <c r="V76" s="53">
        <v>227</v>
      </c>
      <c r="W76" s="53">
        <f>V76/(T76*60)</f>
        <v>1.784975691316554</v>
      </c>
      <c r="X76" s="53">
        <f>W76+P76</f>
        <v>55.807015873053466</v>
      </c>
      <c r="Y76" s="55">
        <f>U76*V76</f>
        <v>0.16798563644573572</v>
      </c>
      <c r="Z76" s="55">
        <f>IF(VLOOKUP(26,table_CIA_JCTS,25,FALSE)+VLOOKUP(25,table_CIA_JCTS,24,FALSE)&lt;VLOOKUP(25,table_CIA_JCTS,28,FALSE),VLOOKUP(25,table_CIA_JCTS,28,FALSE),VLOOKUP(26,table_CIA_JCTS,25,FALSE)+VLOOKUP(25,table_CIA_JCTS,24,FALSE))</f>
        <v>409.7070002009263</v>
      </c>
      <c r="AA76" s="55">
        <v>413.62</v>
      </c>
      <c r="AB76" s="55">
        <f>(AA76-0.5)-Z76</f>
        <v>3.4129997990737024</v>
      </c>
      <c r="AC76" s="57">
        <v>407.38</v>
      </c>
      <c r="AD76" t="s">
        <v>10</v>
      </c>
    </row>
    <row r="77" spans="2:30" x14ac:dyDescent="0.2">
      <c r="B77" s="216" t="s">
        <v>10</v>
      </c>
      <c r="C77" s="215">
        <v>30</v>
      </c>
      <c r="D77" s="54">
        <f>VLOOKUP(C77,table_DI,2)</f>
        <v>4.1500000000000004</v>
      </c>
      <c r="E77" s="54" t="s">
        <v>10</v>
      </c>
      <c r="F77" s="55">
        <f>VLOOKUP(C77,table_DI,5)</f>
        <v>0.46265060240963851</v>
      </c>
      <c r="G77" s="54">
        <f>VLOOKUP(C77,table_DI,3)</f>
        <v>1.74</v>
      </c>
      <c r="H77" s="54" t="s">
        <v>10</v>
      </c>
      <c r="I77" s="54">
        <f>VLOOKUP(C77,table_DI,4)</f>
        <v>1.92</v>
      </c>
      <c r="J77" s="54" t="s">
        <v>10</v>
      </c>
      <c r="K77" s="56">
        <f>VLOOKUP(C77,table_DI,9)</f>
        <v>5.1814768460575547E-3</v>
      </c>
      <c r="L77" s="53">
        <f>VLOOKUP(C77,table_DI,8)</f>
        <v>799</v>
      </c>
      <c r="M77" s="55">
        <f>(0.84*(K77^0.5)*(cell_GUTDEP^0.6666)/cell_NRD)</f>
        <v>2.1195519292138632</v>
      </c>
      <c r="N77" s="53">
        <f>VLOOKUP(C77,table_DI,10)</f>
        <v>20</v>
      </c>
      <c r="O77" s="53">
        <f>(L77/(M77*60))</f>
        <v>6.2827744312949134</v>
      </c>
      <c r="P77" s="53">
        <f>N77+O77</f>
        <v>26.282774431294914</v>
      </c>
      <c r="Q77" s="55">
        <f t="shared" si="4"/>
        <v>0.71549353710960573</v>
      </c>
      <c r="R77" s="54">
        <f>Q77*I77</f>
        <v>1.3737475912504429</v>
      </c>
      <c r="S77" s="53" t="s">
        <v>10</v>
      </c>
      <c r="T77" s="55" t="s">
        <v>10</v>
      </c>
      <c r="U77" s="56" t="s">
        <v>10</v>
      </c>
      <c r="V77" s="53" t="s">
        <v>10</v>
      </c>
      <c r="W77" s="53" t="s">
        <v>10</v>
      </c>
      <c r="X77" s="53" t="s">
        <v>10</v>
      </c>
      <c r="Y77" s="55" t="s">
        <v>10</v>
      </c>
      <c r="Z77" s="55" t="s">
        <v>10</v>
      </c>
      <c r="AA77" s="55" t="s">
        <v>10</v>
      </c>
      <c r="AB77" s="55" t="s">
        <v>10</v>
      </c>
      <c r="AC77" s="57" t="s">
        <v>10</v>
      </c>
      <c r="AD77" t="s">
        <v>10</v>
      </c>
    </row>
    <row r="78" spans="2:30" x14ac:dyDescent="0.2">
      <c r="B78" s="216">
        <v>26</v>
      </c>
      <c r="C78" s="217" t="s">
        <v>10</v>
      </c>
      <c r="D78" s="54" t="s">
        <v>10</v>
      </c>
      <c r="E78" s="54">
        <f>VLOOKUP(25,table_CIA_JCTS,4,FALSE)+VLOOKUP(30,table_CIA_INLETS,2,FALSE)</f>
        <v>57.99</v>
      </c>
      <c r="F78" s="55" t="s">
        <v>10</v>
      </c>
      <c r="G78" s="54" t="s">
        <v>10</v>
      </c>
      <c r="H78" s="54">
        <f>VLOOKUP(25,table_CIA_JCTS,7,FALSE)+VLOOKUP(30,table_CIA_INLETS,5,FALSE)</f>
        <v>23.021999999999998</v>
      </c>
      <c r="I78" s="54" t="s">
        <v>10</v>
      </c>
      <c r="J78" s="54">
        <f>VLOOKUP(25,table_CIA_JCTS,9,FALSE)+VLOOKUP(30,table_CIA_INLETS,7,FALSE)</f>
        <v>24.752000000000002</v>
      </c>
      <c r="K78" s="56" t="s">
        <v>10</v>
      </c>
      <c r="L78" s="53" t="s">
        <v>10</v>
      </c>
      <c r="M78" s="55" t="s">
        <v>10</v>
      </c>
      <c r="N78" s="53" t="s">
        <v>10</v>
      </c>
      <c r="O78" s="53" t="s">
        <v>10</v>
      </c>
      <c r="P78" s="53">
        <f>VLOOKUP(25,table_CIA_JCTS,23,FALSE)</f>
        <v>55.807015873053466</v>
      </c>
      <c r="Q78" s="55">
        <f t="shared" si="4"/>
        <v>0.44650599953563191</v>
      </c>
      <c r="R78" s="54">
        <f>J78*Q78</f>
        <v>11.051916500505962</v>
      </c>
      <c r="S78" s="53">
        <v>30</v>
      </c>
      <c r="T78" s="55">
        <f>(4*R78)/(3.14159*(S78/12)^2)</f>
        <v>2.2514798431125054</v>
      </c>
      <c r="U78" s="56">
        <f>((R78/((0.463135/cell_NP)*((S78/12)^(8/3))))^2)*cell_FF</f>
        <v>8.3502180575245556E-4</v>
      </c>
      <c r="V78" s="53">
        <v>189</v>
      </c>
      <c r="W78" s="53">
        <f>V78/(T78*60)</f>
        <v>1.3990798139437735</v>
      </c>
      <c r="X78" s="53">
        <f>W78+P78</f>
        <v>57.206095686997237</v>
      </c>
      <c r="Y78" s="55">
        <f>U78*V78</f>
        <v>0.15781912128721409</v>
      </c>
      <c r="Z78" s="55">
        <f>IF(VLOOKUP(29,table_CIA_JCTS,25,FALSE)+VLOOKUP(26,table_CIA_JCTS,24,FALSE)&lt;VLOOKUP(26,table_CIA_JCTS,28,FALSE),VLOOKUP(26,table_CIA_JCTS,28,FALSE),VLOOKUP(29,table_CIA_JCTS,25,FALSE)+VLOOKUP(26,table_CIA_JCTS,24,FALSE))</f>
        <v>409.53901456448057</v>
      </c>
      <c r="AA78" s="55">
        <v>413.76</v>
      </c>
      <c r="AB78" s="55">
        <f>(AA78-0.5)-Z78</f>
        <v>3.7209854355194238</v>
      </c>
      <c r="AC78" s="57">
        <v>406.57</v>
      </c>
      <c r="AD78" t="s">
        <v>10</v>
      </c>
    </row>
    <row r="79" spans="2:30" x14ac:dyDescent="0.2">
      <c r="B79" s="216" t="s">
        <v>10</v>
      </c>
      <c r="C79" s="217" t="s">
        <v>10</v>
      </c>
      <c r="D79" s="54" t="s">
        <v>10</v>
      </c>
      <c r="E79" s="54" t="s">
        <v>10</v>
      </c>
      <c r="F79" s="55" t="s">
        <v>10</v>
      </c>
      <c r="G79" s="54" t="s">
        <v>10</v>
      </c>
      <c r="H79" s="54" t="s">
        <v>10</v>
      </c>
      <c r="I79" s="54" t="s">
        <v>10</v>
      </c>
      <c r="J79" s="54" t="s">
        <v>10</v>
      </c>
      <c r="K79" s="56" t="s">
        <v>10</v>
      </c>
      <c r="L79" s="53" t="s">
        <v>10</v>
      </c>
      <c r="M79" s="55" t="s">
        <v>10</v>
      </c>
      <c r="N79" s="53" t="s">
        <v>10</v>
      </c>
      <c r="O79" s="53" t="s">
        <v>10</v>
      </c>
      <c r="P79" s="53" t="s">
        <v>10</v>
      </c>
      <c r="Q79" s="55" t="s">
        <v>10</v>
      </c>
      <c r="R79" s="54" t="s">
        <v>10</v>
      </c>
      <c r="S79" s="53" t="s">
        <v>10</v>
      </c>
      <c r="T79" s="55" t="s">
        <v>10</v>
      </c>
      <c r="U79" s="56" t="s">
        <v>10</v>
      </c>
      <c r="V79" s="53" t="s">
        <v>10</v>
      </c>
      <c r="W79" s="53" t="s">
        <v>10</v>
      </c>
      <c r="X79" s="53" t="s">
        <v>10</v>
      </c>
      <c r="Y79" s="55" t="s">
        <v>10</v>
      </c>
      <c r="Z79" s="55" t="s">
        <v>10</v>
      </c>
      <c r="AA79" s="55" t="s">
        <v>10</v>
      </c>
      <c r="AB79" s="55" t="s">
        <v>10</v>
      </c>
      <c r="AC79" s="57" t="s">
        <v>10</v>
      </c>
      <c r="AD79" t="s">
        <v>10</v>
      </c>
    </row>
    <row r="80" spans="2:30" x14ac:dyDescent="0.2">
      <c r="B80" s="216" t="s">
        <v>10</v>
      </c>
      <c r="C80" s="215">
        <v>30.1</v>
      </c>
      <c r="D80" s="54">
        <f>VLOOKUP(C80,table_DI,2)</f>
        <v>2.5499999999999998</v>
      </c>
      <c r="E80" s="54" t="s">
        <v>10</v>
      </c>
      <c r="F80" s="55">
        <f>VLOOKUP(C80,table_DI,5)</f>
        <v>0.2</v>
      </c>
      <c r="G80" s="54">
        <f>VLOOKUP(C80,table_DI,3)</f>
        <v>0.51</v>
      </c>
      <c r="H80" s="54" t="s">
        <v>10</v>
      </c>
      <c r="I80" s="54">
        <f>VLOOKUP(C80,table_DI,4)</f>
        <v>0.51</v>
      </c>
      <c r="J80" s="54" t="s">
        <v>10</v>
      </c>
      <c r="K80" s="56">
        <f>VLOOKUP(C80,table_DI,9)</f>
        <v>7.015239096163934E-3</v>
      </c>
      <c r="L80" s="53">
        <f>VLOOKUP(C80,table_DI,8)</f>
        <v>1903</v>
      </c>
      <c r="M80" s="55">
        <f>(0.84*(K80^0.5)*(cell_GUTDEP^0.6666)/cell_NRD)</f>
        <v>2.4662580685621083</v>
      </c>
      <c r="N80" s="53">
        <f>VLOOKUP(C80,table_DI,10)</f>
        <v>25</v>
      </c>
      <c r="O80" s="53">
        <f>(L80/(M80*60))</f>
        <v>12.86023837933485</v>
      </c>
      <c r="P80" s="53">
        <f>N80+O80</f>
        <v>37.860238379334852</v>
      </c>
      <c r="Q80" s="55">
        <f>cell_P*(P80^cell_E)</f>
        <v>0.56930554716350268</v>
      </c>
      <c r="R80" s="54">
        <f>Q80*I80</f>
        <v>0.29034582905338635</v>
      </c>
      <c r="S80" s="53" t="s">
        <v>10</v>
      </c>
      <c r="T80" s="55" t="s">
        <v>10</v>
      </c>
      <c r="U80" s="56" t="s">
        <v>10</v>
      </c>
      <c r="V80" s="53" t="s">
        <v>10</v>
      </c>
      <c r="W80" s="53" t="s">
        <v>10</v>
      </c>
      <c r="X80" s="53" t="s">
        <v>10</v>
      </c>
      <c r="Y80" s="55" t="s">
        <v>10</v>
      </c>
      <c r="Z80" s="55" t="s">
        <v>10</v>
      </c>
      <c r="AA80" s="55" t="s">
        <v>10</v>
      </c>
      <c r="AB80" s="55" t="s">
        <v>10</v>
      </c>
      <c r="AC80" s="57" t="s">
        <v>10</v>
      </c>
      <c r="AD80" t="s">
        <v>10</v>
      </c>
    </row>
    <row r="81" spans="2:30" x14ac:dyDescent="0.2">
      <c r="B81" s="216">
        <v>26.1</v>
      </c>
      <c r="C81" s="217" t="s">
        <v>10</v>
      </c>
      <c r="D81" s="54" t="s">
        <v>10</v>
      </c>
      <c r="E81" s="54">
        <f>VLOOKUP(30.1,table_CIA_INLETS,2,FALSE)</f>
        <v>2.5499999999999998</v>
      </c>
      <c r="F81" s="55" t="s">
        <v>10</v>
      </c>
      <c r="G81" s="54" t="s">
        <v>10</v>
      </c>
      <c r="H81" s="54">
        <f>VLOOKUP(30.1,table_CIA_INLETS,5,FALSE)</f>
        <v>0.51</v>
      </c>
      <c r="I81" s="54" t="s">
        <v>10</v>
      </c>
      <c r="J81" s="54">
        <f>VLOOKUP(30.1,table_CIA_INLETS,7,FALSE)</f>
        <v>0.51</v>
      </c>
      <c r="K81" s="56" t="s">
        <v>10</v>
      </c>
      <c r="L81" s="53" t="s">
        <v>10</v>
      </c>
      <c r="M81" s="55" t="s">
        <v>10</v>
      </c>
      <c r="N81" s="53" t="s">
        <v>10</v>
      </c>
      <c r="O81" s="53" t="s">
        <v>10</v>
      </c>
      <c r="P81" s="53">
        <f>VLOOKUP(30.1,table_CIA_INLETS,14,FALSE)</f>
        <v>37.860238379334852</v>
      </c>
      <c r="Q81" s="55">
        <f>cell_P*(P81^cell_E)</f>
        <v>0.56930554716350268</v>
      </c>
      <c r="R81" s="54">
        <f>J81*Q81</f>
        <v>0.29034582905338635</v>
      </c>
      <c r="S81" s="53">
        <v>24</v>
      </c>
      <c r="T81" s="55">
        <f>(4*R81)/(3.14159*(S81/12)^2)</f>
        <v>9.242002586377801E-2</v>
      </c>
      <c r="U81" s="56">
        <f>((R81/((0.463135/cell_NP)*((S81/12)^(8/3))))^2)*cell_FF</f>
        <v>1.8945549778065741E-6</v>
      </c>
      <c r="V81" s="53">
        <v>166</v>
      </c>
      <c r="W81" s="53">
        <f>V81/(T81*60)</f>
        <v>29.935791954273846</v>
      </c>
      <c r="X81" s="53">
        <f>W81+P81</f>
        <v>67.796030333608698</v>
      </c>
      <c r="Y81" s="55">
        <f>U81*V81</f>
        <v>3.1449612631589128E-4</v>
      </c>
      <c r="Z81" s="55">
        <f>IF(VLOOKUP(27,table_CIA_JCTS,25,FALSE)+VLOOKUP(26.1,table_CIA_JCTS,24,FALSE)&lt;VLOOKUP(26.1,table_CIA_JCTS,28,FALSE),VLOOKUP(26.1,table_CIA_JCTS,28,FALSE),VLOOKUP(27,table_CIA_JCTS,25,FALSE)+VLOOKUP(26.1,table_CIA_JCTS,24,FALSE))</f>
        <v>410.16993379745122</v>
      </c>
      <c r="AA81" s="55">
        <v>415.3</v>
      </c>
      <c r="AB81" s="55">
        <f>(AA81-0.5)-Z81</f>
        <v>4.6300662025487895</v>
      </c>
      <c r="AC81" s="57">
        <v>409.33</v>
      </c>
      <c r="AD81" t="s">
        <v>454</v>
      </c>
    </row>
    <row r="82" spans="2:30" x14ac:dyDescent="0.2">
      <c r="B82" s="216" t="s">
        <v>10</v>
      </c>
      <c r="C82" s="215">
        <v>31</v>
      </c>
      <c r="D82" s="54">
        <f>VLOOKUP(C82,table_DI,2)</f>
        <v>15.67</v>
      </c>
      <c r="E82" s="54" t="s">
        <v>10</v>
      </c>
      <c r="F82" s="55">
        <f>VLOOKUP(C82,table_DI,5)</f>
        <v>0.46202935545628593</v>
      </c>
      <c r="G82" s="54">
        <f>VLOOKUP(C82,table_DI,3)</f>
        <v>6.58</v>
      </c>
      <c r="H82" s="54" t="s">
        <v>10</v>
      </c>
      <c r="I82" s="54">
        <f>VLOOKUP(C82,table_DI,4)</f>
        <v>7.24</v>
      </c>
      <c r="J82" s="54" t="s">
        <v>10</v>
      </c>
      <c r="K82" s="56">
        <f>VLOOKUP(C82,table_DI,9)</f>
        <v>5.0671487603305507E-3</v>
      </c>
      <c r="L82" s="53">
        <f>VLOOKUP(C82,table_DI,8)</f>
        <v>1936</v>
      </c>
      <c r="M82" s="55">
        <f>(0.84*(K82^0.5)*(cell_GUTDEP^0.6666)/cell_NRD)</f>
        <v>2.0960377861423769</v>
      </c>
      <c r="N82" s="53">
        <f>VLOOKUP(C82,table_DI,10)</f>
        <v>20</v>
      </c>
      <c r="O82" s="53">
        <f>(L82/(M82*60))</f>
        <v>15.394124514354006</v>
      </c>
      <c r="P82" s="53">
        <f>N82+O82</f>
        <v>35.394124514354004</v>
      </c>
      <c r="Q82" s="55">
        <f t="shared" ref="Q82:Q88" si="5">cell_P*(P82^cell_E)</f>
        <v>0.59383135366628315</v>
      </c>
      <c r="R82" s="54">
        <f>Q82*I82</f>
        <v>4.2993390005438901</v>
      </c>
      <c r="S82" s="53" t="s">
        <v>10</v>
      </c>
      <c r="T82" s="55" t="s">
        <v>10</v>
      </c>
      <c r="U82" s="56" t="s">
        <v>10</v>
      </c>
      <c r="V82" s="53" t="s">
        <v>10</v>
      </c>
      <c r="W82" s="53" t="s">
        <v>10</v>
      </c>
      <c r="X82" s="53" t="s">
        <v>10</v>
      </c>
      <c r="Y82" s="55" t="s">
        <v>10</v>
      </c>
      <c r="Z82" s="55" t="s">
        <v>10</v>
      </c>
      <c r="AA82" s="55" t="s">
        <v>10</v>
      </c>
      <c r="AB82" s="55" t="s">
        <v>10</v>
      </c>
      <c r="AC82" s="57" t="s">
        <v>10</v>
      </c>
      <c r="AD82" t="s">
        <v>10</v>
      </c>
    </row>
    <row r="83" spans="2:30" x14ac:dyDescent="0.2">
      <c r="B83" s="216">
        <v>27</v>
      </c>
      <c r="C83" s="217" t="s">
        <v>10</v>
      </c>
      <c r="D83" s="54" t="s">
        <v>10</v>
      </c>
      <c r="E83" s="54">
        <f>+E81+D82</f>
        <v>18.22</v>
      </c>
      <c r="F83" s="55" t="s">
        <v>10</v>
      </c>
      <c r="G83" s="54" t="s">
        <v>10</v>
      </c>
      <c r="H83" s="54">
        <f>+H81+G82</f>
        <v>7.09</v>
      </c>
      <c r="I83" s="54" t="s">
        <v>10</v>
      </c>
      <c r="J83" s="54">
        <f>+J81+I82</f>
        <v>7.75</v>
      </c>
      <c r="K83" s="56" t="s">
        <v>10</v>
      </c>
      <c r="L83" s="53" t="s">
        <v>10</v>
      </c>
      <c r="M83" s="55" t="s">
        <v>10</v>
      </c>
      <c r="N83" s="53" t="s">
        <v>10</v>
      </c>
      <c r="O83" s="53" t="s">
        <v>10</v>
      </c>
      <c r="P83" s="53">
        <f>VLOOKUP(31,table_CIA_INLETS,14,FALSE)</f>
        <v>35.394124514354004</v>
      </c>
      <c r="Q83" s="55">
        <f t="shared" si="5"/>
        <v>0.59383135366628315</v>
      </c>
      <c r="R83" s="54">
        <f>J83*Q83</f>
        <v>4.6021929909136947</v>
      </c>
      <c r="S83" s="53">
        <v>24</v>
      </c>
      <c r="T83" s="55">
        <f>(4*R83)/(3.14159*(S83/12)^2)</f>
        <v>1.4649247645025909</v>
      </c>
      <c r="U83" s="56">
        <f>((R83/((0.463135/cell_NP)*((S83/12)^(8/3))))^2)*cell_FF</f>
        <v>4.7599860799679337E-4</v>
      </c>
      <c r="V83" s="53">
        <v>176</v>
      </c>
      <c r="W83" s="53">
        <f>V83/(T83*60)</f>
        <v>2.0023781455625365</v>
      </c>
      <c r="X83" s="53">
        <f>W83+P83</f>
        <v>37.396502659916543</v>
      </c>
      <c r="Y83" s="55">
        <f>U83*V83</f>
        <v>8.3775755007435629E-2</v>
      </c>
      <c r="Z83" s="55">
        <f>IF(VLOOKUP(27.1,table_CIA_JCTS,25,FALSE)+VLOOKUP(27,table_CIA_JCTS,24,FALSE)&lt;VLOOKUP(27,table_CIA_JCTS,28,FALSE),VLOOKUP(27,table_CIA_JCTS,28,FALSE),VLOOKUP(27.1,table_CIA_JCTS,25,FALSE)+VLOOKUP(27,table_CIA_JCTS,24,FALSE))</f>
        <v>410.16961930132493</v>
      </c>
      <c r="AA83" s="55">
        <v>414.47</v>
      </c>
      <c r="AB83" s="55">
        <f>(AA83-0.5)-Z83</f>
        <v>3.8003806986750988</v>
      </c>
      <c r="AC83" s="57">
        <v>409.95</v>
      </c>
      <c r="AD83" t="s">
        <v>10</v>
      </c>
    </row>
    <row r="84" spans="2:30" x14ac:dyDescent="0.2">
      <c r="B84" s="216" t="s">
        <v>10</v>
      </c>
      <c r="C84" s="215">
        <v>32</v>
      </c>
      <c r="D84" s="54">
        <f>VLOOKUP(C84,table_DI,2)</f>
        <v>13.61</v>
      </c>
      <c r="E84" s="54" t="s">
        <v>10</v>
      </c>
      <c r="F84" s="55">
        <f>VLOOKUP(C84,table_DI,5)</f>
        <v>0.46142542248346807</v>
      </c>
      <c r="G84" s="54">
        <f>VLOOKUP(C84,table_DI,3)</f>
        <v>5.72</v>
      </c>
      <c r="H84" s="54" t="s">
        <v>10</v>
      </c>
      <c r="I84" s="54">
        <f>VLOOKUP(C84,table_DI,4)</f>
        <v>6.28</v>
      </c>
      <c r="J84" s="54" t="s">
        <v>10</v>
      </c>
      <c r="K84" s="56">
        <f>VLOOKUP(C84,table_DI,9)</f>
        <v>4.7485274127775342E-3</v>
      </c>
      <c r="L84" s="53">
        <f>VLOOKUP(C84,table_DI,8)</f>
        <v>2207</v>
      </c>
      <c r="M84" s="55">
        <f>(0.84*(K84^0.5)*(cell_GUTDEP^0.6666)/cell_NRD)</f>
        <v>2.0290687165761785</v>
      </c>
      <c r="N84" s="53">
        <f>VLOOKUP(C84,table_DI,10)</f>
        <v>20</v>
      </c>
      <c r="O84" s="53">
        <f>(L84/(M84*60))</f>
        <v>18.128185128890561</v>
      </c>
      <c r="P84" s="53">
        <f>N84+O84</f>
        <v>38.128185128890564</v>
      </c>
      <c r="Q84" s="55">
        <f t="shared" si="5"/>
        <v>0.56679693960556221</v>
      </c>
      <c r="R84" s="54">
        <f>Q84*I84</f>
        <v>3.5594847807229306</v>
      </c>
      <c r="S84" s="53" t="s">
        <v>10</v>
      </c>
      <c r="T84" s="55" t="s">
        <v>10</v>
      </c>
      <c r="U84" s="56" t="s">
        <v>10</v>
      </c>
      <c r="V84" s="53" t="s">
        <v>10</v>
      </c>
      <c r="W84" s="53" t="s">
        <v>10</v>
      </c>
      <c r="X84" s="53" t="s">
        <v>10</v>
      </c>
      <c r="Y84" s="55" t="s">
        <v>10</v>
      </c>
      <c r="Z84" s="55" t="s">
        <v>10</v>
      </c>
      <c r="AA84" s="55" t="s">
        <v>10</v>
      </c>
      <c r="AB84" s="55" t="s">
        <v>10</v>
      </c>
      <c r="AC84" s="57" t="s">
        <v>10</v>
      </c>
      <c r="AD84" t="s">
        <v>10</v>
      </c>
    </row>
    <row r="85" spans="2:30" x14ac:dyDescent="0.2">
      <c r="B85" s="216">
        <v>27.1</v>
      </c>
      <c r="C85" s="217" t="s">
        <v>10</v>
      </c>
      <c r="D85" s="54" t="s">
        <v>10</v>
      </c>
      <c r="E85" s="54">
        <f>VLOOKUP(27,table_CIA_JCTS,4,FALSE)+VLOOKUP(32,table_CIA_INLETS,2,FALSE)</f>
        <v>31.83</v>
      </c>
      <c r="F85" s="55" t="s">
        <v>10</v>
      </c>
      <c r="G85" s="54" t="s">
        <v>10</v>
      </c>
      <c r="H85" s="54">
        <f>VLOOKUP(27,table_CIA_JCTS,7,FALSE)+VLOOKUP(32,table_CIA_INLETS,5,FALSE)</f>
        <v>12.809999999999999</v>
      </c>
      <c r="I85" s="54" t="s">
        <v>10</v>
      </c>
      <c r="J85" s="54">
        <f>VLOOKUP(27,table_CIA_JCTS,9,FALSE)+VLOOKUP(32,table_CIA_INLETS,7,FALSE)</f>
        <v>14.030000000000001</v>
      </c>
      <c r="K85" s="56" t="s">
        <v>10</v>
      </c>
      <c r="L85" s="53" t="s">
        <v>10</v>
      </c>
      <c r="M85" s="55" t="s">
        <v>10</v>
      </c>
      <c r="N85" s="53" t="s">
        <v>10</v>
      </c>
      <c r="O85" s="53" t="s">
        <v>10</v>
      </c>
      <c r="P85" s="53">
        <f>VLOOKUP(27,table_CIA_JCTS,23,FALSE)</f>
        <v>37.396502659916543</v>
      </c>
      <c r="Q85" s="55">
        <f t="shared" si="5"/>
        <v>0.57371613030384616</v>
      </c>
      <c r="R85" s="54">
        <f>J85*Q85</f>
        <v>8.0492373081629616</v>
      </c>
      <c r="S85" s="53">
        <v>24</v>
      </c>
      <c r="T85" s="55">
        <f>(4*R85)/(3.14159*(S85/12)^2)</f>
        <v>2.5621539755865541</v>
      </c>
      <c r="U85" s="56">
        <f>((R85/((0.463135/cell_NP)*((S85/12)^(8/3))))^2)*cell_FF</f>
        <v>1.4560808571697044E-3</v>
      </c>
      <c r="V85" s="53">
        <v>350</v>
      </c>
      <c r="W85" s="53">
        <f>V85/(T85*60)</f>
        <v>2.276730200025511</v>
      </c>
      <c r="X85" s="53">
        <f>W85+P85</f>
        <v>39.673232859942054</v>
      </c>
      <c r="Y85" s="55">
        <f>U85*V85</f>
        <v>0.50962830000939652</v>
      </c>
      <c r="Z85" s="55">
        <f>IF(VLOOKUP(28,table_CIA_JCTS,25,FALSE)+VLOOKUP(27.1,table_CIA_JCTS,24,FALSE)&lt;VLOOKUP(27.1,table_CIA_JCTS,28,FALSE),VLOOKUP(27.1,table_CIA_JCTS,28,FALSE),VLOOKUP(28,table_CIA_JCTS,25,FALSE)+VLOOKUP(27.1,table_CIA_JCTS,24,FALSE))</f>
        <v>410.08584354631751</v>
      </c>
      <c r="AA85" s="55">
        <v>414.52</v>
      </c>
      <c r="AB85" s="55">
        <f>(AA85-0.5)-Z85</f>
        <v>3.9341564536824762</v>
      </c>
      <c r="AC85" s="57">
        <v>408.75</v>
      </c>
      <c r="AD85" t="s">
        <v>10</v>
      </c>
    </row>
    <row r="86" spans="2:30" x14ac:dyDescent="0.2">
      <c r="B86" s="216" t="s">
        <v>10</v>
      </c>
      <c r="C86" s="215">
        <v>33</v>
      </c>
      <c r="D86" s="54">
        <f>VLOOKUP(C86,table_DI,2)</f>
        <v>3.94</v>
      </c>
      <c r="E86" s="54" t="s">
        <v>10</v>
      </c>
      <c r="F86" s="55">
        <f>VLOOKUP(C86,table_DI,5)</f>
        <v>0.46200507614213199</v>
      </c>
      <c r="G86" s="54">
        <f>VLOOKUP(C86,table_DI,3)</f>
        <v>1.6548</v>
      </c>
      <c r="H86" s="54" t="s">
        <v>10</v>
      </c>
      <c r="I86" s="54">
        <f>VLOOKUP(C86,table_DI,4)</f>
        <v>1.8203</v>
      </c>
      <c r="J86" s="54" t="s">
        <v>10</v>
      </c>
      <c r="K86" s="56">
        <f>VLOOKUP(C86,table_DI,9)</f>
        <v>4.6598202824133447E-3</v>
      </c>
      <c r="L86" s="53">
        <f>VLOOKUP(C86,table_DI,8)</f>
        <v>779</v>
      </c>
      <c r="M86" s="55">
        <f>(0.84*(K86^0.5)*(cell_GUTDEP^0.6666)/cell_NRD)</f>
        <v>2.0100268744778962</v>
      </c>
      <c r="N86" s="53">
        <f>VLOOKUP(C86,table_DI,10)</f>
        <v>20</v>
      </c>
      <c r="O86" s="53">
        <f>(L86/(M86*60))</f>
        <v>6.4592834544591593</v>
      </c>
      <c r="P86" s="53">
        <f>N86+O86</f>
        <v>26.459283454459161</v>
      </c>
      <c r="Q86" s="55">
        <f t="shared" si="5"/>
        <v>0.71250092511324581</v>
      </c>
      <c r="R86" s="54">
        <f>Q86*I86</f>
        <v>1.2969654339836414</v>
      </c>
      <c r="S86" s="53" t="s">
        <v>10</v>
      </c>
      <c r="T86" s="55" t="s">
        <v>10</v>
      </c>
      <c r="U86" s="56" t="s">
        <v>10</v>
      </c>
      <c r="V86" s="53" t="s">
        <v>10</v>
      </c>
      <c r="W86" s="53" t="s">
        <v>10</v>
      </c>
      <c r="X86" s="53" t="s">
        <v>10</v>
      </c>
      <c r="Y86" s="55" t="s">
        <v>10</v>
      </c>
      <c r="Z86" s="55" t="s">
        <v>10</v>
      </c>
      <c r="AA86" s="55" t="s">
        <v>10</v>
      </c>
      <c r="AB86" s="55" t="s">
        <v>10</v>
      </c>
      <c r="AC86" s="57" t="s">
        <v>10</v>
      </c>
      <c r="AD86" t="s">
        <v>10</v>
      </c>
    </row>
    <row r="87" spans="2:30" x14ac:dyDescent="0.2">
      <c r="B87" s="216">
        <v>28</v>
      </c>
      <c r="C87" s="217" t="s">
        <v>10</v>
      </c>
      <c r="D87" s="54" t="s">
        <v>10</v>
      </c>
      <c r="E87" s="54">
        <f>VLOOKUP(27.1,table_CIA_JCTS,4,FALSE)+VLOOKUP(33,table_CIA_INLETS,2,FALSE)</f>
        <v>35.769999999999996</v>
      </c>
      <c r="F87" s="55" t="s">
        <v>10</v>
      </c>
      <c r="G87" s="54" t="s">
        <v>10</v>
      </c>
      <c r="H87" s="54">
        <f>VLOOKUP(27.1,table_CIA_JCTS,7,FALSE)+VLOOKUP(33,table_CIA_INLETS,5,FALSE)</f>
        <v>14.464799999999999</v>
      </c>
      <c r="I87" s="54" t="s">
        <v>10</v>
      </c>
      <c r="J87" s="54">
        <f>VLOOKUP(27.1,table_CIA_JCTS,9,FALSE)+VLOOKUP(33,table_CIA_INLETS,7,FALSE)</f>
        <v>15.850300000000001</v>
      </c>
      <c r="K87" s="56" t="s">
        <v>10</v>
      </c>
      <c r="L87" s="53" t="s">
        <v>10</v>
      </c>
      <c r="M87" s="55" t="s">
        <v>10</v>
      </c>
      <c r="N87" s="53" t="s">
        <v>10</v>
      </c>
      <c r="O87" s="53" t="s">
        <v>10</v>
      </c>
      <c r="P87" s="53">
        <f>VLOOKUP(27.1,table_CIA_JCTS,23,FALSE)</f>
        <v>39.673232859942054</v>
      </c>
      <c r="Q87" s="55">
        <f t="shared" si="5"/>
        <v>0.55287204841970528</v>
      </c>
      <c r="R87" s="54">
        <f>J87*Q87</f>
        <v>8.7631878290668546</v>
      </c>
      <c r="S87" s="53">
        <v>24</v>
      </c>
      <c r="T87" s="55">
        <f>(4*R87)/(3.14159*(S87/12)^2)</f>
        <v>2.7894116765926982</v>
      </c>
      <c r="U87" s="56">
        <f>((R87/((0.463135/cell_NP)*((S87/12)^(8/3))))^2)*cell_FF</f>
        <v>1.7258389656173573E-3</v>
      </c>
      <c r="V87" s="53">
        <v>113</v>
      </c>
      <c r="W87" s="53">
        <f>V87/(T87*60)</f>
        <v>0.6751722412067368</v>
      </c>
      <c r="X87" s="53">
        <f>W87+P87</f>
        <v>40.348405101148792</v>
      </c>
      <c r="Y87" s="55">
        <f>U87*V87</f>
        <v>0.19501980311476136</v>
      </c>
      <c r="Z87" s="55">
        <f>IF(VLOOKUP(29,table_CIA_JCTS,25,FALSE)+VLOOKUP(28,table_CIA_JCTS,24,FALSE)&lt;VLOOKUP(28,table_CIA_JCTS,28,FALSE),VLOOKUP(28,table_CIA_JCTS,28,FALSE),VLOOKUP(29,table_CIA_JCTS,25,FALSE)+VLOOKUP(28,table_CIA_JCTS,24,FALSE))</f>
        <v>409.5762152463081</v>
      </c>
      <c r="AA87" s="55">
        <v>414.17</v>
      </c>
      <c r="AB87" s="55">
        <f>(AA87-0.5)-Z87</f>
        <v>4.0937847536919207</v>
      </c>
      <c r="AC87" s="57">
        <v>405.85</v>
      </c>
      <c r="AD87" t="s">
        <v>10</v>
      </c>
    </row>
    <row r="88" spans="2:30" x14ac:dyDescent="0.2">
      <c r="B88" s="216">
        <v>29</v>
      </c>
      <c r="C88" s="217" t="s">
        <v>10</v>
      </c>
      <c r="D88" s="54" t="s">
        <v>10</v>
      </c>
      <c r="E88" s="54">
        <f>VLOOKUP(15,table_CIA_JCTS,4,FALSE)+VLOOKUP(26,table_CIA_JCTS,4,FALSE)+VLOOKUP(28,table_CIA_JCTS,4,FALSE)</f>
        <v>177.60000000000002</v>
      </c>
      <c r="F88" s="55" t="s">
        <v>10</v>
      </c>
      <c r="G88" s="54" t="s">
        <v>10</v>
      </c>
      <c r="H88" s="54">
        <f>VLOOKUP(15,table_CIA_JCTS,7,FALSE)+VLOOKUP(26,table_CIA_JCTS,7,FALSE)+VLOOKUP(28,table_CIA_JCTS,7,FALSE)</f>
        <v>79.75139999999999</v>
      </c>
      <c r="I88" s="54" t="s">
        <v>10</v>
      </c>
      <c r="J88" s="54">
        <f>VLOOKUP(15,table_CIA_JCTS,9,FALSE)+VLOOKUP(26,table_CIA_JCTS,9,FALSE)+VLOOKUP(28,table_CIA_JCTS,9,FALSE)</f>
        <v>85.951080000000019</v>
      </c>
      <c r="K88" s="56" t="s">
        <v>10</v>
      </c>
      <c r="L88" s="53" t="s">
        <v>10</v>
      </c>
      <c r="M88" s="55" t="s">
        <v>10</v>
      </c>
      <c r="N88" s="53" t="s">
        <v>10</v>
      </c>
      <c r="O88" s="53" t="s">
        <v>10</v>
      </c>
      <c r="P88" s="53">
        <f>VLOOKUP(15,table_CIA_JCTS,23,FALSE)</f>
        <v>62.279898938601946</v>
      </c>
      <c r="Q88" s="55">
        <f t="shared" si="5"/>
        <v>0.4168532300952445</v>
      </c>
      <c r="R88" s="54">
        <f>J88*Q88</f>
        <v>35.828985328174774</v>
      </c>
      <c r="S88" s="53">
        <v>36</v>
      </c>
      <c r="T88" s="55">
        <f>(4*R88)/(3.14159*(S88/12)^2)</f>
        <v>5.0687688333578818</v>
      </c>
      <c r="U88" s="56">
        <f>((R88/((0.463135/cell_NP)*((S88/12)^(8/3))))^2)*cell_FF</f>
        <v>3.3188808871323378E-3</v>
      </c>
      <c r="V88" s="53">
        <v>512</v>
      </c>
      <c r="W88" s="53">
        <f>V88/(T88*60)</f>
        <v>1.6835120349491848</v>
      </c>
      <c r="X88" s="53">
        <f>W88+P88</f>
        <v>63.963410973551127</v>
      </c>
      <c r="Y88" s="55">
        <f>U88*V88</f>
        <v>1.699267014211757</v>
      </c>
      <c r="Z88" s="55">
        <f>IF(VLOOKUP(31,table_CIA_JCTS,25,FALSE)+VLOOKUP(29,table_CIA_JCTS,24,FALSE)&lt;VLOOKUP(29,table_CIA_JCTS,28,FALSE),VLOOKUP(29,table_CIA_JCTS,28,FALSE),VLOOKUP(31,table_CIA_JCTS,25,FALSE)+VLOOKUP(29,table_CIA_JCTS,24,FALSE))</f>
        <v>409.38119544319335</v>
      </c>
      <c r="AA88" s="55">
        <v>414.44</v>
      </c>
      <c r="AB88" s="55">
        <f>(AA88-0.5)-Z88</f>
        <v>4.5588045568066491</v>
      </c>
      <c r="AC88" s="57">
        <v>406.04</v>
      </c>
      <c r="AD88" t="s">
        <v>10</v>
      </c>
    </row>
    <row r="89" spans="2:30" x14ac:dyDescent="0.2">
      <c r="B89" s="216" t="s">
        <v>10</v>
      </c>
      <c r="C89" s="217" t="s">
        <v>10</v>
      </c>
      <c r="D89" s="54" t="s">
        <v>10</v>
      </c>
      <c r="E89" s="54" t="s">
        <v>10</v>
      </c>
      <c r="F89" s="55" t="s">
        <v>10</v>
      </c>
      <c r="G89" s="54" t="s">
        <v>10</v>
      </c>
      <c r="H89" s="54" t="s">
        <v>10</v>
      </c>
      <c r="I89" s="54" t="s">
        <v>10</v>
      </c>
      <c r="J89" s="54" t="s">
        <v>10</v>
      </c>
      <c r="K89" s="56" t="s">
        <v>10</v>
      </c>
      <c r="L89" s="53" t="s">
        <v>10</v>
      </c>
      <c r="M89" s="55" t="s">
        <v>10</v>
      </c>
      <c r="N89" s="53" t="s">
        <v>10</v>
      </c>
      <c r="O89" s="53" t="s">
        <v>10</v>
      </c>
      <c r="P89" s="53" t="s">
        <v>10</v>
      </c>
      <c r="Q89" s="55" t="s">
        <v>10</v>
      </c>
      <c r="R89" s="54" t="s">
        <v>10</v>
      </c>
      <c r="S89" s="53" t="s">
        <v>10</v>
      </c>
      <c r="T89" s="55" t="s">
        <v>10</v>
      </c>
      <c r="U89" s="56" t="s">
        <v>10</v>
      </c>
      <c r="V89" s="53" t="s">
        <v>10</v>
      </c>
      <c r="W89" s="53" t="s">
        <v>10</v>
      </c>
      <c r="X89" s="53" t="s">
        <v>10</v>
      </c>
      <c r="Y89" s="55" t="s">
        <v>10</v>
      </c>
      <c r="Z89" s="55" t="s">
        <v>10</v>
      </c>
      <c r="AA89" s="55" t="s">
        <v>10</v>
      </c>
      <c r="AB89" s="55" t="s">
        <v>10</v>
      </c>
      <c r="AC89" s="57" t="s">
        <v>10</v>
      </c>
      <c r="AD89" t="s">
        <v>10</v>
      </c>
    </row>
    <row r="90" spans="2:30" x14ac:dyDescent="0.2">
      <c r="B90" s="216" t="s">
        <v>10</v>
      </c>
      <c r="C90" s="215">
        <v>34</v>
      </c>
      <c r="D90" s="54">
        <f>VLOOKUP(C90,table_DI,2)</f>
        <v>5.63</v>
      </c>
      <c r="E90" s="54" t="s">
        <v>10</v>
      </c>
      <c r="F90" s="55">
        <f>VLOOKUP(C90,table_DI,5)</f>
        <v>0.46181172291296629</v>
      </c>
      <c r="G90" s="54">
        <f>VLOOKUP(C90,table_DI,3)</f>
        <v>2.36</v>
      </c>
      <c r="H90" s="54" t="s">
        <v>10</v>
      </c>
      <c r="I90" s="54">
        <f>VLOOKUP(C90,table_DI,4)</f>
        <v>2.6</v>
      </c>
      <c r="J90" s="54" t="s">
        <v>10</v>
      </c>
      <c r="K90" s="56">
        <f>VLOOKUP(C90,table_DI,9)</f>
        <v>3.7313432835820895E-3</v>
      </c>
      <c r="L90" s="53">
        <f>VLOOKUP(C90,table_DI,8)</f>
        <v>670</v>
      </c>
      <c r="M90" s="55">
        <f>(0.84*(K90^0.5)*(cell_GUTDEP^0.6666)/cell_NRD)</f>
        <v>1.7986633413537703</v>
      </c>
      <c r="N90" s="53">
        <f>VLOOKUP(C90,table_DI,10)</f>
        <v>20</v>
      </c>
      <c r="O90" s="53">
        <f>(L90/(M90*60))</f>
        <v>6.2083139239731411</v>
      </c>
      <c r="P90" s="53">
        <f>N90+O90</f>
        <v>26.20831392397314</v>
      </c>
      <c r="Q90" s="55">
        <f>cell_P*(P90^cell_E)</f>
        <v>0.71676579547297314</v>
      </c>
      <c r="R90" s="54">
        <f>Q90*I90</f>
        <v>1.8635910682297303</v>
      </c>
      <c r="S90" s="53" t="s">
        <v>10</v>
      </c>
      <c r="T90" s="55" t="s">
        <v>10</v>
      </c>
      <c r="U90" s="56" t="s">
        <v>10</v>
      </c>
      <c r="V90" s="53" t="s">
        <v>10</v>
      </c>
      <c r="W90" s="53" t="s">
        <v>10</v>
      </c>
      <c r="X90" s="53" t="s">
        <v>10</v>
      </c>
      <c r="Y90" s="55" t="s">
        <v>10</v>
      </c>
      <c r="Z90" s="55" t="s">
        <v>10</v>
      </c>
      <c r="AA90" s="55" t="s">
        <v>10</v>
      </c>
      <c r="AB90" s="55" t="s">
        <v>10</v>
      </c>
      <c r="AC90" s="57" t="s">
        <v>10</v>
      </c>
      <c r="AD90" t="s">
        <v>10</v>
      </c>
    </row>
    <row r="91" spans="2:30" x14ac:dyDescent="0.2">
      <c r="B91" s="216">
        <v>30</v>
      </c>
      <c r="C91" s="217" t="s">
        <v>10</v>
      </c>
      <c r="D91" s="54" t="s">
        <v>10</v>
      </c>
      <c r="E91" s="54">
        <f>VLOOKUP(34,table_CIA_INLETS,2,FALSE)</f>
        <v>5.63</v>
      </c>
      <c r="F91" s="55" t="s">
        <v>10</v>
      </c>
      <c r="G91" s="54" t="s">
        <v>10</v>
      </c>
      <c r="H91" s="54">
        <f>VLOOKUP(34,table_CIA_INLETS,5,FALSE)</f>
        <v>2.36</v>
      </c>
      <c r="I91" s="54" t="s">
        <v>10</v>
      </c>
      <c r="J91" s="54">
        <f>VLOOKUP(34,table_CIA_INLETS,7,FALSE)</f>
        <v>2.6</v>
      </c>
      <c r="K91" s="56" t="s">
        <v>10</v>
      </c>
      <c r="L91" s="53" t="s">
        <v>10</v>
      </c>
      <c r="M91" s="55" t="s">
        <v>10</v>
      </c>
      <c r="N91" s="53" t="s">
        <v>10</v>
      </c>
      <c r="O91" s="53" t="s">
        <v>10</v>
      </c>
      <c r="P91" s="53">
        <f>VLOOKUP(34,table_CIA_INLETS,14,FALSE)</f>
        <v>26.20831392397314</v>
      </c>
      <c r="Q91" s="55">
        <f>cell_P*(P91^cell_E)</f>
        <v>0.71676579547297314</v>
      </c>
      <c r="R91" s="54">
        <f>J91*Q91</f>
        <v>1.8635910682297303</v>
      </c>
      <c r="S91" s="53">
        <v>24</v>
      </c>
      <c r="T91" s="55">
        <f>(4*R91)/(3.14159*(S91/12)^2)</f>
        <v>0.59319996187590696</v>
      </c>
      <c r="U91" s="56">
        <f>((R91/((0.463135/cell_NP)*((S91/12)^(8/3))))^2)*cell_FF</f>
        <v>7.8050784031133893E-5</v>
      </c>
      <c r="V91" s="53">
        <v>109</v>
      </c>
      <c r="W91" s="53">
        <f>V91/(T91*60)</f>
        <v>3.0624861487207915</v>
      </c>
      <c r="X91" s="53">
        <f>W91+P91</f>
        <v>29.27080007269393</v>
      </c>
      <c r="Y91" s="55">
        <f>U91*V91</f>
        <v>8.5075354593935944E-3</v>
      </c>
      <c r="Z91" s="55">
        <f>IF(VLOOKUP(31,table_CIA_JCTS,25,FALSE)+VLOOKUP(30,table_CIA_JCTS,24,FALSE)&lt;VLOOKUP(30,table_CIA_JCTS,28,FALSE),VLOOKUP(30,table_CIA_JCTS,28,FALSE),VLOOKUP(31,table_CIA_JCTS,25,FALSE)+VLOOKUP(30,table_CIA_JCTS,24,FALSE))</f>
        <v>407.69043596444095</v>
      </c>
      <c r="AA91" s="55">
        <v>411.61</v>
      </c>
      <c r="AB91" s="55">
        <f>(AA91-0.5)-Z91</f>
        <v>3.4195640355590626</v>
      </c>
      <c r="AC91" s="57">
        <v>405.98</v>
      </c>
      <c r="AD91" t="s">
        <v>10</v>
      </c>
    </row>
    <row r="92" spans="2:30" x14ac:dyDescent="0.2">
      <c r="B92" s="216">
        <v>31</v>
      </c>
      <c r="C92" s="217" t="s">
        <v>10</v>
      </c>
      <c r="D92" s="54" t="s">
        <v>10</v>
      </c>
      <c r="E92" s="54">
        <f>VLOOKUP(29,table_CIA_JCTS,4,FALSE)+VLOOKUP(30,table_CIA_JCTS,4,FALSE)</f>
        <v>183.23000000000002</v>
      </c>
      <c r="F92" s="55" t="s">
        <v>10</v>
      </c>
      <c r="G92" s="54" t="s">
        <v>10</v>
      </c>
      <c r="H92" s="54">
        <f>VLOOKUP(29,table_CIA_JCTS,7,FALSE)+VLOOKUP(30,table_CIA_JCTS,7,FALSE)</f>
        <v>82.111399999999989</v>
      </c>
      <c r="I92" s="54" t="s">
        <v>10</v>
      </c>
      <c r="J92" s="54">
        <f>VLOOKUP(29,table_CIA_JCTS,9,FALSE)+VLOOKUP(30,table_CIA_JCTS,9,FALSE)</f>
        <v>88.551080000000013</v>
      </c>
      <c r="K92" s="56" t="s">
        <v>10</v>
      </c>
      <c r="L92" s="53" t="s">
        <v>10</v>
      </c>
      <c r="M92" s="55" t="s">
        <v>10</v>
      </c>
      <c r="N92" s="53" t="s">
        <v>10</v>
      </c>
      <c r="O92" s="53" t="s">
        <v>10</v>
      </c>
      <c r="P92" s="53">
        <f>VLOOKUP(29,table_CIA_JCTS,23,FALSE)</f>
        <v>63.963410973551127</v>
      </c>
      <c r="Q92" s="55">
        <f>cell_P*(P92^cell_E)</f>
        <v>0.40994863817769034</v>
      </c>
      <c r="R92" s="54">
        <f>J92*Q92</f>
        <v>36.301394655163719</v>
      </c>
      <c r="S92" s="53">
        <v>36</v>
      </c>
      <c r="T92" s="55">
        <f>(4*R92)/(3.14159*(S92/12)^2)</f>
        <v>5.1356011383002764</v>
      </c>
      <c r="U92" s="56">
        <f>((R92/((0.463135/cell_NP)*((S92/12)^(8/3))))^2)*cell_FF</f>
        <v>3.4069775243981606E-3</v>
      </c>
      <c r="V92" s="53">
        <v>131</v>
      </c>
      <c r="W92" s="53">
        <f>V92/(T92*60)</f>
        <v>0.42513685828334175</v>
      </c>
      <c r="X92" s="53">
        <f>W92+P92</f>
        <v>64.388547831834472</v>
      </c>
      <c r="Y92" s="55">
        <f>U92*V92</f>
        <v>0.44631405569615906</v>
      </c>
      <c r="Z92" s="55">
        <f>IF(VLOOKUP(35,table_CIA_JCTS,25,FALSE)+VLOOKUP(31,table_CIA_JCTS,24,FALSE)&lt;VLOOKUP(31,table_CIA_JCTS,28,FALSE),VLOOKUP(31,table_CIA_JCTS,28,FALSE),VLOOKUP(35,table_CIA_JCTS,25,FALSE)+VLOOKUP(31,table_CIA_JCTS,24,FALSE))</f>
        <v>407.68192842898156</v>
      </c>
      <c r="AA92" s="55">
        <v>411.46</v>
      </c>
      <c r="AB92" s="55">
        <f>(AA92-0.5)-Z92</f>
        <v>3.2780715710184154</v>
      </c>
      <c r="AC92" s="57">
        <v>405.24</v>
      </c>
      <c r="AD92" t="s">
        <v>10</v>
      </c>
    </row>
    <row r="93" spans="2:30" x14ac:dyDescent="0.2">
      <c r="B93" s="216" t="s">
        <v>10</v>
      </c>
      <c r="C93" s="217" t="s">
        <v>10</v>
      </c>
      <c r="D93" s="54" t="s">
        <v>10</v>
      </c>
      <c r="E93" s="54" t="s">
        <v>10</v>
      </c>
      <c r="F93" s="55" t="s">
        <v>10</v>
      </c>
      <c r="G93" s="54" t="s">
        <v>10</v>
      </c>
      <c r="H93" s="54" t="s">
        <v>10</v>
      </c>
      <c r="I93" s="54" t="s">
        <v>10</v>
      </c>
      <c r="J93" s="54" t="s">
        <v>10</v>
      </c>
      <c r="K93" s="56" t="s">
        <v>10</v>
      </c>
      <c r="L93" s="53" t="s">
        <v>10</v>
      </c>
      <c r="M93" s="55" t="s">
        <v>10</v>
      </c>
      <c r="N93" s="53" t="s">
        <v>10</v>
      </c>
      <c r="O93" s="53" t="s">
        <v>10</v>
      </c>
      <c r="P93" s="53" t="s">
        <v>10</v>
      </c>
      <c r="Q93" s="55" t="s">
        <v>10</v>
      </c>
      <c r="R93" s="54" t="s">
        <v>10</v>
      </c>
      <c r="S93" s="53" t="s">
        <v>10</v>
      </c>
      <c r="T93" s="55" t="s">
        <v>10</v>
      </c>
      <c r="U93" s="56" t="s">
        <v>10</v>
      </c>
      <c r="V93" s="53" t="s">
        <v>10</v>
      </c>
      <c r="W93" s="53" t="s">
        <v>10</v>
      </c>
      <c r="X93" s="53" t="s">
        <v>10</v>
      </c>
      <c r="Y93" s="55" t="s">
        <v>10</v>
      </c>
      <c r="Z93" s="55" t="s">
        <v>10</v>
      </c>
      <c r="AA93" s="55" t="s">
        <v>10</v>
      </c>
      <c r="AB93" s="55" t="s">
        <v>10</v>
      </c>
      <c r="AC93" s="57" t="s">
        <v>10</v>
      </c>
      <c r="AD93" t="s">
        <v>10</v>
      </c>
    </row>
    <row r="94" spans="2:30" x14ac:dyDescent="0.2">
      <c r="B94" s="216" t="s">
        <v>10</v>
      </c>
      <c r="C94" s="215">
        <v>35</v>
      </c>
      <c r="D94" s="54">
        <f>VLOOKUP(C94,table_DI,2)</f>
        <v>3.51</v>
      </c>
      <c r="E94" s="54" t="s">
        <v>10</v>
      </c>
      <c r="F94" s="55">
        <f>VLOOKUP(C94,table_DI,5)</f>
        <v>0.46153846153846162</v>
      </c>
      <c r="G94" s="54">
        <f>VLOOKUP(C94,table_DI,3)</f>
        <v>1.47</v>
      </c>
      <c r="H94" s="54" t="s">
        <v>10</v>
      </c>
      <c r="I94" s="54">
        <f>VLOOKUP(C94,table_DI,4)</f>
        <v>1.62</v>
      </c>
      <c r="J94" s="54" t="s">
        <v>10</v>
      </c>
      <c r="K94" s="56">
        <f>VLOOKUP(C94,table_DI,9)</f>
        <v>2.9818956336528342E-3</v>
      </c>
      <c r="L94" s="53">
        <f>VLOOKUP(C94,table_DI,8)</f>
        <v>939</v>
      </c>
      <c r="M94" s="55">
        <f>(0.84*(K94^0.5)*(cell_GUTDEP^0.6666)/cell_NRD)</f>
        <v>1.6079165299141278</v>
      </c>
      <c r="N94" s="53">
        <f>VLOOKUP(C94,table_DI,10)</f>
        <v>20</v>
      </c>
      <c r="O94" s="53">
        <f>(L94/(M94*60))</f>
        <v>9.7330923022700695</v>
      </c>
      <c r="P94" s="53">
        <f>N94+O94</f>
        <v>29.733092302270069</v>
      </c>
      <c r="Q94" s="55">
        <f>cell_P*(P94^cell_E)</f>
        <v>0.66230935288947446</v>
      </c>
      <c r="R94" s="54">
        <f>Q94*I94</f>
        <v>1.0729411516809486</v>
      </c>
      <c r="S94" s="53" t="s">
        <v>10</v>
      </c>
      <c r="T94" s="55" t="s">
        <v>10</v>
      </c>
      <c r="U94" s="56" t="s">
        <v>10</v>
      </c>
      <c r="V94" s="53" t="s">
        <v>10</v>
      </c>
      <c r="W94" s="53" t="s">
        <v>10</v>
      </c>
      <c r="X94" s="53" t="s">
        <v>10</v>
      </c>
      <c r="Y94" s="55" t="s">
        <v>10</v>
      </c>
      <c r="Z94" s="55" t="s">
        <v>10</v>
      </c>
      <c r="AA94" s="55" t="s">
        <v>10</v>
      </c>
      <c r="AB94" s="55" t="s">
        <v>10</v>
      </c>
      <c r="AC94" s="57" t="s">
        <v>10</v>
      </c>
      <c r="AD94" t="s">
        <v>10</v>
      </c>
    </row>
    <row r="95" spans="2:30" x14ac:dyDescent="0.2">
      <c r="B95" s="216" t="s">
        <v>10</v>
      </c>
      <c r="C95" s="215">
        <v>36</v>
      </c>
      <c r="D95" s="54">
        <f>VLOOKUP(C95,table_DI,2)</f>
        <v>1.84</v>
      </c>
      <c r="E95" s="54" t="s">
        <v>10</v>
      </c>
      <c r="F95" s="55">
        <f>VLOOKUP(C95,table_DI,5)</f>
        <v>0.46195652173913038</v>
      </c>
      <c r="G95" s="54">
        <f>VLOOKUP(C95,table_DI,3)</f>
        <v>0.77</v>
      </c>
      <c r="H95" s="54" t="s">
        <v>10</v>
      </c>
      <c r="I95" s="54">
        <f>VLOOKUP(C95,table_DI,4)</f>
        <v>0.85</v>
      </c>
      <c r="J95" s="54" t="s">
        <v>10</v>
      </c>
      <c r="K95" s="56">
        <f>VLOOKUP(C95,table_DI,9)</f>
        <v>2.9586563307493069E-3</v>
      </c>
      <c r="L95" s="53">
        <f>VLOOKUP(C95,table_DI,8)</f>
        <v>774</v>
      </c>
      <c r="M95" s="55">
        <f>(0.84*(K95^0.5)*(cell_GUTDEP^0.6666)/cell_NRD)</f>
        <v>1.6016386528001223</v>
      </c>
      <c r="N95" s="53">
        <f>VLOOKUP(C95,table_DI,10)</f>
        <v>20</v>
      </c>
      <c r="O95" s="53">
        <f>(L95/(M95*60))</f>
        <v>8.0542511742252927</v>
      </c>
      <c r="P95" s="53">
        <f>N95+O95</f>
        <v>28.054251174225293</v>
      </c>
      <c r="Q95" s="55">
        <f>cell_P*(P95^cell_E)</f>
        <v>0.68685814324774719</v>
      </c>
      <c r="R95" s="54">
        <f>Q95*I95</f>
        <v>0.58382942176058505</v>
      </c>
      <c r="S95" s="53" t="s">
        <v>10</v>
      </c>
      <c r="T95" s="55" t="s">
        <v>10</v>
      </c>
      <c r="U95" s="56" t="s">
        <v>10</v>
      </c>
      <c r="V95" s="53" t="s">
        <v>10</v>
      </c>
      <c r="W95" s="53" t="s">
        <v>10</v>
      </c>
      <c r="X95" s="53" t="s">
        <v>10</v>
      </c>
      <c r="Y95" s="55" t="s">
        <v>10</v>
      </c>
      <c r="Z95" s="55" t="s">
        <v>10</v>
      </c>
      <c r="AA95" s="55" t="s">
        <v>10</v>
      </c>
      <c r="AB95" s="55" t="s">
        <v>10</v>
      </c>
      <c r="AC95" s="57" t="s">
        <v>10</v>
      </c>
      <c r="AD95" t="s">
        <v>10</v>
      </c>
    </row>
    <row r="96" spans="2:30" x14ac:dyDescent="0.2">
      <c r="B96" s="216">
        <v>32</v>
      </c>
      <c r="C96" s="217" t="s">
        <v>10</v>
      </c>
      <c r="D96" s="54" t="s">
        <v>10</v>
      </c>
      <c r="E96" s="54">
        <f>+D94+D95</f>
        <v>5.35</v>
      </c>
      <c r="F96" s="55" t="s">
        <v>10</v>
      </c>
      <c r="G96" s="54" t="s">
        <v>10</v>
      </c>
      <c r="H96" s="54">
        <f>+G94+G95</f>
        <v>2.2400000000000002</v>
      </c>
      <c r="I96" s="54" t="s">
        <v>10</v>
      </c>
      <c r="J96" s="54">
        <f>+I94+I95</f>
        <v>2.4700000000000002</v>
      </c>
      <c r="K96" s="56" t="s">
        <v>10</v>
      </c>
      <c r="L96" s="53" t="s">
        <v>10</v>
      </c>
      <c r="M96" s="55" t="s">
        <v>10</v>
      </c>
      <c r="N96" s="53" t="s">
        <v>10</v>
      </c>
      <c r="O96" s="53" t="s">
        <v>10</v>
      </c>
      <c r="P96" s="53">
        <f>VLOOKUP(36,table_CIA_INLETS,14,FALSE)</f>
        <v>28.054251174225293</v>
      </c>
      <c r="Q96" s="55">
        <f>cell_P*(P96^cell_E)</f>
        <v>0.68685814324774719</v>
      </c>
      <c r="R96" s="54">
        <f>J96*Q96</f>
        <v>1.6965396138219357</v>
      </c>
      <c r="S96" s="53">
        <v>18</v>
      </c>
      <c r="T96" s="55">
        <f>(4*R96)/(3.14159*(S96/12)^2)</f>
        <v>0.96004584448394925</v>
      </c>
      <c r="U96" s="56">
        <f>((R96/((0.463135/cell_NP)*((S96/12)^(8/3))))^2)*cell_FF</f>
        <v>3.0001568983832383E-4</v>
      </c>
      <c r="V96" s="53">
        <v>278</v>
      </c>
      <c r="W96" s="53">
        <f>V96/(T96*60)</f>
        <v>4.8261584172825369</v>
      </c>
      <c r="X96" s="53">
        <f>W96+P96</f>
        <v>32.880409591507828</v>
      </c>
      <c r="Y96" s="55">
        <f>U96*V96</f>
        <v>8.3404361775054017E-2</v>
      </c>
      <c r="Z96" s="55">
        <f>IF(VLOOKUP(34,table_CIA_JCTS,25,FALSE)+VLOOKUP(32,table_CIA_JCTS,24,FALSE)&lt;VLOOKUP(32,table_CIA_JCTS,28,FALSE),VLOOKUP(32,table_CIA_JCTS,28,FALSE),VLOOKUP(34,table_CIA_JCTS,25,FALSE)+VLOOKUP(32,table_CIA_JCTS,24,FALSE))</f>
        <v>407.57831764021569</v>
      </c>
      <c r="AA96" s="55">
        <v>412.5</v>
      </c>
      <c r="AB96" s="55">
        <f>(AA96-0.5)-Z96</f>
        <v>4.4216823597843131</v>
      </c>
      <c r="AC96" s="57">
        <v>406.67</v>
      </c>
      <c r="AD96" t="s">
        <v>10</v>
      </c>
    </row>
    <row r="97" spans="2:30" x14ac:dyDescent="0.2">
      <c r="B97" s="216" t="s">
        <v>10</v>
      </c>
      <c r="C97" s="217" t="s">
        <v>10</v>
      </c>
      <c r="D97" s="54" t="s">
        <v>10</v>
      </c>
      <c r="E97" s="54" t="s">
        <v>10</v>
      </c>
      <c r="F97" s="55" t="s">
        <v>10</v>
      </c>
      <c r="G97" s="54" t="s">
        <v>10</v>
      </c>
      <c r="H97" s="54" t="s">
        <v>10</v>
      </c>
      <c r="I97" s="54" t="s">
        <v>10</v>
      </c>
      <c r="J97" s="54" t="s">
        <v>10</v>
      </c>
      <c r="K97" s="56" t="s">
        <v>10</v>
      </c>
      <c r="L97" s="53" t="s">
        <v>10</v>
      </c>
      <c r="M97" s="55" t="s">
        <v>10</v>
      </c>
      <c r="N97" s="53" t="s">
        <v>10</v>
      </c>
      <c r="O97" s="53" t="s">
        <v>10</v>
      </c>
      <c r="P97" s="53" t="s">
        <v>10</v>
      </c>
      <c r="Q97" s="55" t="s">
        <v>10</v>
      </c>
      <c r="R97" s="54" t="s">
        <v>10</v>
      </c>
      <c r="S97" s="53" t="s">
        <v>10</v>
      </c>
      <c r="T97" s="55" t="s">
        <v>10</v>
      </c>
      <c r="U97" s="56" t="s">
        <v>10</v>
      </c>
      <c r="V97" s="53" t="s">
        <v>10</v>
      </c>
      <c r="W97" s="53" t="s">
        <v>10</v>
      </c>
      <c r="X97" s="53" t="s">
        <v>10</v>
      </c>
      <c r="Y97" s="55" t="s">
        <v>10</v>
      </c>
      <c r="Z97" s="55" t="s">
        <v>10</v>
      </c>
      <c r="AA97" s="55" t="s">
        <v>10</v>
      </c>
      <c r="AB97" s="55" t="s">
        <v>10</v>
      </c>
      <c r="AC97" s="57" t="s">
        <v>10</v>
      </c>
      <c r="AD97" t="s">
        <v>10</v>
      </c>
    </row>
    <row r="98" spans="2:30" x14ac:dyDescent="0.2">
      <c r="B98" s="216" t="s">
        <v>10</v>
      </c>
      <c r="C98" s="215">
        <v>37</v>
      </c>
      <c r="D98" s="54">
        <f>VLOOKUP(C98,table_DI,2)</f>
        <v>4.62</v>
      </c>
      <c r="E98" s="54" t="s">
        <v>10</v>
      </c>
      <c r="F98" s="55">
        <f>VLOOKUP(C98,table_DI,5)</f>
        <v>0.46103896103896103</v>
      </c>
      <c r="G98" s="54">
        <f>VLOOKUP(C98,table_DI,3)</f>
        <v>1.94</v>
      </c>
      <c r="H98" s="54" t="s">
        <v>10</v>
      </c>
      <c r="I98" s="54">
        <f>VLOOKUP(C98,table_DI,4)</f>
        <v>2.13</v>
      </c>
      <c r="J98" s="54" t="s">
        <v>10</v>
      </c>
      <c r="K98" s="56">
        <f>VLOOKUP(C98,table_DI,9)</f>
        <v>3.7573964497041724E-3</v>
      </c>
      <c r="L98" s="53">
        <f>VLOOKUP(C98,table_DI,8)</f>
        <v>676</v>
      </c>
      <c r="M98" s="55">
        <f>(0.84*(K98^0.5)*(cell_GUTDEP^0.6666)/cell_NRD)</f>
        <v>1.8049317756728744</v>
      </c>
      <c r="N98" s="53">
        <f>VLOOKUP(C98,table_DI,10)</f>
        <v>20</v>
      </c>
      <c r="O98" s="53">
        <f>(L98/(M98*60))</f>
        <v>6.2421565283078237</v>
      </c>
      <c r="P98" s="53">
        <f>N98+O98</f>
        <v>26.242156528307824</v>
      </c>
      <c r="Q98" s="55">
        <f>cell_P*(P98^cell_E)</f>
        <v>0.71618682113033616</v>
      </c>
      <c r="R98" s="54">
        <f>Q98*I98</f>
        <v>1.5254779290076159</v>
      </c>
      <c r="S98" s="53" t="s">
        <v>10</v>
      </c>
      <c r="T98" s="55" t="s">
        <v>10</v>
      </c>
      <c r="U98" s="56" t="s">
        <v>10</v>
      </c>
      <c r="V98" s="53" t="s">
        <v>10</v>
      </c>
      <c r="W98" s="53" t="s">
        <v>10</v>
      </c>
      <c r="X98" s="53" t="s">
        <v>10</v>
      </c>
      <c r="Y98" s="55" t="s">
        <v>10</v>
      </c>
      <c r="Z98" s="55" t="s">
        <v>10</v>
      </c>
      <c r="AA98" s="55" t="s">
        <v>10</v>
      </c>
      <c r="AB98" s="55" t="s">
        <v>10</v>
      </c>
      <c r="AC98" s="57" t="s">
        <v>10</v>
      </c>
      <c r="AD98" t="s">
        <v>10</v>
      </c>
    </row>
    <row r="99" spans="2:30" x14ac:dyDescent="0.2">
      <c r="B99" s="216">
        <v>33</v>
      </c>
      <c r="C99" s="217" t="s">
        <v>10</v>
      </c>
      <c r="D99" s="54" t="s">
        <v>10</v>
      </c>
      <c r="E99" s="54">
        <f>+D98</f>
        <v>4.62</v>
      </c>
      <c r="F99" s="55" t="s">
        <v>10</v>
      </c>
      <c r="G99" s="54" t="s">
        <v>10</v>
      </c>
      <c r="H99" s="54">
        <f>+G98</f>
        <v>1.94</v>
      </c>
      <c r="I99" s="54" t="s">
        <v>10</v>
      </c>
      <c r="J99" s="54">
        <f>+I98</f>
        <v>2.13</v>
      </c>
      <c r="K99" s="56" t="s">
        <v>10</v>
      </c>
      <c r="L99" s="53" t="s">
        <v>10</v>
      </c>
      <c r="M99" s="55" t="s">
        <v>10</v>
      </c>
      <c r="N99" s="53" t="s">
        <v>10</v>
      </c>
      <c r="O99" s="53" t="s">
        <v>10</v>
      </c>
      <c r="P99" s="53">
        <f>VLOOKUP(38,table_CIA_INLETS,14,FALSE)</f>
        <v>35.374611387571939</v>
      </c>
      <c r="Q99" s="55">
        <f>cell_P*(P99^cell_E)</f>
        <v>0.59403645411516437</v>
      </c>
      <c r="R99" s="54">
        <f>J99*Q99</f>
        <v>1.2652976472653001</v>
      </c>
      <c r="S99" s="53">
        <v>18</v>
      </c>
      <c r="T99" s="55">
        <f>(4*R99)/(3.14159*(S99/12)^2)</f>
        <v>0.71601260494932684</v>
      </c>
      <c r="U99" s="56">
        <f>((R99/((0.463135/cell_NP)*((S99/12)^(8/3))))^2)*cell_FF</f>
        <v>1.6687887331004437E-4</v>
      </c>
      <c r="V99" s="53">
        <v>96</v>
      </c>
      <c r="W99" s="53">
        <f>V99/(T99*60)</f>
        <v>2.234597532138745</v>
      </c>
      <c r="X99" s="53">
        <f>W99+P99</f>
        <v>37.609208919710682</v>
      </c>
      <c r="Y99" s="55">
        <f>U99*V99</f>
        <v>1.6020371837764259E-2</v>
      </c>
      <c r="Z99" s="55">
        <f>IF(VLOOKUP(34,table_CIA_JCTS,25,FALSE)+VLOOKUP(33,table_CIA_JCTS,24,FALSE)&lt;VLOOKUP(33,table_CIA_JCTS,28,FALSE),VLOOKUP(33,table_CIA_JCTS,28,FALSE),VLOOKUP(34,table_CIA_JCTS,25,FALSE)+VLOOKUP(33,table_CIA_JCTS,24,FALSE))</f>
        <v>407.51093365027839</v>
      </c>
      <c r="AA99" s="55">
        <v>413.01</v>
      </c>
      <c r="AB99" s="55">
        <f>(AA99-0.5)-Z99</f>
        <v>4.9990663497216019</v>
      </c>
      <c r="AC99" s="57">
        <v>406.26</v>
      </c>
      <c r="AD99" t="s">
        <v>10</v>
      </c>
    </row>
    <row r="100" spans="2:30" x14ac:dyDescent="0.2">
      <c r="B100" s="216">
        <v>34</v>
      </c>
      <c r="C100" s="217" t="s">
        <v>10</v>
      </c>
      <c r="D100" s="54" t="s">
        <v>10</v>
      </c>
      <c r="E100" s="54">
        <f>VLOOKUP(32,table_CIA_JCTS,4,FALSE)+VLOOKUP(33,table_CIA_JCTS,4,FALSE)</f>
        <v>9.9699999999999989</v>
      </c>
      <c r="F100" s="55" t="s">
        <v>10</v>
      </c>
      <c r="G100" s="54" t="s">
        <v>10</v>
      </c>
      <c r="H100" s="54">
        <f>VLOOKUP(32,table_CIA_JCTS,7,FALSE)+VLOOKUP(33,table_CIA_JCTS,7,FALSE)</f>
        <v>4.18</v>
      </c>
      <c r="I100" s="54" t="s">
        <v>10</v>
      </c>
      <c r="J100" s="54">
        <f>VLOOKUP(32,table_CIA_JCTS,9,FALSE)+VLOOKUP(33,table_CIA_JCTS,9,FALSE)</f>
        <v>4.5999999999999996</v>
      </c>
      <c r="K100" s="56" t="s">
        <v>10</v>
      </c>
      <c r="L100" s="53" t="s">
        <v>10</v>
      </c>
      <c r="M100" s="55" t="s">
        <v>10</v>
      </c>
      <c r="N100" s="53" t="s">
        <v>10</v>
      </c>
      <c r="O100" s="53" t="s">
        <v>10</v>
      </c>
      <c r="P100" s="53">
        <f>VLOOKUP(32,table_CIA_JCTS,23,FALSE)</f>
        <v>32.880409591507828</v>
      </c>
      <c r="Q100" s="55">
        <f>cell_P*(P100^cell_E)</f>
        <v>0.62186732635392561</v>
      </c>
      <c r="R100" s="54">
        <f>J100*Q100</f>
        <v>2.8605897012280574</v>
      </c>
      <c r="S100" s="53">
        <v>18</v>
      </c>
      <c r="T100" s="55">
        <f>(4*R100)/(3.14159*(S100/12)^2)</f>
        <v>1.6187640023628842</v>
      </c>
      <c r="U100" s="56">
        <f>((R100/((0.463135/cell_NP)*((S100/12)^(8/3))))^2)*cell_FF</f>
        <v>8.5295692485268227E-4</v>
      </c>
      <c r="V100" s="53">
        <v>304</v>
      </c>
      <c r="W100" s="53">
        <f>V100/(T100*60)</f>
        <v>3.129960055493533</v>
      </c>
      <c r="X100" s="53">
        <f>W100+P100</f>
        <v>36.010369647001362</v>
      </c>
      <c r="Y100" s="55">
        <f>U100*V100</f>
        <v>0.25929890515521542</v>
      </c>
      <c r="Z100" s="55">
        <f>IF(VLOOKUP(35,table_CIA_JCTS,25,FALSE)+VLOOKUP(34,table_CIA_JCTS,24,FALSE)&lt;VLOOKUP(34,table_CIA_JCTS,28,FALSE),VLOOKUP(34,table_CIA_JCTS,28,FALSE),VLOOKUP(35,table_CIA_JCTS,25,FALSE)+VLOOKUP(34,table_CIA_JCTS,24,FALSE))</f>
        <v>407.49491327844061</v>
      </c>
      <c r="AA100" s="55">
        <v>411.5</v>
      </c>
      <c r="AB100" s="55">
        <f>(AA100-0.5)-Z100</f>
        <v>3.5050867215593939</v>
      </c>
      <c r="AC100" s="57">
        <v>406.06</v>
      </c>
      <c r="AD100" t="s">
        <v>10</v>
      </c>
    </row>
    <row r="101" spans="2:30" x14ac:dyDescent="0.2">
      <c r="B101" s="216" t="s">
        <v>10</v>
      </c>
      <c r="C101" s="215">
        <v>38</v>
      </c>
      <c r="D101" s="54">
        <f>VLOOKUP(C101,table_DI,2)</f>
        <v>2.17</v>
      </c>
      <c r="E101" s="54" t="s">
        <v>10</v>
      </c>
      <c r="F101" s="55">
        <f>VLOOKUP(C101,table_DI,5)</f>
        <v>0.46198156682027647</v>
      </c>
      <c r="G101" s="54">
        <f>VLOOKUP(C101,table_DI,3)</f>
        <v>0.91139999999999999</v>
      </c>
      <c r="H101" s="54" t="s">
        <v>10</v>
      </c>
      <c r="I101" s="54">
        <f>VLOOKUP(C101,table_DI,4)</f>
        <v>1.0024999999999999</v>
      </c>
      <c r="J101" s="54" t="s">
        <v>10</v>
      </c>
      <c r="K101" s="56">
        <f>VLOOKUP(C101,table_DI,9)</f>
        <v>2.3223834988541029E-3</v>
      </c>
      <c r="L101" s="53">
        <f>VLOOKUP(C101,table_DI,8)</f>
        <v>1309</v>
      </c>
      <c r="M101" s="55">
        <f>(0.84*(K101^0.5)*(cell_GUTDEP^0.6666)/cell_NRD)</f>
        <v>1.4190060559385689</v>
      </c>
      <c r="N101" s="53">
        <f>VLOOKUP(C101,table_DI,10)</f>
        <v>20</v>
      </c>
      <c r="O101" s="53">
        <f>(L101/(M101*60))</f>
        <v>15.374611387571939</v>
      </c>
      <c r="P101" s="53">
        <f>N101+O101</f>
        <v>35.374611387571939</v>
      </c>
      <c r="Q101" s="55">
        <f>cell_P*(P101^cell_E)</f>
        <v>0.59403645411516437</v>
      </c>
      <c r="R101" s="54">
        <f>Q101*I101</f>
        <v>0.5955215452504522</v>
      </c>
      <c r="S101" s="53" t="s">
        <v>10</v>
      </c>
      <c r="T101" s="55" t="s">
        <v>10</v>
      </c>
      <c r="U101" s="56" t="s">
        <v>10</v>
      </c>
      <c r="V101" s="53" t="s">
        <v>10</v>
      </c>
      <c r="W101" s="53" t="s">
        <v>10</v>
      </c>
      <c r="X101" s="53" t="s">
        <v>10</v>
      </c>
      <c r="Y101" s="55" t="s">
        <v>10</v>
      </c>
      <c r="Z101" s="55" t="s">
        <v>10</v>
      </c>
      <c r="AA101" s="55" t="s">
        <v>10</v>
      </c>
      <c r="AB101" s="55" t="s">
        <v>10</v>
      </c>
      <c r="AC101" s="57" t="s">
        <v>10</v>
      </c>
      <c r="AD101" t="s">
        <v>10</v>
      </c>
    </row>
    <row r="102" spans="2:30" x14ac:dyDescent="0.2">
      <c r="B102" s="216">
        <v>35</v>
      </c>
      <c r="C102" s="217" t="s">
        <v>10</v>
      </c>
      <c r="D102" s="54" t="s">
        <v>10</v>
      </c>
      <c r="E102" s="54">
        <f>+E92+E100+D101</f>
        <v>195.37</v>
      </c>
      <c r="F102" s="55" t="s">
        <v>10</v>
      </c>
      <c r="G102" s="54" t="s">
        <v>10</v>
      </c>
      <c r="H102" s="54">
        <f>+H92+H100+G101</f>
        <v>87.202799999999982</v>
      </c>
      <c r="I102" s="54" t="s">
        <v>10</v>
      </c>
      <c r="J102" s="54">
        <f>+J92+J100+I101</f>
        <v>94.153580000000005</v>
      </c>
      <c r="K102" s="56" t="s">
        <v>10</v>
      </c>
      <c r="L102" s="53" t="s">
        <v>10</v>
      </c>
      <c r="M102" s="55" t="s">
        <v>10</v>
      </c>
      <c r="N102" s="53" t="s">
        <v>10</v>
      </c>
      <c r="O102" s="53" t="s">
        <v>10</v>
      </c>
      <c r="P102" s="53">
        <f>VLOOKUP(31,table_CIA_JCTS,23,FALSE)</f>
        <v>64.388547831834472</v>
      </c>
      <c r="Q102" s="55">
        <f>cell_P*(P102^cell_E)</f>
        <v>0.40825156772900006</v>
      </c>
      <c r="R102" s="54">
        <f>J102*Q102</f>
        <v>38.43834664229783</v>
      </c>
      <c r="S102" s="53">
        <v>36</v>
      </c>
      <c r="T102" s="55">
        <f>(4*R102)/(3.14159*(S102/12)^2)</f>
        <v>5.4379182575699048</v>
      </c>
      <c r="U102" s="56">
        <f>((R102/((0.463135/cell_NP)*((S102/12)^(8/3))))^2)*cell_FF</f>
        <v>3.819900456527255E-3</v>
      </c>
      <c r="V102" s="53">
        <v>439</v>
      </c>
      <c r="W102" s="53">
        <f>V102/(T102*60)</f>
        <v>1.3454903733577519</v>
      </c>
      <c r="X102" s="53">
        <f>W102+P102</f>
        <v>65.734038205192221</v>
      </c>
      <c r="Y102" s="55">
        <f>U102*V102</f>
        <v>1.6769363004154649</v>
      </c>
      <c r="Z102" s="55">
        <f>IF(VLOOKUP(37,table_CIA_JCTS,25,FALSE)+VLOOKUP(35,table_CIA_JCTS,24,FALSE)&lt;VLOOKUP(35,table_CIA_JCTS,28,FALSE),VLOOKUP(35,table_CIA_JCTS,28,FALSE),VLOOKUP(37,table_CIA_JCTS,25,FALSE)+VLOOKUP(35,table_CIA_JCTS,24,FALSE))</f>
        <v>407.23561437328539</v>
      </c>
      <c r="AA102" s="55">
        <v>410.59</v>
      </c>
      <c r="AB102" s="55">
        <f>(AA102-0.5)-Z102</f>
        <v>2.8543856267145884</v>
      </c>
      <c r="AC102" s="57">
        <v>405.38</v>
      </c>
      <c r="AD102" t="s">
        <v>10</v>
      </c>
    </row>
    <row r="103" spans="2:30" x14ac:dyDescent="0.2">
      <c r="B103" s="216" t="s">
        <v>10</v>
      </c>
      <c r="C103" s="217" t="s">
        <v>10</v>
      </c>
      <c r="D103" s="54" t="s">
        <v>10</v>
      </c>
      <c r="E103" s="54" t="s">
        <v>10</v>
      </c>
      <c r="F103" s="55" t="s">
        <v>10</v>
      </c>
      <c r="G103" s="54" t="s">
        <v>10</v>
      </c>
      <c r="H103" s="54" t="s">
        <v>10</v>
      </c>
      <c r="I103" s="54" t="s">
        <v>10</v>
      </c>
      <c r="J103" s="54" t="s">
        <v>10</v>
      </c>
      <c r="K103" s="56" t="s">
        <v>10</v>
      </c>
      <c r="L103" s="53" t="s">
        <v>10</v>
      </c>
      <c r="M103" s="55" t="s">
        <v>10</v>
      </c>
      <c r="N103" s="53" t="s">
        <v>10</v>
      </c>
      <c r="O103" s="53" t="s">
        <v>10</v>
      </c>
      <c r="P103" s="53" t="s">
        <v>10</v>
      </c>
      <c r="Q103" s="55" t="s">
        <v>10</v>
      </c>
      <c r="R103" s="54" t="s">
        <v>10</v>
      </c>
      <c r="S103" s="53" t="s">
        <v>10</v>
      </c>
      <c r="T103" s="55" t="s">
        <v>10</v>
      </c>
      <c r="U103" s="56" t="s">
        <v>10</v>
      </c>
      <c r="V103" s="53" t="s">
        <v>10</v>
      </c>
      <c r="W103" s="53" t="s">
        <v>10</v>
      </c>
      <c r="X103" s="53" t="s">
        <v>10</v>
      </c>
      <c r="Y103" s="55" t="s">
        <v>10</v>
      </c>
      <c r="Z103" s="55" t="s">
        <v>10</v>
      </c>
      <c r="AA103" s="55" t="s">
        <v>10</v>
      </c>
      <c r="AB103" s="55" t="s">
        <v>10</v>
      </c>
      <c r="AC103" s="57" t="s">
        <v>10</v>
      </c>
      <c r="AD103" t="s">
        <v>10</v>
      </c>
    </row>
    <row r="104" spans="2:30" x14ac:dyDescent="0.2">
      <c r="B104" s="216" t="s">
        <v>10</v>
      </c>
      <c r="C104" s="215">
        <v>39</v>
      </c>
      <c r="D104" s="54">
        <f>VLOOKUP(C104,table_DI,2)</f>
        <v>3.69</v>
      </c>
      <c r="E104" s="54" t="s">
        <v>10</v>
      </c>
      <c r="F104" s="55">
        <f>VLOOKUP(C104,table_DI,5)</f>
        <v>0.35230352303523038</v>
      </c>
      <c r="G104" s="54">
        <f>VLOOKUP(C104,table_DI,3)</f>
        <v>1.18</v>
      </c>
      <c r="H104" s="54" t="s">
        <v>10</v>
      </c>
      <c r="I104" s="54">
        <f>VLOOKUP(C104,table_DI,4)</f>
        <v>1.3</v>
      </c>
      <c r="J104" s="54" t="s">
        <v>10</v>
      </c>
      <c r="K104" s="56">
        <f>VLOOKUP(C104,table_DI,9)</f>
        <v>7.9000000000002055E-3</v>
      </c>
      <c r="L104" s="53">
        <f>VLOOKUP(C104,table_DI,8)</f>
        <v>100</v>
      </c>
      <c r="M104" s="55">
        <f>(0.84*(K104^0.5)*(cell_GUTDEP^0.6666)/cell_NRD)</f>
        <v>2.6171633264739333</v>
      </c>
      <c r="N104" s="53">
        <f>VLOOKUP(C104,table_DI,10)</f>
        <v>5</v>
      </c>
      <c r="O104" s="53">
        <f>(L104/(M104*60))</f>
        <v>0.63682180237186148</v>
      </c>
      <c r="P104" s="53">
        <f>N104+O104</f>
        <v>5.6368218023718617</v>
      </c>
      <c r="Q104" s="55">
        <f>cell_P*(P104^cell_E)</f>
        <v>1.8763166973181504</v>
      </c>
      <c r="R104" s="54">
        <f>Q104*I104</f>
        <v>2.4392117065135954</v>
      </c>
      <c r="S104" s="53" t="s">
        <v>10</v>
      </c>
      <c r="T104" s="55" t="s">
        <v>10</v>
      </c>
      <c r="U104" s="56" t="s">
        <v>10</v>
      </c>
      <c r="V104" s="53" t="s">
        <v>10</v>
      </c>
      <c r="W104" s="53" t="s">
        <v>10</v>
      </c>
      <c r="X104" s="53" t="s">
        <v>10</v>
      </c>
      <c r="Y104" s="55" t="s">
        <v>10</v>
      </c>
      <c r="Z104" s="55" t="s">
        <v>10</v>
      </c>
      <c r="AA104" s="55" t="s">
        <v>10</v>
      </c>
      <c r="AB104" s="55" t="s">
        <v>10</v>
      </c>
      <c r="AC104" s="57" t="s">
        <v>10</v>
      </c>
      <c r="AD104" t="s">
        <v>10</v>
      </c>
    </row>
    <row r="105" spans="2:30" x14ac:dyDescent="0.2">
      <c r="B105" s="216">
        <v>36</v>
      </c>
      <c r="C105" s="217" t="s">
        <v>10</v>
      </c>
      <c r="D105" s="54" t="s">
        <v>10</v>
      </c>
      <c r="E105" s="54">
        <f>VLOOKUP(39,table_CIA_INLETS,2,FALSE)</f>
        <v>3.69</v>
      </c>
      <c r="F105" s="55" t="s">
        <v>10</v>
      </c>
      <c r="G105" s="54" t="s">
        <v>10</v>
      </c>
      <c r="H105" s="54">
        <f>VLOOKUP(39,table_CIA_INLETS,5,FALSE)</f>
        <v>1.18</v>
      </c>
      <c r="I105" s="54" t="s">
        <v>10</v>
      </c>
      <c r="J105" s="54">
        <f>VLOOKUP(39,table_CIA_INLETS,7,FALSE)</f>
        <v>1.3</v>
      </c>
      <c r="K105" s="56" t="s">
        <v>10</v>
      </c>
      <c r="L105" s="53" t="s">
        <v>10</v>
      </c>
      <c r="M105" s="55" t="s">
        <v>10</v>
      </c>
      <c r="N105" s="53" t="s">
        <v>10</v>
      </c>
      <c r="O105" s="53" t="s">
        <v>10</v>
      </c>
      <c r="P105" s="53">
        <f>VLOOKUP(39,table_CIA_INLETS,14,FALSE)</f>
        <v>5.6368218023718617</v>
      </c>
      <c r="Q105" s="55">
        <f>cell_P*(P105^cell_E)</f>
        <v>1.8763166973181504</v>
      </c>
      <c r="R105" s="54">
        <f>J105*Q105</f>
        <v>2.4392117065135954</v>
      </c>
      <c r="S105" s="53">
        <v>18</v>
      </c>
      <c r="T105" s="55">
        <f>(4*R105)/(3.14159*(S105/12)^2)</f>
        <v>1.3803126337731151</v>
      </c>
      <c r="U105" s="56">
        <f>((R105/((0.463135/cell_NP)*((S105/12)^(8/3))))^2)*cell_FF</f>
        <v>6.2017599097864207E-4</v>
      </c>
      <c r="V105" s="53">
        <v>40</v>
      </c>
      <c r="W105" s="53">
        <f>V105/(T105*60)</f>
        <v>0.48298236961312063</v>
      </c>
      <c r="X105" s="53">
        <f>W105+P105</f>
        <v>6.1198041719849821</v>
      </c>
      <c r="Y105" s="55">
        <f>U105*V105</f>
        <v>2.4807039639145684E-2</v>
      </c>
      <c r="Z105" s="55">
        <f>IF(VLOOKUP(37,table_CIA_JCTS,25,FALSE)+VLOOKUP(36,table_CIA_JCTS,24,FALSE)&lt;VLOOKUP(36,table_CIA_JCTS,28,FALSE),VLOOKUP(36,table_CIA_JCTS,28,FALSE),VLOOKUP(37,table_CIA_JCTS,25,FALSE)+VLOOKUP(36,table_CIA_JCTS,24,FALSE))</f>
        <v>405.58348511250904</v>
      </c>
      <c r="AA105" s="55">
        <v>410.4</v>
      </c>
      <c r="AB105" s="55">
        <f>(AA105-0.5)-Z105</f>
        <v>4.3165148874909391</v>
      </c>
      <c r="AC105" s="57" t="s">
        <v>10</v>
      </c>
      <c r="AD105" t="s">
        <v>10</v>
      </c>
    </row>
    <row r="106" spans="2:30" x14ac:dyDescent="0.2">
      <c r="B106" s="216">
        <v>37</v>
      </c>
      <c r="C106" s="217" t="s">
        <v>10</v>
      </c>
      <c r="D106" s="54" t="s">
        <v>10</v>
      </c>
      <c r="E106" s="54">
        <f>VLOOKUP(35,table_CIA_JCTS,4,FALSE)+VLOOKUP(36,table_CIA_JCTS,4,FALSE)</f>
        <v>199.06</v>
      </c>
      <c r="F106" s="55" t="s">
        <v>10</v>
      </c>
      <c r="G106" s="54" t="s">
        <v>10</v>
      </c>
      <c r="H106" s="54">
        <f>VLOOKUP(35,table_CIA_JCTS,7,FALSE)+VLOOKUP(36,table_CIA_JCTS,7,FALSE)</f>
        <v>88.382799999999989</v>
      </c>
      <c r="I106" s="54" t="s">
        <v>10</v>
      </c>
      <c r="J106" s="54">
        <f>VLOOKUP(35,table_CIA_JCTS,9,FALSE)+VLOOKUP(36,table_CIA_JCTS,9,FALSE)</f>
        <v>95.453580000000002</v>
      </c>
      <c r="K106" s="56" t="s">
        <v>10</v>
      </c>
      <c r="L106" s="53" t="s">
        <v>10</v>
      </c>
      <c r="M106" s="55" t="s">
        <v>10</v>
      </c>
      <c r="N106" s="53" t="s">
        <v>10</v>
      </c>
      <c r="O106" s="53" t="s">
        <v>10</v>
      </c>
      <c r="P106" s="53">
        <f>VLOOKUP(35,table_CIA_JCTS,23,FALSE)</f>
        <v>65.734038205192221</v>
      </c>
      <c r="Q106" s="55">
        <f>cell_P*(P106^cell_E)</f>
        <v>0.40299859461310827</v>
      </c>
      <c r="R106" s="54">
        <f>J106*Q106</f>
        <v>38.467658590789902</v>
      </c>
      <c r="S106" s="53">
        <v>36</v>
      </c>
      <c r="T106" s="55">
        <f>(4*R106)/(3.14159*(S106/12)^2)</f>
        <v>5.442065053511814</v>
      </c>
      <c r="U106" s="56">
        <f>((R106/((0.463135/cell_NP)*((S106/12)^(8/3))))^2)*cell_FF</f>
        <v>3.8257285645096999E-3</v>
      </c>
      <c r="V106" s="53">
        <v>156</v>
      </c>
      <c r="W106" s="53">
        <f>V106/(T106*60)</f>
        <v>0.47775981625250807</v>
      </c>
      <c r="X106" s="53">
        <f>W106+P106</f>
        <v>66.211798021444736</v>
      </c>
      <c r="Y106" s="55">
        <f>U106*V106</f>
        <v>0.59681365606351322</v>
      </c>
      <c r="Z106" s="55">
        <f>IF(VLOOKUP(39,table_CIA_JCTS,25,FALSE)+VLOOKUP(37,table_CIA_JCTS,24,FALSE)&lt;VLOOKUP(37,table_CIA_JCTS,28,FALSE),VLOOKUP(37,table_CIA_JCTS,28,FALSE),VLOOKUP(39,table_CIA_JCTS,25,FALSE)+VLOOKUP(37,table_CIA_JCTS,24,FALSE))</f>
        <v>405.5586780728699</v>
      </c>
      <c r="AA106" s="55">
        <v>409.61</v>
      </c>
      <c r="AB106" s="55">
        <f>(AA106-0.5)-Z106</f>
        <v>3.5513219271301182</v>
      </c>
      <c r="AC106" s="57">
        <v>403.83</v>
      </c>
      <c r="AD106" t="s">
        <v>10</v>
      </c>
    </row>
    <row r="107" spans="2:30" x14ac:dyDescent="0.2">
      <c r="B107" s="216" t="s">
        <v>10</v>
      </c>
      <c r="C107" s="217" t="s">
        <v>10</v>
      </c>
      <c r="D107" s="54" t="s">
        <v>10</v>
      </c>
      <c r="E107" s="54" t="s">
        <v>10</v>
      </c>
      <c r="F107" s="55" t="s">
        <v>10</v>
      </c>
      <c r="G107" s="54" t="s">
        <v>10</v>
      </c>
      <c r="H107" s="54" t="s">
        <v>10</v>
      </c>
      <c r="I107" s="54" t="s">
        <v>10</v>
      </c>
      <c r="J107" s="54" t="s">
        <v>10</v>
      </c>
      <c r="K107" s="56" t="s">
        <v>10</v>
      </c>
      <c r="L107" s="53" t="s">
        <v>10</v>
      </c>
      <c r="M107" s="55" t="s">
        <v>10</v>
      </c>
      <c r="N107" s="53" t="s">
        <v>10</v>
      </c>
      <c r="O107" s="53" t="s">
        <v>10</v>
      </c>
      <c r="P107" s="53" t="s">
        <v>10</v>
      </c>
      <c r="Q107" s="55" t="s">
        <v>10</v>
      </c>
      <c r="R107" s="54" t="s">
        <v>10</v>
      </c>
      <c r="S107" s="53" t="s">
        <v>10</v>
      </c>
      <c r="T107" s="55" t="s">
        <v>10</v>
      </c>
      <c r="U107" s="56" t="s">
        <v>10</v>
      </c>
      <c r="V107" s="53" t="s">
        <v>10</v>
      </c>
      <c r="W107" s="53" t="s">
        <v>10</v>
      </c>
      <c r="X107" s="53" t="s">
        <v>10</v>
      </c>
      <c r="Y107" s="55" t="s">
        <v>10</v>
      </c>
      <c r="Z107" s="55" t="s">
        <v>10</v>
      </c>
      <c r="AA107" s="55" t="s">
        <v>10</v>
      </c>
      <c r="AB107" s="55" t="s">
        <v>10</v>
      </c>
      <c r="AC107" s="57" t="s">
        <v>10</v>
      </c>
      <c r="AD107" t="s">
        <v>10</v>
      </c>
    </row>
    <row r="108" spans="2:30" x14ac:dyDescent="0.2">
      <c r="B108" s="216" t="s">
        <v>10</v>
      </c>
      <c r="C108" s="215">
        <v>40</v>
      </c>
      <c r="D108" s="54">
        <f>VLOOKUP(C108,table_DI,2)</f>
        <v>2.58</v>
      </c>
      <c r="E108" s="54" t="s">
        <v>10</v>
      </c>
      <c r="F108" s="55">
        <f>VLOOKUP(C108,table_DI,5)</f>
        <v>0.46124031007751937</v>
      </c>
      <c r="G108" s="54">
        <f>VLOOKUP(C108,table_DI,3)</f>
        <v>1.08</v>
      </c>
      <c r="H108" s="54" t="s">
        <v>10</v>
      </c>
      <c r="I108" s="54">
        <f>VLOOKUP(C108,table_DI,4)</f>
        <v>1.19</v>
      </c>
      <c r="J108" s="54" t="s">
        <v>10</v>
      </c>
      <c r="K108" s="56">
        <f>VLOOKUP(C108,table_DI,9)</f>
        <v>3.249051833122621E-3</v>
      </c>
      <c r="L108" s="53">
        <f>VLOOKUP(C108,table_DI,8)</f>
        <v>791</v>
      </c>
      <c r="M108" s="55">
        <f>(0.84*(K108^0.5)*(cell_GUTDEP^0.6666)/cell_NRD)</f>
        <v>1.6784005002899098</v>
      </c>
      <c r="N108" s="53">
        <f>VLOOKUP(C108,table_DI,10)</f>
        <v>20</v>
      </c>
      <c r="O108" s="53">
        <f>(L108/(M108*60))</f>
        <v>7.8547005503490848</v>
      </c>
      <c r="P108" s="53">
        <f>N108+O108</f>
        <v>27.854700550349087</v>
      </c>
      <c r="Q108" s="55">
        <f>cell_P*(P108^cell_E)</f>
        <v>0.68993533617279479</v>
      </c>
      <c r="R108" s="54">
        <f>Q108*I108</f>
        <v>0.82102305004562581</v>
      </c>
      <c r="S108" s="53" t="s">
        <v>10</v>
      </c>
      <c r="T108" s="55" t="s">
        <v>10</v>
      </c>
      <c r="U108" s="56" t="s">
        <v>10</v>
      </c>
      <c r="V108" s="53" t="s">
        <v>10</v>
      </c>
      <c r="W108" s="53" t="s">
        <v>10</v>
      </c>
      <c r="X108" s="53" t="s">
        <v>10</v>
      </c>
      <c r="Y108" s="55" t="s">
        <v>10</v>
      </c>
      <c r="Z108" s="55" t="s">
        <v>10</v>
      </c>
      <c r="AA108" s="55" t="s">
        <v>10</v>
      </c>
      <c r="AB108" s="55" t="s">
        <v>10</v>
      </c>
      <c r="AC108" s="57" t="s">
        <v>10</v>
      </c>
      <c r="AD108" t="s">
        <v>10</v>
      </c>
    </row>
    <row r="109" spans="2:30" x14ac:dyDescent="0.2">
      <c r="B109" s="216" t="s">
        <v>10</v>
      </c>
      <c r="C109" s="215">
        <v>41</v>
      </c>
      <c r="D109" s="54">
        <f>VLOOKUP(C109,table_DI,2)</f>
        <v>3.45</v>
      </c>
      <c r="E109" s="54" t="s">
        <v>10</v>
      </c>
      <c r="F109" s="55">
        <f>VLOOKUP(C109,table_DI,5)</f>
        <v>0.46086956521739131</v>
      </c>
      <c r="G109" s="54">
        <f>VLOOKUP(C109,table_DI,3)</f>
        <v>1.45</v>
      </c>
      <c r="H109" s="54" t="s">
        <v>10</v>
      </c>
      <c r="I109" s="54">
        <f>VLOOKUP(C109,table_DI,4)</f>
        <v>1.59</v>
      </c>
      <c r="J109" s="54" t="s">
        <v>10</v>
      </c>
      <c r="K109" s="56">
        <f>VLOOKUP(C109,table_DI,9)</f>
        <v>3.0379746835443081E-3</v>
      </c>
      <c r="L109" s="53">
        <f>VLOOKUP(C109,table_DI,8)</f>
        <v>1027</v>
      </c>
      <c r="M109" s="55">
        <f>(0.84*(K109^0.5)*(cell_GUTDEP^0.6666)/cell_NRD)</f>
        <v>1.6229657527559804</v>
      </c>
      <c r="N109" s="53">
        <f>VLOOKUP(C109,table_DI,10)</f>
        <v>20</v>
      </c>
      <c r="O109" s="53">
        <f>(L109/(M109*60))</f>
        <v>10.546535955919353</v>
      </c>
      <c r="P109" s="53">
        <f>N109+O109</f>
        <v>30.546535955919353</v>
      </c>
      <c r="Q109" s="55">
        <f>cell_P*(P109^cell_E)</f>
        <v>0.6512093710874266</v>
      </c>
      <c r="R109" s="54">
        <f>Q109*I109</f>
        <v>1.0354229000290083</v>
      </c>
      <c r="S109" s="53" t="s">
        <v>10</v>
      </c>
      <c r="T109" s="55" t="s">
        <v>10</v>
      </c>
      <c r="U109" s="56" t="s">
        <v>10</v>
      </c>
      <c r="V109" s="53" t="s">
        <v>10</v>
      </c>
      <c r="W109" s="53" t="s">
        <v>10</v>
      </c>
      <c r="X109" s="53" t="s">
        <v>10</v>
      </c>
      <c r="Y109" s="55" t="s">
        <v>10</v>
      </c>
      <c r="Z109" s="55" t="s">
        <v>10</v>
      </c>
      <c r="AA109" s="55" t="s">
        <v>10</v>
      </c>
      <c r="AB109" s="55" t="s">
        <v>10</v>
      </c>
      <c r="AC109" s="57" t="s">
        <v>10</v>
      </c>
      <c r="AD109" t="s">
        <v>10</v>
      </c>
    </row>
    <row r="110" spans="2:30" x14ac:dyDescent="0.2">
      <c r="B110" s="216">
        <v>38</v>
      </c>
      <c r="C110" s="217" t="s">
        <v>10</v>
      </c>
      <c r="D110" s="54" t="s">
        <v>10</v>
      </c>
      <c r="E110" s="54">
        <f>VLOOKUP(40,table_CIA_INLETS,2,FALSE)+VLOOKUP(41,table_CIA_INLETS,2,FALSE)</f>
        <v>6.03</v>
      </c>
      <c r="F110" s="55" t="s">
        <v>10</v>
      </c>
      <c r="G110" s="54" t="s">
        <v>10</v>
      </c>
      <c r="H110" s="54">
        <f>VLOOKUP(40,table_CIA_INLETS,5,FALSE)+VLOOKUP(41,table_CIA_INLETS,5,FALSE)</f>
        <v>2.5300000000000002</v>
      </c>
      <c r="I110" s="54" t="s">
        <v>10</v>
      </c>
      <c r="J110" s="54">
        <f>VLOOKUP(40,table_CIA_INLETS,7,FALSE)+VLOOKUP(41,table_CIA_INLETS,7,FALSE)</f>
        <v>2.7800000000000002</v>
      </c>
      <c r="K110" s="56" t="s">
        <v>10</v>
      </c>
      <c r="L110" s="53" t="s">
        <v>10</v>
      </c>
      <c r="M110" s="55" t="s">
        <v>10</v>
      </c>
      <c r="N110" s="53" t="s">
        <v>10</v>
      </c>
      <c r="O110" s="53" t="s">
        <v>10</v>
      </c>
      <c r="P110" s="53">
        <f>VLOOKUP(41,table_CIA_INLETS,14,FALSE)</f>
        <v>30.546535955919353</v>
      </c>
      <c r="Q110" s="55">
        <f>cell_P*(P110^cell_E)</f>
        <v>0.6512093710874266</v>
      </c>
      <c r="R110" s="54">
        <f>J110*Q110</f>
        <v>1.8103620516230461</v>
      </c>
      <c r="S110" s="53">
        <v>18</v>
      </c>
      <c r="T110" s="55">
        <f>(4*R110)/(3.14159*(S110/12)^2)</f>
        <v>1.0244562228386382</v>
      </c>
      <c r="U110" s="56">
        <f>((R110/((0.463135/cell_NP)*((S110/12)^(8/3))))^2)*cell_FF</f>
        <v>3.4162278815919489E-4</v>
      </c>
      <c r="V110" s="53">
        <v>156</v>
      </c>
      <c r="W110" s="53">
        <f>V110/(T110*60)</f>
        <v>2.5379317749622623</v>
      </c>
      <c r="X110" s="53">
        <f>W110+P110</f>
        <v>33.084467730881613</v>
      </c>
      <c r="Y110" s="55">
        <f>U110*V110</f>
        <v>5.3293154952834404E-2</v>
      </c>
      <c r="Z110" s="55">
        <f>IF(VLOOKUP(39,table_CIA_JCTS,25,FALSE)+VLOOKUP(38,table_CIA_JCTS,24,FALSE)&lt;VLOOKUP(38,table_CIA_JCTS,28,FALSE),VLOOKUP(38,table_CIA_JCTS,28,FALSE),VLOOKUP(39,table_CIA_JCTS,25,FALSE)+VLOOKUP(38,table_CIA_JCTS,24,FALSE))</f>
        <v>405.01515757175923</v>
      </c>
      <c r="AA110" s="55">
        <v>409.77</v>
      </c>
      <c r="AB110" s="55">
        <f>(AA110-0.5)-Z110</f>
        <v>4.2548424282407495</v>
      </c>
      <c r="AC110" s="57">
        <v>402.38</v>
      </c>
      <c r="AD110" t="s">
        <v>10</v>
      </c>
    </row>
    <row r="111" spans="2:30" x14ac:dyDescent="0.2">
      <c r="B111" s="216">
        <v>39</v>
      </c>
      <c r="C111" s="217" t="s">
        <v>10</v>
      </c>
      <c r="D111" s="54" t="s">
        <v>10</v>
      </c>
      <c r="E111" s="54">
        <f>VLOOKUP(37,table_CIA_JCTS,4,FALSE)+VLOOKUP(38,table_CIA_JCTS,4,FALSE)</f>
        <v>205.09</v>
      </c>
      <c r="F111" s="55" t="s">
        <v>10</v>
      </c>
      <c r="G111" s="54" t="s">
        <v>10</v>
      </c>
      <c r="H111" s="54">
        <f>VLOOKUP(37,table_CIA_JCTS,7,FALSE)+VLOOKUP(38,table_CIA_JCTS,7,FALSE)</f>
        <v>90.91279999999999</v>
      </c>
      <c r="I111" s="54" t="s">
        <v>10</v>
      </c>
      <c r="J111" s="54">
        <f>VLOOKUP(37,table_CIA_JCTS,9,FALSE)+VLOOKUP(38,table_CIA_JCTS,9,FALSE)</f>
        <v>98.233580000000003</v>
      </c>
      <c r="K111" s="56" t="s">
        <v>10</v>
      </c>
      <c r="L111" s="53" t="s">
        <v>10</v>
      </c>
      <c r="M111" s="55" t="s">
        <v>10</v>
      </c>
      <c r="N111" s="53" t="s">
        <v>10</v>
      </c>
      <c r="O111" s="53" t="s">
        <v>10</v>
      </c>
      <c r="P111" s="53">
        <f>VLOOKUP(37,table_CIA_JCTS,23,FALSE)</f>
        <v>66.211798021444736</v>
      </c>
      <c r="Q111" s="55">
        <f>cell_P*(P111^cell_E)</f>
        <v>0.40117521091029135</v>
      </c>
      <c r="R111" s="54">
        <f>J111*Q111</f>
        <v>39.408877174972979</v>
      </c>
      <c r="S111" s="53">
        <v>36</v>
      </c>
      <c r="T111" s="55">
        <f>(4*R111)/(3.14159*(S111/12)^2)</f>
        <v>5.5752203572745689</v>
      </c>
      <c r="U111" s="56">
        <f>((R111/((0.463135/cell_NP)*((S111/12)^(8/3))))^2)*cell_FF</f>
        <v>4.0152331685355648E-3</v>
      </c>
      <c r="V111" s="53">
        <v>106</v>
      </c>
      <c r="W111" s="53">
        <f>V111/(T111*60)</f>
        <v>0.31687835698933647</v>
      </c>
      <c r="X111" s="53">
        <f>W111+P111</f>
        <v>66.528676378434071</v>
      </c>
      <c r="Y111" s="55">
        <f>U111*V111</f>
        <v>0.4256147158647699</v>
      </c>
      <c r="Z111" s="55">
        <f>IF(VLOOKUP(42,table_CIA_JCTS,25,FALSE)+VLOOKUP(39,table_CIA_JCTS,24,FALSE)&lt;VLOOKUP(39,table_CIA_JCTS,28,FALSE),VLOOKUP(39,table_CIA_JCTS,28,FALSE),VLOOKUP(42,table_CIA_JCTS,25,FALSE)+VLOOKUP(39,table_CIA_JCTS,24,FALSE))</f>
        <v>404.96186441680641</v>
      </c>
      <c r="AA111" s="55">
        <v>409.3</v>
      </c>
      <c r="AB111" s="55">
        <f>(AA111-0.5)-Z111</f>
        <v>3.8381355831936048</v>
      </c>
      <c r="AC111" s="57">
        <v>403.67</v>
      </c>
      <c r="AD111" t="s">
        <v>10</v>
      </c>
    </row>
    <row r="112" spans="2:30" x14ac:dyDescent="0.2">
      <c r="B112" s="216" t="s">
        <v>10</v>
      </c>
      <c r="C112" s="217" t="s">
        <v>10</v>
      </c>
      <c r="D112" s="54" t="s">
        <v>10</v>
      </c>
      <c r="E112" s="54" t="s">
        <v>10</v>
      </c>
      <c r="F112" s="55" t="s">
        <v>10</v>
      </c>
      <c r="G112" s="54" t="s">
        <v>10</v>
      </c>
      <c r="H112" s="54" t="s">
        <v>10</v>
      </c>
      <c r="I112" s="54" t="s">
        <v>10</v>
      </c>
      <c r="J112" s="54" t="s">
        <v>10</v>
      </c>
      <c r="K112" s="56" t="s">
        <v>10</v>
      </c>
      <c r="L112" s="53" t="s">
        <v>10</v>
      </c>
      <c r="M112" s="55" t="s">
        <v>10</v>
      </c>
      <c r="N112" s="53" t="s">
        <v>10</v>
      </c>
      <c r="O112" s="53" t="s">
        <v>10</v>
      </c>
      <c r="P112" s="53" t="s">
        <v>10</v>
      </c>
      <c r="Q112" s="55" t="s">
        <v>10</v>
      </c>
      <c r="R112" s="54" t="s">
        <v>10</v>
      </c>
      <c r="S112" s="53" t="s">
        <v>10</v>
      </c>
      <c r="T112" s="55" t="s">
        <v>10</v>
      </c>
      <c r="U112" s="56" t="s">
        <v>10</v>
      </c>
      <c r="V112" s="53" t="s">
        <v>10</v>
      </c>
      <c r="W112" s="53" t="s">
        <v>10</v>
      </c>
      <c r="X112" s="53" t="s">
        <v>10</v>
      </c>
      <c r="Y112" s="55" t="s">
        <v>10</v>
      </c>
      <c r="Z112" s="55" t="s">
        <v>10</v>
      </c>
      <c r="AA112" s="55" t="s">
        <v>10</v>
      </c>
      <c r="AB112" s="55" t="s">
        <v>10</v>
      </c>
      <c r="AC112" s="57" t="s">
        <v>10</v>
      </c>
      <c r="AD112" t="s">
        <v>10</v>
      </c>
    </row>
    <row r="113" spans="2:30" x14ac:dyDescent="0.2">
      <c r="B113" s="216" t="s">
        <v>10</v>
      </c>
      <c r="C113" s="215">
        <v>42</v>
      </c>
      <c r="D113" s="54">
        <f>VLOOKUP(C113,table_DI,2)</f>
        <v>9.3000000000000007</v>
      </c>
      <c r="E113" s="54" t="s">
        <v>10</v>
      </c>
      <c r="F113" s="55">
        <f>VLOOKUP(C113,table_DI,5)</f>
        <v>0.46199999999999991</v>
      </c>
      <c r="G113" s="54">
        <f>VLOOKUP(C113,table_DI,3)</f>
        <v>3.9060000000000001</v>
      </c>
      <c r="H113" s="54" t="s">
        <v>10</v>
      </c>
      <c r="I113" s="54">
        <f>VLOOKUP(C113,table_DI,4)</f>
        <v>4.2965999999999998</v>
      </c>
      <c r="J113" s="54" t="s">
        <v>10</v>
      </c>
      <c r="K113" s="56">
        <f>VLOOKUP(C113,table_DI,9)</f>
        <v>3.2457983193277047E-3</v>
      </c>
      <c r="L113" s="53">
        <f>VLOOKUP(C113,table_DI,8)</f>
        <v>952</v>
      </c>
      <c r="M113" s="55">
        <f>(0.84*(K113^0.5)*(cell_GUTDEP^0.6666)/cell_NRD)</f>
        <v>1.677559937073912</v>
      </c>
      <c r="N113" s="53">
        <f>VLOOKUP(C113,table_DI,10)</f>
        <v>20</v>
      </c>
      <c r="O113" s="53">
        <f>(L113/(M113*60))</f>
        <v>9.4581816816286981</v>
      </c>
      <c r="P113" s="53">
        <f>N113+O113</f>
        <v>29.458181681628698</v>
      </c>
      <c r="Q113" s="55">
        <f t="shared" ref="Q113:Q118" si="6">cell_P*(P113^cell_E)</f>
        <v>0.66617306360953044</v>
      </c>
      <c r="R113" s="54">
        <f>Q113*I113</f>
        <v>2.8622791851047085</v>
      </c>
      <c r="S113" s="53" t="s">
        <v>10</v>
      </c>
      <c r="T113" s="55" t="s">
        <v>10</v>
      </c>
      <c r="U113" s="56" t="s">
        <v>10</v>
      </c>
      <c r="V113" s="53" t="s">
        <v>10</v>
      </c>
      <c r="W113" s="53" t="s">
        <v>10</v>
      </c>
      <c r="X113" s="53" t="s">
        <v>10</v>
      </c>
      <c r="Y113" s="55" t="s">
        <v>10</v>
      </c>
      <c r="Z113" s="55" t="s">
        <v>10</v>
      </c>
      <c r="AA113" s="55" t="s">
        <v>10</v>
      </c>
      <c r="AB113" s="55" t="s">
        <v>10</v>
      </c>
      <c r="AC113" s="57" t="s">
        <v>10</v>
      </c>
      <c r="AD113" t="s">
        <v>10</v>
      </c>
    </row>
    <row r="114" spans="2:30" x14ac:dyDescent="0.2">
      <c r="B114" s="216">
        <v>40</v>
      </c>
      <c r="C114" s="217" t="s">
        <v>10</v>
      </c>
      <c r="D114" s="54" t="s">
        <v>10</v>
      </c>
      <c r="E114" s="54">
        <f>VLOOKUP(42,table_CIA_INLETS,2,FALSE)</f>
        <v>9.3000000000000007</v>
      </c>
      <c r="F114" s="55" t="s">
        <v>10</v>
      </c>
      <c r="G114" s="54" t="s">
        <v>10</v>
      </c>
      <c r="H114" s="54">
        <f>VLOOKUP(42,table_CIA_INLETS,5,FALSE)</f>
        <v>3.9060000000000001</v>
      </c>
      <c r="I114" s="54" t="s">
        <v>10</v>
      </c>
      <c r="J114" s="54">
        <f>VLOOKUP(42,table_CIA_INLETS,7,FALSE)</f>
        <v>4.2965999999999998</v>
      </c>
      <c r="K114" s="56" t="s">
        <v>10</v>
      </c>
      <c r="L114" s="53" t="s">
        <v>10</v>
      </c>
      <c r="M114" s="55" t="s">
        <v>10</v>
      </c>
      <c r="N114" s="53" t="s">
        <v>10</v>
      </c>
      <c r="O114" s="53" t="s">
        <v>10</v>
      </c>
      <c r="P114" s="53">
        <f>VLOOKUP(42,table_CIA_INLETS,14,FALSE)</f>
        <v>29.458181681628698</v>
      </c>
      <c r="Q114" s="55">
        <f t="shared" si="6"/>
        <v>0.66617306360953044</v>
      </c>
      <c r="R114" s="54">
        <f>J114*Q114</f>
        <v>2.8622791851047085</v>
      </c>
      <c r="S114" s="53">
        <v>18</v>
      </c>
      <c r="T114" s="55">
        <f>(4*R114)/(3.14159*(S114/12)^2)</f>
        <v>1.6197200554735141</v>
      </c>
      <c r="U114" s="56">
        <f>((R114/((0.463135/cell_NP)*((S114/12)^(8/3))))^2)*cell_FF</f>
        <v>8.5396474678566209E-4</v>
      </c>
      <c r="V114" s="53">
        <v>531</v>
      </c>
      <c r="W114" s="53">
        <f>V114/(T114*60)</f>
        <v>5.4639071548773055</v>
      </c>
      <c r="X114" s="53">
        <f>W114+P114</f>
        <v>34.922088836506006</v>
      </c>
      <c r="Y114" s="55">
        <f>U114*V114</f>
        <v>0.45345528054318657</v>
      </c>
      <c r="Z114" s="55">
        <f>IF(VLOOKUP(41,table_CIA_JCTS,25,FALSE)+VLOOKUP(40,table_CIA_JCTS,24,FALSE)&lt;VLOOKUP(40,table_CIA_JCTS,28,FALSE),VLOOKUP(40,table_CIA_JCTS,28,FALSE),VLOOKUP(41,table_CIA_JCTS,25,FALSE)+VLOOKUP(40,table_CIA_JCTS,24,FALSE))</f>
        <v>405.21762003578084</v>
      </c>
      <c r="AA114" s="55">
        <v>409.79</v>
      </c>
      <c r="AB114" s="55">
        <f>(AA114-0.5)-Z114</f>
        <v>4.0723799642191807</v>
      </c>
      <c r="AC114" s="57">
        <v>404.1</v>
      </c>
      <c r="AD114" t="s">
        <v>10</v>
      </c>
    </row>
    <row r="115" spans="2:30" x14ac:dyDescent="0.2">
      <c r="B115" s="216" t="s">
        <v>10</v>
      </c>
      <c r="C115" s="215">
        <v>43</v>
      </c>
      <c r="D115" s="54">
        <f>VLOOKUP(C115,table_DI,2)</f>
        <v>5.47</v>
      </c>
      <c r="E115" s="54" t="s">
        <v>10</v>
      </c>
      <c r="F115" s="55">
        <f>VLOOKUP(C115,table_DI,5)</f>
        <v>0.46069469835466181</v>
      </c>
      <c r="G115" s="54">
        <f>VLOOKUP(C115,table_DI,3)</f>
        <v>2.29</v>
      </c>
      <c r="H115" s="54" t="s">
        <v>10</v>
      </c>
      <c r="I115" s="54">
        <f>VLOOKUP(C115,table_DI,4)</f>
        <v>2.52</v>
      </c>
      <c r="J115" s="54" t="s">
        <v>10</v>
      </c>
      <c r="K115" s="56">
        <f>VLOOKUP(C115,table_DI,9)</f>
        <v>3.1775018261504914E-3</v>
      </c>
      <c r="L115" s="53">
        <f>VLOOKUP(C115,table_DI,8)</f>
        <v>1369</v>
      </c>
      <c r="M115" s="55">
        <f>(0.84*(K115^0.5)*(cell_GUTDEP^0.6666)/cell_NRD)</f>
        <v>1.6598169099450863</v>
      </c>
      <c r="N115" s="53">
        <f>VLOOKUP(C115,table_DI,10)</f>
        <v>20</v>
      </c>
      <c r="O115" s="53">
        <f>(L115/(M115*60))</f>
        <v>13.746496092404273</v>
      </c>
      <c r="P115" s="53">
        <f>N115+O115</f>
        <v>33.746496092404271</v>
      </c>
      <c r="Q115" s="55">
        <f t="shared" si="6"/>
        <v>0.6118247226511313</v>
      </c>
      <c r="R115" s="54">
        <f>Q115*I115</f>
        <v>1.5417983010808509</v>
      </c>
      <c r="S115" s="53" t="s">
        <v>10</v>
      </c>
      <c r="T115" s="55" t="s">
        <v>10</v>
      </c>
      <c r="U115" s="56" t="s">
        <v>10</v>
      </c>
      <c r="V115" s="53" t="s">
        <v>10</v>
      </c>
      <c r="W115" s="53" t="s">
        <v>10</v>
      </c>
      <c r="X115" s="53" t="s">
        <v>10</v>
      </c>
      <c r="Y115" s="55" t="s">
        <v>10</v>
      </c>
      <c r="Z115" s="55" t="s">
        <v>10</v>
      </c>
      <c r="AA115" s="55" t="s">
        <v>10</v>
      </c>
      <c r="AB115" s="55" t="s">
        <v>10</v>
      </c>
      <c r="AC115" s="57" t="s">
        <v>10</v>
      </c>
      <c r="AD115" t="s">
        <v>10</v>
      </c>
    </row>
    <row r="116" spans="2:30" x14ac:dyDescent="0.2">
      <c r="B116" s="216" t="s">
        <v>10</v>
      </c>
      <c r="C116" s="215">
        <v>43.1</v>
      </c>
      <c r="D116" s="54">
        <f>VLOOKUP(C116,table_DI,2)</f>
        <v>1.21</v>
      </c>
      <c r="E116" s="54" t="s">
        <v>10</v>
      </c>
      <c r="F116" s="55">
        <f>VLOOKUP(C116,table_DI,5)</f>
        <v>0.60504132231404961</v>
      </c>
      <c r="G116" s="54">
        <f>VLOOKUP(C116,table_DI,3)</f>
        <v>0.66549999999999998</v>
      </c>
      <c r="H116" s="54" t="s">
        <v>10</v>
      </c>
      <c r="I116" s="54">
        <f>VLOOKUP(C116,table_DI,4)</f>
        <v>0.73209999999999997</v>
      </c>
      <c r="J116" s="54" t="s">
        <v>10</v>
      </c>
      <c r="K116" s="56">
        <f>VLOOKUP(C116,table_DI,9)</f>
        <v>3.4986225895317084E-3</v>
      </c>
      <c r="L116" s="53">
        <f>VLOOKUP(C116,table_DI,8)</f>
        <v>726</v>
      </c>
      <c r="M116" s="55">
        <f>(0.84*(K116^0.5)*(cell_GUTDEP^0.6666)/cell_NRD)</f>
        <v>1.7416698279437497</v>
      </c>
      <c r="N116" s="53">
        <f>VLOOKUP(C116,table_DI,10)</f>
        <v>20</v>
      </c>
      <c r="O116" s="53">
        <f>(L116/(M116*60))</f>
        <v>6.9473558109951883</v>
      </c>
      <c r="P116" s="53">
        <f>N116+O116</f>
        <v>26.947355810995187</v>
      </c>
      <c r="Q116" s="55">
        <f t="shared" si="6"/>
        <v>0.70439231345104025</v>
      </c>
      <c r="R116" s="54">
        <f>Q116*I116</f>
        <v>0.51568561267750657</v>
      </c>
      <c r="S116" s="53" t="s">
        <v>10</v>
      </c>
      <c r="T116" s="55" t="s">
        <v>10</v>
      </c>
      <c r="U116" s="56" t="s">
        <v>10</v>
      </c>
      <c r="V116" s="53" t="s">
        <v>10</v>
      </c>
      <c r="W116" s="53" t="s">
        <v>10</v>
      </c>
      <c r="X116" s="53" t="s">
        <v>10</v>
      </c>
      <c r="Y116" s="55" t="s">
        <v>10</v>
      </c>
      <c r="Z116" s="55" t="s">
        <v>10</v>
      </c>
      <c r="AA116" s="55" t="s">
        <v>10</v>
      </c>
      <c r="AB116" s="55" t="s">
        <v>10</v>
      </c>
      <c r="AC116" s="57" t="s">
        <v>10</v>
      </c>
      <c r="AD116" t="s">
        <v>10</v>
      </c>
    </row>
    <row r="117" spans="2:30" x14ac:dyDescent="0.2">
      <c r="B117" s="216">
        <v>41</v>
      </c>
      <c r="C117" s="217" t="s">
        <v>10</v>
      </c>
      <c r="D117" s="54" t="s">
        <v>10</v>
      </c>
      <c r="E117" s="54">
        <f>VLOOKUP(40,table_CIA_JCTS,4,FALSE)+VLOOKUP(43,table_CIA_INLETS,2,FALSE)+VLOOKUP(43.1,table_CIA_INLETS,2,FALSE)</f>
        <v>15.98</v>
      </c>
      <c r="F117" s="55" t="s">
        <v>10</v>
      </c>
      <c r="G117" s="54" t="s">
        <v>10</v>
      </c>
      <c r="H117" s="54">
        <f>VLOOKUP(40,table_CIA_JCTS,7,FALSE)+VLOOKUP(43,table_CIA_INLETS,5,FALSE)+VLOOKUP(43.1,table_CIA_INLETS,5,FALSE)</f>
        <v>6.8614999999999995</v>
      </c>
      <c r="I117" s="54" t="s">
        <v>10</v>
      </c>
      <c r="J117" s="54">
        <f>VLOOKUP(40,table_CIA_JCTS,9,FALSE)+VLOOKUP(43,table_CIA_INLETS,7,FALSE)+VLOOKUP(43.1,table_CIA_INLETS,7,FALSE)</f>
        <v>7.5486999999999993</v>
      </c>
      <c r="K117" s="56" t="s">
        <v>10</v>
      </c>
      <c r="L117" s="53" t="s">
        <v>10</v>
      </c>
      <c r="M117" s="55" t="s">
        <v>10</v>
      </c>
      <c r="N117" s="53" t="s">
        <v>10</v>
      </c>
      <c r="O117" s="53" t="s">
        <v>10</v>
      </c>
      <c r="P117" s="53">
        <f>VLOOKUP(40,table_CIA_JCTS,23,FALSE)</f>
        <v>34.922088836506006</v>
      </c>
      <c r="Q117" s="55">
        <f t="shared" si="6"/>
        <v>0.59884506135772586</v>
      </c>
      <c r="R117" s="54">
        <f>J117*Q117</f>
        <v>4.5205017146710649</v>
      </c>
      <c r="S117" s="53">
        <v>18</v>
      </c>
      <c r="T117" s="55">
        <f>(4*R117)/(3.14159*(S117/12)^2)</f>
        <v>2.558082847458949</v>
      </c>
      <c r="U117" s="56">
        <f>((R117/((0.463135/cell_NP)*((S117/12)^(8/3))))^2)*cell_FF</f>
        <v>2.1300472364110643E-3</v>
      </c>
      <c r="V117" s="53">
        <v>107</v>
      </c>
      <c r="W117" s="53">
        <f>V117/(T117*60)</f>
        <v>0.69713666041144562</v>
      </c>
      <c r="X117" s="53">
        <f>W117+P117</f>
        <v>35.619225496917451</v>
      </c>
      <c r="Y117" s="55">
        <f>U117*V117</f>
        <v>0.22791505429598388</v>
      </c>
      <c r="Z117" s="55">
        <f>IF(VLOOKUP(42,table_CIA_JCTS,25,FALSE)+VLOOKUP(41,table_CIA_JCTS,24,FALSE)&lt;VLOOKUP(41,table_CIA_JCTS,28,FALSE),VLOOKUP(41,table_CIA_JCTS,28,FALSE),VLOOKUP(42,table_CIA_JCTS,25,FALSE)+VLOOKUP(41,table_CIA_JCTS,24,FALSE))</f>
        <v>404.76416475523763</v>
      </c>
      <c r="AA117" s="55">
        <v>408.5</v>
      </c>
      <c r="AB117" s="55">
        <f>(AA117-0.5)-Z117</f>
        <v>3.2358352447623702</v>
      </c>
      <c r="AC117" s="57">
        <v>401.5</v>
      </c>
      <c r="AD117" t="s">
        <v>10</v>
      </c>
    </row>
    <row r="118" spans="2:30" x14ac:dyDescent="0.2">
      <c r="B118" s="216">
        <v>42</v>
      </c>
      <c r="C118" s="217" t="s">
        <v>10</v>
      </c>
      <c r="D118" s="54" t="s">
        <v>10</v>
      </c>
      <c r="E118" s="54">
        <f>VLOOKUP(39,table_CIA_JCTS,4,FALSE)+VLOOKUP(41,table_CIA_JCTS,4,FALSE)</f>
        <v>221.07</v>
      </c>
      <c r="F118" s="55" t="s">
        <v>10</v>
      </c>
      <c r="G118" s="54" t="s">
        <v>10</v>
      </c>
      <c r="H118" s="54">
        <f>VLOOKUP(39,table_CIA_JCTS,7,FALSE)+VLOOKUP(41,table_CIA_JCTS,7,FALSE)</f>
        <v>97.774299999999982</v>
      </c>
      <c r="I118" s="54" t="s">
        <v>10</v>
      </c>
      <c r="J118" s="54">
        <f>VLOOKUP(39,table_CIA_JCTS,9,FALSE)+VLOOKUP(41,table_CIA_JCTS,9,FALSE)</f>
        <v>105.78228</v>
      </c>
      <c r="K118" s="56" t="s">
        <v>10</v>
      </c>
      <c r="L118" s="53" t="s">
        <v>10</v>
      </c>
      <c r="M118" s="55" t="s">
        <v>10</v>
      </c>
      <c r="N118" s="53" t="s">
        <v>10</v>
      </c>
      <c r="O118" s="53" t="s">
        <v>10</v>
      </c>
      <c r="P118" s="53">
        <f>VLOOKUP(39,table_CIA_JCTS,23,FALSE)</f>
        <v>66.528676378434071</v>
      </c>
      <c r="Q118" s="55">
        <f t="shared" si="6"/>
        <v>0.39997759340837857</v>
      </c>
      <c r="R118" s="54">
        <f>J118*Q118</f>
        <v>42.31054177965126</v>
      </c>
      <c r="S118" s="53">
        <v>42</v>
      </c>
      <c r="T118" s="55">
        <f>(4*R118)/(3.14159*(S118/12)^2)</f>
        <v>4.3976735066392694</v>
      </c>
      <c r="U118" s="56">
        <f>((R118/((0.463135/cell_NP)*((S118/12)^(8/3))))^2)*cell_FF</f>
        <v>2.0340905207033846E-3</v>
      </c>
      <c r="V118" s="53">
        <v>770</v>
      </c>
      <c r="W118" s="53">
        <f>V118/(T118*60)</f>
        <v>2.9182096656240062</v>
      </c>
      <c r="X118" s="53">
        <f>W118+P118</f>
        <v>69.446886044058076</v>
      </c>
      <c r="Y118" s="55">
        <f>U118*V118</f>
        <v>1.5662497009416061</v>
      </c>
      <c r="Z118" s="55">
        <f>IF(VLOOKUP(51,table_CIA_JCTS,25,FALSE)+VLOOKUP(42,table_CIA_JCTS,24,FALSE)&lt;VLOOKUP(42,table_CIA_JCTS,28,FALSE),VLOOKUP(42,table_CIA_JCTS,28,FALSE),VLOOKUP(51,table_CIA_JCTS,25,FALSE)+VLOOKUP(42,table_CIA_JCTS,24,FALSE))</f>
        <v>404.53624970094165</v>
      </c>
      <c r="AA118" s="55">
        <v>409.19</v>
      </c>
      <c r="AB118" s="55">
        <f>(AA118-0.5)-Z118</f>
        <v>4.1537502990583448</v>
      </c>
      <c r="AC118" s="57">
        <v>403.67</v>
      </c>
      <c r="AD118" t="s">
        <v>10</v>
      </c>
    </row>
    <row r="119" spans="2:30" x14ac:dyDescent="0.2">
      <c r="B119" s="216" t="s">
        <v>10</v>
      </c>
      <c r="C119" s="217" t="s">
        <v>10</v>
      </c>
      <c r="D119" s="54" t="s">
        <v>10</v>
      </c>
      <c r="E119" s="54" t="s">
        <v>10</v>
      </c>
      <c r="F119" s="55" t="s">
        <v>10</v>
      </c>
      <c r="G119" s="54" t="s">
        <v>10</v>
      </c>
      <c r="H119" s="54" t="s">
        <v>10</v>
      </c>
      <c r="I119" s="54" t="s">
        <v>10</v>
      </c>
      <c r="J119" s="54" t="s">
        <v>10</v>
      </c>
      <c r="K119" s="56" t="s">
        <v>10</v>
      </c>
      <c r="L119" s="53" t="s">
        <v>10</v>
      </c>
      <c r="M119" s="55" t="s">
        <v>10</v>
      </c>
      <c r="N119" s="53" t="s">
        <v>10</v>
      </c>
      <c r="O119" s="53" t="s">
        <v>10</v>
      </c>
      <c r="P119" s="53" t="s">
        <v>10</v>
      </c>
      <c r="Q119" s="55" t="s">
        <v>10</v>
      </c>
      <c r="R119" s="54" t="s">
        <v>10</v>
      </c>
      <c r="S119" s="53" t="s">
        <v>10</v>
      </c>
      <c r="T119" s="55" t="s">
        <v>10</v>
      </c>
      <c r="U119" s="56" t="s">
        <v>10</v>
      </c>
      <c r="V119" s="53" t="s">
        <v>10</v>
      </c>
      <c r="W119" s="53" t="s">
        <v>10</v>
      </c>
      <c r="X119" s="53" t="s">
        <v>10</v>
      </c>
      <c r="Y119" s="55" t="s">
        <v>10</v>
      </c>
      <c r="Z119" s="55" t="s">
        <v>10</v>
      </c>
      <c r="AA119" s="55" t="s">
        <v>10</v>
      </c>
      <c r="AB119" s="55" t="s">
        <v>10</v>
      </c>
      <c r="AC119" s="57" t="s">
        <v>10</v>
      </c>
      <c r="AD119" t="s">
        <v>10</v>
      </c>
    </row>
    <row r="120" spans="2:30" x14ac:dyDescent="0.2">
      <c r="B120" s="216" t="s">
        <v>10</v>
      </c>
      <c r="C120" s="215">
        <v>44</v>
      </c>
      <c r="D120" s="54">
        <f>VLOOKUP(C120,table_DI,2)</f>
        <v>10.09</v>
      </c>
      <c r="E120" s="54" t="s">
        <v>10</v>
      </c>
      <c r="F120" s="55">
        <f>VLOOKUP(C120,table_DI,5)</f>
        <v>0.35183349851337958</v>
      </c>
      <c r="G120" s="54">
        <f>VLOOKUP(C120,table_DI,3)</f>
        <v>3.23</v>
      </c>
      <c r="H120" s="54" t="s">
        <v>10</v>
      </c>
      <c r="I120" s="54">
        <f>VLOOKUP(C120,table_DI,4)</f>
        <v>3.55</v>
      </c>
      <c r="J120" s="54" t="s">
        <v>10</v>
      </c>
      <c r="K120" s="56">
        <f>VLOOKUP(C120,table_DI,9)</f>
        <v>3.0334394904458616E-3</v>
      </c>
      <c r="L120" s="53">
        <f>VLOOKUP(C120,table_DI,8)</f>
        <v>1256</v>
      </c>
      <c r="M120" s="55">
        <f>(0.84*(K120^0.5)*(cell_GUTDEP^0.6666)/cell_NRD)</f>
        <v>1.6217538907610094</v>
      </c>
      <c r="N120" s="53">
        <f>VLOOKUP(C120,table_DI,10)</f>
        <v>25</v>
      </c>
      <c r="O120" s="53">
        <f>(L120/(M120*60))</f>
        <v>12.907836048730148</v>
      </c>
      <c r="P120" s="53">
        <f>N120+O120</f>
        <v>37.907836048730147</v>
      </c>
      <c r="Q120" s="55">
        <f t="shared" ref="Q120:Q127" si="7">cell_P*(P120^cell_E)</f>
        <v>0.56885781619163678</v>
      </c>
      <c r="R120" s="54">
        <f>Q120*I120</f>
        <v>2.0194452474803106</v>
      </c>
      <c r="S120" s="53" t="s">
        <v>10</v>
      </c>
      <c r="T120" s="55" t="s">
        <v>10</v>
      </c>
      <c r="U120" s="56" t="s">
        <v>10</v>
      </c>
      <c r="V120" s="53" t="s">
        <v>10</v>
      </c>
      <c r="W120" s="53" t="s">
        <v>10</v>
      </c>
      <c r="X120" s="53" t="s">
        <v>10</v>
      </c>
      <c r="Y120" s="55" t="s">
        <v>10</v>
      </c>
      <c r="Z120" s="55" t="s">
        <v>10</v>
      </c>
      <c r="AA120" s="55" t="s">
        <v>10</v>
      </c>
      <c r="AB120" s="55" t="s">
        <v>10</v>
      </c>
      <c r="AC120" s="57" t="s">
        <v>10</v>
      </c>
      <c r="AD120" t="s">
        <v>10</v>
      </c>
    </row>
    <row r="121" spans="2:30" x14ac:dyDescent="0.2">
      <c r="B121" s="216">
        <v>43</v>
      </c>
      <c r="C121" s="217" t="s">
        <v>10</v>
      </c>
      <c r="D121" s="54" t="s">
        <v>10</v>
      </c>
      <c r="E121" s="54">
        <f>VLOOKUP(44,table_CIA_INLETS,2,FALSE)</f>
        <v>10.09</v>
      </c>
      <c r="F121" s="55" t="s">
        <v>10</v>
      </c>
      <c r="G121" s="54" t="s">
        <v>10</v>
      </c>
      <c r="H121" s="54">
        <f>VLOOKUP(44,table_CIA_INLETS,5,FALSE)</f>
        <v>3.23</v>
      </c>
      <c r="I121" s="54" t="s">
        <v>10</v>
      </c>
      <c r="J121" s="54">
        <f>VLOOKUP(44,table_CIA_INLETS,7,FALSE)</f>
        <v>3.55</v>
      </c>
      <c r="K121" s="56" t="s">
        <v>10</v>
      </c>
      <c r="L121" s="53" t="s">
        <v>10</v>
      </c>
      <c r="M121" s="55" t="s">
        <v>10</v>
      </c>
      <c r="N121" s="53" t="s">
        <v>10</v>
      </c>
      <c r="O121" s="53" t="s">
        <v>10</v>
      </c>
      <c r="P121" s="53">
        <f>VLOOKUP(44,table_CIA_INLETS,14,FALSE)</f>
        <v>37.907836048730147</v>
      </c>
      <c r="Q121" s="55">
        <f t="shared" si="7"/>
        <v>0.56885781619163678</v>
      </c>
      <c r="R121" s="54">
        <f>J121*Q121</f>
        <v>2.0194452474803106</v>
      </c>
      <c r="S121" s="53">
        <v>18</v>
      </c>
      <c r="T121" s="55">
        <f>(4*R121)/(3.14159*(S121/12)^2)</f>
        <v>1.142773208601199</v>
      </c>
      <c r="U121" s="56">
        <f>((R121/((0.463135/cell_NP)*((S121/12)^(8/3))))^2)*cell_FF</f>
        <v>4.2508925117268342E-4</v>
      </c>
      <c r="V121" s="53">
        <v>476</v>
      </c>
      <c r="W121" s="53">
        <f>V121/(T121*60)</f>
        <v>6.9421765172846994</v>
      </c>
      <c r="X121" s="53">
        <f>W121+P121</f>
        <v>44.850012566014847</v>
      </c>
      <c r="Y121" s="55">
        <f>U121*V121</f>
        <v>0.20234248355819731</v>
      </c>
      <c r="Z121" s="55">
        <f>IF(VLOOKUP(44,table_CIA_JCTS,25,FALSE)+VLOOKUP(43,table_CIA_JCTS,24,FALSE)&lt;VLOOKUP(43,table_CIA_JCTS,28,FALSE),VLOOKUP(43,table_CIA_JCTS,28,FALSE),VLOOKUP(44,table_CIA_JCTS,25,FALSE)+VLOOKUP(43,table_CIA_JCTS,24,FALSE))</f>
        <v>409.76</v>
      </c>
      <c r="AA121" s="55">
        <v>414.99</v>
      </c>
      <c r="AB121" s="55">
        <f>(AA121-0.5)-Z121</f>
        <v>4.7300000000000182</v>
      </c>
      <c r="AC121" s="57">
        <v>409.76</v>
      </c>
      <c r="AD121" t="s">
        <v>10</v>
      </c>
    </row>
    <row r="122" spans="2:30" x14ac:dyDescent="0.2">
      <c r="B122" s="216" t="s">
        <v>10</v>
      </c>
      <c r="C122" s="215">
        <v>45</v>
      </c>
      <c r="D122" s="54">
        <f>VLOOKUP(C122,table_DI,2)</f>
        <v>8.2200000000000006</v>
      </c>
      <c r="E122" s="54" t="s">
        <v>10</v>
      </c>
      <c r="F122" s="55">
        <f>VLOOKUP(C122,table_DI,5)</f>
        <v>0.3515815085158151</v>
      </c>
      <c r="G122" s="54">
        <f>VLOOKUP(C122,table_DI,3)</f>
        <v>2.63</v>
      </c>
      <c r="H122" s="54" t="s">
        <v>10</v>
      </c>
      <c r="I122" s="54">
        <f>VLOOKUP(C122,table_DI,4)</f>
        <v>2.89</v>
      </c>
      <c r="J122" s="54" t="s">
        <v>10</v>
      </c>
      <c r="K122" s="56">
        <f>VLOOKUP(C122,table_DI,9)</f>
        <v>2.7169811320754676E-3</v>
      </c>
      <c r="L122" s="53">
        <f>VLOOKUP(C122,table_DI,8)</f>
        <v>1060</v>
      </c>
      <c r="M122" s="55">
        <f>(0.84*(K122^0.5)*(cell_GUTDEP^0.6666)/cell_NRD)</f>
        <v>1.5348311034911832</v>
      </c>
      <c r="N122" s="53">
        <f>VLOOKUP(C122,table_DI,10)</f>
        <v>25</v>
      </c>
      <c r="O122" s="53">
        <f>(L122/(M122*60))</f>
        <v>11.510495602077269</v>
      </c>
      <c r="P122" s="53">
        <f>N122+O122</f>
        <v>36.51049560207727</v>
      </c>
      <c r="Q122" s="55">
        <f t="shared" si="7"/>
        <v>0.58239527671442426</v>
      </c>
      <c r="R122" s="54">
        <f>Q122*I122</f>
        <v>1.6831223497046861</v>
      </c>
      <c r="S122" s="53" t="s">
        <v>10</v>
      </c>
      <c r="T122" s="55" t="s">
        <v>10</v>
      </c>
      <c r="U122" s="56" t="s">
        <v>10</v>
      </c>
      <c r="V122" s="53" t="s">
        <v>10</v>
      </c>
      <c r="W122" s="53" t="s">
        <v>10</v>
      </c>
      <c r="X122" s="53" t="s">
        <v>10</v>
      </c>
      <c r="Y122" s="55" t="s">
        <v>10</v>
      </c>
      <c r="Z122" s="55" t="s">
        <v>10</v>
      </c>
      <c r="AA122" s="55" t="s">
        <v>10</v>
      </c>
      <c r="AB122" s="55" t="s">
        <v>10</v>
      </c>
      <c r="AC122" s="57" t="s">
        <v>10</v>
      </c>
      <c r="AD122" t="s">
        <v>10</v>
      </c>
    </row>
    <row r="123" spans="2:30" x14ac:dyDescent="0.2">
      <c r="B123" s="216">
        <v>44</v>
      </c>
      <c r="C123" s="217" t="s">
        <v>10</v>
      </c>
      <c r="D123" s="54" t="s">
        <v>10</v>
      </c>
      <c r="E123" s="54">
        <f>VLOOKUP(43,table_CIA_JCTS,4,FALSE)+VLOOKUP(45,table_CIA_INLETS,2,FALSE)</f>
        <v>18.310000000000002</v>
      </c>
      <c r="F123" s="55" t="s">
        <v>10</v>
      </c>
      <c r="G123" s="54" t="s">
        <v>10</v>
      </c>
      <c r="H123" s="54">
        <f>VLOOKUP(43,table_CIA_JCTS,7,FALSE)+VLOOKUP(45,table_CIA_INLETS,5,FALSE)</f>
        <v>5.8599999999999994</v>
      </c>
      <c r="I123" s="54" t="s">
        <v>10</v>
      </c>
      <c r="J123" s="54">
        <f>VLOOKUP(43,table_CIA_JCTS,9,FALSE)+VLOOKUP(45,table_CIA_INLETS,7,FALSE)</f>
        <v>6.4399999999999995</v>
      </c>
      <c r="K123" s="56" t="s">
        <v>10</v>
      </c>
      <c r="L123" s="53" t="s">
        <v>10</v>
      </c>
      <c r="M123" s="55" t="s">
        <v>10</v>
      </c>
      <c r="N123" s="53" t="s">
        <v>10</v>
      </c>
      <c r="O123" s="53" t="s">
        <v>10</v>
      </c>
      <c r="P123" s="53">
        <f>VLOOKUP(43,table_CIA_JCTS,23,FALSE)</f>
        <v>44.850012566014847</v>
      </c>
      <c r="Q123" s="55">
        <f t="shared" si="7"/>
        <v>0.51200016956143746</v>
      </c>
      <c r="R123" s="54">
        <f>J123*Q123</f>
        <v>3.2972810919756568</v>
      </c>
      <c r="S123" s="53">
        <v>18</v>
      </c>
      <c r="T123" s="55">
        <f>(4*R123)/(3.14159*(S123/12)^2)</f>
        <v>1.8658809877804448</v>
      </c>
      <c r="U123" s="56">
        <f>((R123/((0.463135/cell_NP)*((S123/12)^(8/3))))^2)*cell_FF</f>
        <v>1.1332556742439013E-3</v>
      </c>
      <c r="V123" s="53">
        <v>455</v>
      </c>
      <c r="W123" s="53">
        <f>V123/(T123*60)</f>
        <v>4.0642106238265887</v>
      </c>
      <c r="X123" s="53">
        <f>W123+P123</f>
        <v>48.914223189841437</v>
      </c>
      <c r="Y123" s="55">
        <f>U123*V123</f>
        <v>0.51563133178097509</v>
      </c>
      <c r="Z123" s="55">
        <f>IF(VLOOKUP(45,table_CIA_JCTS,25,FALSE)+VLOOKUP(44,table_CIA_JCTS,24,FALSE)&lt;VLOOKUP(44,table_CIA_JCTS,28,FALSE),VLOOKUP(44,table_CIA_JCTS,28,FALSE),VLOOKUP(45,table_CIA_JCTS,25,FALSE)+VLOOKUP(44,table_CIA_JCTS,24,FALSE))</f>
        <v>407.62</v>
      </c>
      <c r="AA123" s="55">
        <v>413.02</v>
      </c>
      <c r="AB123" s="55">
        <f>(AA123-0.5)-Z123</f>
        <v>4.8999999999999773</v>
      </c>
      <c r="AC123" s="57">
        <v>407.62</v>
      </c>
      <c r="AD123" t="s">
        <v>10</v>
      </c>
    </row>
    <row r="124" spans="2:30" x14ac:dyDescent="0.2">
      <c r="B124" s="216" t="s">
        <v>10</v>
      </c>
      <c r="C124" s="215">
        <v>46</v>
      </c>
      <c r="D124" s="54">
        <f>VLOOKUP(C124,table_DI,2)</f>
        <v>8.8699999999999992</v>
      </c>
      <c r="E124" s="54" t="s">
        <v>10</v>
      </c>
      <c r="F124" s="55">
        <f>VLOOKUP(C124,table_DI,5)</f>
        <v>0.3517474633596393</v>
      </c>
      <c r="G124" s="54">
        <f>VLOOKUP(C124,table_DI,3)</f>
        <v>2.84</v>
      </c>
      <c r="H124" s="54" t="s">
        <v>10</v>
      </c>
      <c r="I124" s="54">
        <f>VLOOKUP(C124,table_DI,4)</f>
        <v>3.12</v>
      </c>
      <c r="J124" s="54" t="s">
        <v>10</v>
      </c>
      <c r="K124" s="56">
        <f>VLOOKUP(C124,table_DI,9)</f>
        <v>2.8651685393258556E-3</v>
      </c>
      <c r="L124" s="53">
        <f>VLOOKUP(C124,table_DI,8)</f>
        <v>1780</v>
      </c>
      <c r="M124" s="55">
        <f>(0.84*(K124^0.5)*(cell_GUTDEP^0.6666)/cell_NRD)</f>
        <v>1.5761312042335167</v>
      </c>
      <c r="N124" s="53">
        <f>VLOOKUP(C124,table_DI,10)</f>
        <v>25</v>
      </c>
      <c r="O124" s="53">
        <f>(L124/(M124*60))</f>
        <v>18.822460076281381</v>
      </c>
      <c r="P124" s="53">
        <f>N124+O124</f>
        <v>43.822460076281381</v>
      </c>
      <c r="Q124" s="55">
        <f t="shared" si="7"/>
        <v>0.51948536630705788</v>
      </c>
      <c r="R124" s="54">
        <f>Q124*I124</f>
        <v>1.6207943428780207</v>
      </c>
      <c r="S124" s="53" t="s">
        <v>10</v>
      </c>
      <c r="T124" s="55" t="s">
        <v>10</v>
      </c>
      <c r="U124" s="56" t="s">
        <v>10</v>
      </c>
      <c r="V124" s="53" t="s">
        <v>10</v>
      </c>
      <c r="W124" s="53" t="s">
        <v>10</v>
      </c>
      <c r="X124" s="53" t="s">
        <v>10</v>
      </c>
      <c r="Y124" s="55" t="s">
        <v>10</v>
      </c>
      <c r="Z124" s="55" t="s">
        <v>10</v>
      </c>
      <c r="AA124" s="55" t="s">
        <v>10</v>
      </c>
      <c r="AB124" s="55" t="s">
        <v>10</v>
      </c>
      <c r="AC124" s="57" t="s">
        <v>10</v>
      </c>
      <c r="AD124" t="s">
        <v>10</v>
      </c>
    </row>
    <row r="125" spans="2:30" x14ac:dyDescent="0.2">
      <c r="B125" s="216">
        <v>45</v>
      </c>
      <c r="C125" s="217" t="s">
        <v>10</v>
      </c>
      <c r="D125" s="54" t="s">
        <v>10</v>
      </c>
      <c r="E125" s="54">
        <f>VLOOKUP(44,table_CIA_JCTS,4,FALSE)+VLOOKUP(46,table_CIA_INLETS,2,FALSE)</f>
        <v>27.18</v>
      </c>
      <c r="F125" s="55" t="s">
        <v>10</v>
      </c>
      <c r="G125" s="54" t="s">
        <v>10</v>
      </c>
      <c r="H125" s="54">
        <f>VLOOKUP(44,table_CIA_JCTS,7,FALSE)+VLOOKUP(46,table_CIA_INLETS,5,FALSE)</f>
        <v>8.6999999999999993</v>
      </c>
      <c r="I125" s="54" t="s">
        <v>10</v>
      </c>
      <c r="J125" s="54">
        <f>VLOOKUP(44,table_CIA_JCTS,9,FALSE)+VLOOKUP(46,table_CIA_INLETS,7,FALSE)</f>
        <v>9.5599999999999987</v>
      </c>
      <c r="K125" s="56" t="s">
        <v>10</v>
      </c>
      <c r="L125" s="53" t="s">
        <v>10</v>
      </c>
      <c r="M125" s="55" t="s">
        <v>10</v>
      </c>
      <c r="N125" s="53" t="s">
        <v>10</v>
      </c>
      <c r="O125" s="53" t="s">
        <v>10</v>
      </c>
      <c r="P125" s="53">
        <f>VLOOKUP(44,table_CIA_JCTS,23,FALSE)</f>
        <v>48.914223189841437</v>
      </c>
      <c r="Q125" s="55">
        <f t="shared" si="7"/>
        <v>0.48493053085090893</v>
      </c>
      <c r="R125" s="54">
        <f>J125*Q125</f>
        <v>4.6359358749346891</v>
      </c>
      <c r="S125" s="53">
        <v>18</v>
      </c>
      <c r="T125" s="55">
        <f>(4*R125)/(3.14159*(S125/12)^2)</f>
        <v>2.6234052749281953</v>
      </c>
      <c r="U125" s="56">
        <f>((R125/((0.463135/cell_NP)*((S125/12)^(8/3))))^2)*cell_FF</f>
        <v>2.2402206600917948E-3</v>
      </c>
      <c r="V125" s="53">
        <v>50</v>
      </c>
      <c r="W125" s="53">
        <f>V125/(T125*60)</f>
        <v>0.31765329638446438</v>
      </c>
      <c r="X125" s="53">
        <f>W125+P125</f>
        <v>49.2318764862259</v>
      </c>
      <c r="Y125" s="55">
        <f>U125*V125</f>
        <v>0.11201103300458974</v>
      </c>
      <c r="Z125" s="55">
        <f>IF(VLOOKUP(46,table_CIA_JCTS,25,FALSE)+VLOOKUP(45,table_CIA_JCTS,24,FALSE)&lt;VLOOKUP(45,table_CIA_JCTS,28,FALSE),VLOOKUP(45,table_CIA_JCTS,28,FALSE),VLOOKUP(46,table_CIA_JCTS,25,FALSE)+VLOOKUP(45,table_CIA_JCTS,24,FALSE))</f>
        <v>406.52</v>
      </c>
      <c r="AA125" s="55">
        <v>410.4</v>
      </c>
      <c r="AB125" s="55">
        <f>(AA125-0.5)-Z125</f>
        <v>3.3799999999999955</v>
      </c>
      <c r="AC125" s="57">
        <v>406.52</v>
      </c>
      <c r="AD125" t="s">
        <v>10</v>
      </c>
    </row>
    <row r="126" spans="2:30" x14ac:dyDescent="0.2">
      <c r="B126" s="216" t="s">
        <v>10</v>
      </c>
      <c r="C126" s="215">
        <v>47</v>
      </c>
      <c r="D126" s="54">
        <f>VLOOKUP(C126,table_DI,2)</f>
        <v>1.74</v>
      </c>
      <c r="E126" s="54" t="s">
        <v>10</v>
      </c>
      <c r="F126" s="55">
        <f>VLOOKUP(C126,table_DI,5)</f>
        <v>0.35057471264367818</v>
      </c>
      <c r="G126" s="54">
        <f>VLOOKUP(C126,table_DI,3)</f>
        <v>0.55679999999999996</v>
      </c>
      <c r="H126" s="54" t="s">
        <v>10</v>
      </c>
      <c r="I126" s="54">
        <f>VLOOKUP(C126,table_DI,4)</f>
        <v>0.61</v>
      </c>
      <c r="J126" s="54" t="s">
        <v>10</v>
      </c>
      <c r="K126" s="56">
        <f>VLOOKUP(C126,table_DI,9)</f>
        <v>8.0354267310789197E-3</v>
      </c>
      <c r="L126" s="53">
        <f>VLOOKUP(C126,table_DI,8)</f>
        <v>621</v>
      </c>
      <c r="M126" s="55">
        <f>(0.84*(K126^0.5)*(cell_GUTDEP^0.6666)/cell_NRD)</f>
        <v>2.6395005273696479</v>
      </c>
      <c r="N126" s="53">
        <f>VLOOKUP(C126,table_DI,10)</f>
        <v>25</v>
      </c>
      <c r="O126" s="53">
        <f>(L126/(M126*60))</f>
        <v>3.9211964129873191</v>
      </c>
      <c r="P126" s="53">
        <f>N126+O126</f>
        <v>28.921196412987321</v>
      </c>
      <c r="Q126" s="55">
        <f t="shared" si="7"/>
        <v>0.67389185411487784</v>
      </c>
      <c r="R126" s="54">
        <f>Q126*I126</f>
        <v>0.41107403101007545</v>
      </c>
      <c r="S126" s="53" t="s">
        <v>10</v>
      </c>
      <c r="T126" s="55" t="s">
        <v>10</v>
      </c>
      <c r="U126" s="56" t="s">
        <v>10</v>
      </c>
      <c r="V126" s="53" t="s">
        <v>10</v>
      </c>
      <c r="W126" s="53" t="s">
        <v>10</v>
      </c>
      <c r="X126" s="53" t="s">
        <v>10</v>
      </c>
      <c r="Y126" s="55" t="s">
        <v>10</v>
      </c>
      <c r="Z126" s="55" t="s">
        <v>10</v>
      </c>
      <c r="AA126" s="55" t="s">
        <v>10</v>
      </c>
      <c r="AB126" s="55" t="s">
        <v>10</v>
      </c>
      <c r="AC126" s="57" t="s">
        <v>10</v>
      </c>
      <c r="AD126" t="s">
        <v>10</v>
      </c>
    </row>
    <row r="127" spans="2:30" x14ac:dyDescent="0.2">
      <c r="B127" s="216">
        <v>46</v>
      </c>
      <c r="C127" s="217" t="s">
        <v>10</v>
      </c>
      <c r="D127" s="54" t="s">
        <v>10</v>
      </c>
      <c r="E127" s="54">
        <f>VLOOKUP(45,table_CIA_JCTS,4,FALSE)+VLOOKUP(47,table_CIA_INLETS,2,FALSE)</f>
        <v>28.919999999999998</v>
      </c>
      <c r="F127" s="55" t="s">
        <v>10</v>
      </c>
      <c r="G127" s="54" t="s">
        <v>10</v>
      </c>
      <c r="H127" s="54">
        <f>VLOOKUP(45,table_CIA_JCTS,7,FALSE)+VLOOKUP(47,table_CIA_INLETS,5,FALSE)</f>
        <v>9.2567999999999984</v>
      </c>
      <c r="I127" s="54" t="s">
        <v>10</v>
      </c>
      <c r="J127" s="54">
        <f>VLOOKUP(45,table_CIA_JCTS,9,FALSE)+VLOOKUP(47,table_CIA_INLETS,7,FALSE)</f>
        <v>10.169999999999998</v>
      </c>
      <c r="K127" s="56" t="s">
        <v>10</v>
      </c>
      <c r="L127" s="53" t="s">
        <v>10</v>
      </c>
      <c r="M127" s="55" t="s">
        <v>10</v>
      </c>
      <c r="N127" s="53" t="s">
        <v>10</v>
      </c>
      <c r="O127" s="53" t="s">
        <v>10</v>
      </c>
      <c r="P127" s="53">
        <f>VLOOKUP(45,table_CIA_JCTS,23,FALSE)</f>
        <v>49.2318764862259</v>
      </c>
      <c r="Q127" s="55">
        <f t="shared" si="7"/>
        <v>0.48296886728508159</v>
      </c>
      <c r="R127" s="54">
        <f>J127*Q127</f>
        <v>4.9117933802892786</v>
      </c>
      <c r="S127" s="53">
        <v>18</v>
      </c>
      <c r="T127" s="55">
        <f>(4*R127)/(3.14159*(S127/12)^2)</f>
        <v>2.7795088221296456</v>
      </c>
      <c r="U127" s="56">
        <f>((R127/((0.463135/cell_NP)*((S127/12)^(8/3))))^2)*cell_FF</f>
        <v>2.5147576436569475E-3</v>
      </c>
      <c r="V127" s="53">
        <v>750</v>
      </c>
      <c r="W127" s="53">
        <f>V127/(T127*60)</f>
        <v>4.4971974546288944</v>
      </c>
      <c r="X127" s="53">
        <f>W127+P127</f>
        <v>53.729073940854796</v>
      </c>
      <c r="Y127" s="55">
        <f>U127*V127</f>
        <v>1.8860682327427105</v>
      </c>
      <c r="Z127" s="55">
        <f>IF(VLOOKUP(48,table_CIA_JCTS,25,FALSE)+VLOOKUP(46,table_CIA_JCTS,24,FALSE)&lt;VLOOKUP(46,table_CIA_JCTS,28,FALSE),VLOOKUP(46,table_CIA_JCTS,28,FALSE),VLOOKUP(48,table_CIA_JCTS,25,FALSE)+VLOOKUP(46,table_CIA_JCTS,24,FALSE))</f>
        <v>406.15</v>
      </c>
      <c r="AA127" s="55">
        <v>410.63</v>
      </c>
      <c r="AB127" s="55">
        <f>(AA127-0.5)-Z127</f>
        <v>3.9800000000000182</v>
      </c>
      <c r="AC127" s="57">
        <v>406.15</v>
      </c>
      <c r="AD127" t="s">
        <v>10</v>
      </c>
    </row>
    <row r="128" spans="2:30" x14ac:dyDescent="0.2">
      <c r="B128" s="216" t="s">
        <v>10</v>
      </c>
      <c r="C128" s="217" t="s">
        <v>10</v>
      </c>
      <c r="D128" s="54" t="s">
        <v>10</v>
      </c>
      <c r="E128" s="54" t="s">
        <v>10</v>
      </c>
      <c r="F128" s="55" t="s">
        <v>10</v>
      </c>
      <c r="G128" s="54" t="s">
        <v>10</v>
      </c>
      <c r="H128" s="54" t="s">
        <v>10</v>
      </c>
      <c r="I128" s="54" t="s">
        <v>10</v>
      </c>
      <c r="J128" s="54" t="s">
        <v>10</v>
      </c>
      <c r="K128" s="56" t="s">
        <v>10</v>
      </c>
      <c r="L128" s="53" t="s">
        <v>10</v>
      </c>
      <c r="M128" s="55" t="s">
        <v>10</v>
      </c>
      <c r="N128" s="53" t="s">
        <v>10</v>
      </c>
      <c r="O128" s="53" t="s">
        <v>10</v>
      </c>
      <c r="P128" s="53" t="s">
        <v>10</v>
      </c>
      <c r="Q128" s="55" t="s">
        <v>10</v>
      </c>
      <c r="R128" s="54" t="s">
        <v>10</v>
      </c>
      <c r="S128" s="53" t="s">
        <v>10</v>
      </c>
      <c r="T128" s="55" t="s">
        <v>10</v>
      </c>
      <c r="U128" s="56" t="s">
        <v>10</v>
      </c>
      <c r="V128" s="53" t="s">
        <v>10</v>
      </c>
      <c r="W128" s="53" t="s">
        <v>10</v>
      </c>
      <c r="X128" s="53" t="s">
        <v>10</v>
      </c>
      <c r="Y128" s="55" t="s">
        <v>10</v>
      </c>
      <c r="Z128" s="55" t="s">
        <v>10</v>
      </c>
      <c r="AA128" s="55" t="s">
        <v>10</v>
      </c>
      <c r="AB128" s="55" t="s">
        <v>10</v>
      </c>
      <c r="AC128" s="57" t="s">
        <v>10</v>
      </c>
      <c r="AD128" t="s">
        <v>10</v>
      </c>
    </row>
    <row r="129" spans="2:30" x14ac:dyDescent="0.2">
      <c r="B129" s="216" t="s">
        <v>10</v>
      </c>
      <c r="C129" s="215">
        <v>48</v>
      </c>
      <c r="D129" s="54">
        <f>VLOOKUP(C129,table_DI,2)</f>
        <v>13.21</v>
      </c>
      <c r="E129" s="54" t="s">
        <v>10</v>
      </c>
      <c r="F129" s="55">
        <f>VLOOKUP(C129,table_DI,5)</f>
        <v>0.4617713853141559</v>
      </c>
      <c r="G129" s="54">
        <f>VLOOKUP(C129,table_DI,3)</f>
        <v>5.55</v>
      </c>
      <c r="H129" s="54" t="s">
        <v>10</v>
      </c>
      <c r="I129" s="54">
        <f>VLOOKUP(C129,table_DI,4)</f>
        <v>6.1</v>
      </c>
      <c r="J129" s="54" t="s">
        <v>10</v>
      </c>
      <c r="K129" s="56">
        <f>VLOOKUP(C129,table_DI,9)</f>
        <v>3.709810387469085E-3</v>
      </c>
      <c r="L129" s="53">
        <f>VLOOKUP(C129,table_DI,8)</f>
        <v>1213</v>
      </c>
      <c r="M129" s="55">
        <f>(0.84*(K129^0.5)*(cell_GUTDEP^0.6666)/cell_NRD)</f>
        <v>1.7934659544767864</v>
      </c>
      <c r="N129" s="53">
        <f>VLOOKUP(C129,table_DI,10)</f>
        <v>5</v>
      </c>
      <c r="O129" s="53">
        <f>(L129/(M129*60))</f>
        <v>11.272400580675946</v>
      </c>
      <c r="P129" s="53">
        <f>N129+O129</f>
        <v>16.272400580675946</v>
      </c>
      <c r="Q129" s="55">
        <f t="shared" ref="Q129:Q134" si="8">cell_P*(P129^cell_E)</f>
        <v>0.96603490078794341</v>
      </c>
      <c r="R129" s="54">
        <f>Q129*I129</f>
        <v>5.8928128948064549</v>
      </c>
      <c r="S129" s="53" t="s">
        <v>10</v>
      </c>
      <c r="T129" s="55" t="s">
        <v>10</v>
      </c>
      <c r="U129" s="56" t="s">
        <v>10</v>
      </c>
      <c r="V129" s="53" t="s">
        <v>10</v>
      </c>
      <c r="W129" s="53" t="s">
        <v>10</v>
      </c>
      <c r="X129" s="53" t="s">
        <v>10</v>
      </c>
      <c r="Y129" s="55" t="s">
        <v>10</v>
      </c>
      <c r="Z129" s="55" t="s">
        <v>10</v>
      </c>
      <c r="AA129" s="55" t="s">
        <v>10</v>
      </c>
      <c r="AB129" s="55" t="s">
        <v>10</v>
      </c>
      <c r="AC129" s="57" t="s">
        <v>10</v>
      </c>
      <c r="AD129" t="s">
        <v>10</v>
      </c>
    </row>
    <row r="130" spans="2:30" x14ac:dyDescent="0.2">
      <c r="B130" s="216" t="s">
        <v>10</v>
      </c>
      <c r="C130" s="215">
        <v>49</v>
      </c>
      <c r="D130" s="54">
        <f>VLOOKUP(C130,table_DI,2)</f>
        <v>3.67</v>
      </c>
      <c r="E130" s="54" t="s">
        <v>10</v>
      </c>
      <c r="F130" s="55">
        <f>VLOOKUP(C130,table_DI,5)</f>
        <v>0.89918256130790186</v>
      </c>
      <c r="G130" s="54">
        <f>VLOOKUP(C130,table_DI,3)</f>
        <v>3.3</v>
      </c>
      <c r="H130" s="54" t="s">
        <v>10</v>
      </c>
      <c r="I130" s="54">
        <f>VLOOKUP(C130,table_DI,4)</f>
        <v>3.3</v>
      </c>
      <c r="J130" s="54" t="s">
        <v>10</v>
      </c>
      <c r="K130" s="56">
        <f>VLOOKUP(C130,table_DI,9)</f>
        <v>2.4691358024691479E-3</v>
      </c>
      <c r="L130" s="53">
        <f>VLOOKUP(C130,table_DI,8)</f>
        <v>1863</v>
      </c>
      <c r="M130" s="55">
        <f>(0.84*(K130^0.5)*(cell_GUTDEP^0.6666)/cell_NRD)</f>
        <v>1.4631530898544645</v>
      </c>
      <c r="N130" s="53">
        <f>VLOOKUP(C130,table_DI,10)</f>
        <v>5</v>
      </c>
      <c r="O130" s="53">
        <f>(L130/(M130*60))</f>
        <v>21.221292710449358</v>
      </c>
      <c r="P130" s="53">
        <f>N130+O130</f>
        <v>26.221292710449358</v>
      </c>
      <c r="Q130" s="55">
        <f t="shared" si="8"/>
        <v>0.71654361263566224</v>
      </c>
      <c r="R130" s="54">
        <f>Q130*I130</f>
        <v>2.3645939216976855</v>
      </c>
      <c r="S130" s="53" t="s">
        <v>10</v>
      </c>
      <c r="T130" s="55" t="s">
        <v>10</v>
      </c>
      <c r="U130" s="56" t="s">
        <v>10</v>
      </c>
      <c r="V130" s="53" t="s">
        <v>10</v>
      </c>
      <c r="W130" s="53" t="s">
        <v>10</v>
      </c>
      <c r="X130" s="53" t="s">
        <v>10</v>
      </c>
      <c r="Y130" s="55" t="s">
        <v>10</v>
      </c>
      <c r="Z130" s="55" t="s">
        <v>10</v>
      </c>
      <c r="AA130" s="55" t="s">
        <v>10</v>
      </c>
      <c r="AB130" s="55" t="s">
        <v>10</v>
      </c>
      <c r="AC130" s="57" t="s">
        <v>10</v>
      </c>
      <c r="AD130" t="s">
        <v>10</v>
      </c>
    </row>
    <row r="131" spans="2:30" x14ac:dyDescent="0.2">
      <c r="B131" s="216">
        <v>47</v>
      </c>
      <c r="C131" s="217" t="s">
        <v>10</v>
      </c>
      <c r="D131" s="54" t="s">
        <v>10</v>
      </c>
      <c r="E131" s="54">
        <f>VLOOKUP(48,table_CIA_INLETS,2,FALSE)+VLOOKUP(49,table_CIA_INLETS,2,FALSE)</f>
        <v>16.880000000000003</v>
      </c>
      <c r="F131" s="55" t="s">
        <v>10</v>
      </c>
      <c r="G131" s="54" t="s">
        <v>10</v>
      </c>
      <c r="H131" s="54">
        <f>VLOOKUP(48,table_CIA_INLETS,5,FALSE)+VLOOKUP(49,table_CIA_INLETS,5,FALSE)</f>
        <v>8.85</v>
      </c>
      <c r="I131" s="54" t="s">
        <v>10</v>
      </c>
      <c r="J131" s="54">
        <f>VLOOKUP(48,table_CIA_INLETS,7,FALSE)+VLOOKUP(49,table_CIA_INLETS,7,FALSE)</f>
        <v>9.3999999999999986</v>
      </c>
      <c r="K131" s="56" t="s">
        <v>10</v>
      </c>
      <c r="L131" s="53" t="s">
        <v>10</v>
      </c>
      <c r="M131" s="55" t="s">
        <v>10</v>
      </c>
      <c r="N131" s="53" t="s">
        <v>10</v>
      </c>
      <c r="O131" s="53" t="s">
        <v>10</v>
      </c>
      <c r="P131" s="53">
        <f>VLOOKUP(48,table_CIA_INLETS,14,FALSE)</f>
        <v>16.272400580675946</v>
      </c>
      <c r="Q131" s="55">
        <f t="shared" si="8"/>
        <v>0.96603490078794341</v>
      </c>
      <c r="R131" s="54">
        <f>J131*Q131</f>
        <v>9.0807280674066675</v>
      </c>
      <c r="S131" s="53">
        <v>24</v>
      </c>
      <c r="T131" s="55">
        <f>(4*R131)/(3.14159*(S131/12)^2)</f>
        <v>2.8904879590929013</v>
      </c>
      <c r="U131" s="56">
        <f>((R131/((0.463135/cell_NP)*((S131/12)^(8/3))))^2)*cell_FF</f>
        <v>1.8531790001780634E-3</v>
      </c>
      <c r="V131" s="53">
        <v>14</v>
      </c>
      <c r="W131" s="53">
        <f>V131/(T131*60)</f>
        <v>8.0724547770321259E-2</v>
      </c>
      <c r="X131" s="53">
        <f>W131+P131</f>
        <v>16.353125128446266</v>
      </c>
      <c r="Y131" s="55">
        <f>U131*V131</f>
        <v>2.5944506002492887E-2</v>
      </c>
      <c r="Z131" s="55">
        <f>IF(VLOOKUP(48,table_CIA_JCTS,25,FALSE)+VLOOKUP(47,table_CIA_JCTS,24,FALSE)&lt;VLOOKUP(47,table_CIA_JCTS,28,FALSE),VLOOKUP(47,table_CIA_JCTS,28,FALSE),VLOOKUP(48,table_CIA_JCTS,25,FALSE)+VLOOKUP(47,table_CIA_JCTS,24,FALSE))</f>
        <v>404.08194410015597</v>
      </c>
      <c r="AA131" s="55">
        <v>408.5</v>
      </c>
      <c r="AB131" s="55">
        <f>(AA131-0.5)-Z131</f>
        <v>3.9180558998440347</v>
      </c>
      <c r="AC131" s="57">
        <v>403.53</v>
      </c>
      <c r="AD131" t="s">
        <v>10</v>
      </c>
    </row>
    <row r="132" spans="2:30" x14ac:dyDescent="0.2">
      <c r="B132" s="216">
        <v>48</v>
      </c>
      <c r="C132" s="217" t="s">
        <v>10</v>
      </c>
      <c r="D132" s="54" t="s">
        <v>10</v>
      </c>
      <c r="E132" s="54">
        <f>VLOOKUP(46,table_CIA_JCTS,4,FALSE)+VLOOKUP(47,table_CIA_JCTS,4,FALSE)</f>
        <v>45.8</v>
      </c>
      <c r="F132" s="55" t="s">
        <v>10</v>
      </c>
      <c r="G132" s="54" t="s">
        <v>10</v>
      </c>
      <c r="H132" s="54">
        <f>VLOOKUP(46,table_CIA_JCTS,7,FALSE)+VLOOKUP(47,table_CIA_JCTS,7,FALSE)</f>
        <v>18.1068</v>
      </c>
      <c r="I132" s="54" t="s">
        <v>10</v>
      </c>
      <c r="J132" s="54">
        <f>VLOOKUP(46,table_CIA_JCTS,9,FALSE)+VLOOKUP(47,table_CIA_JCTS,9,FALSE)</f>
        <v>19.569999999999997</v>
      </c>
      <c r="K132" s="56" t="s">
        <v>10</v>
      </c>
      <c r="L132" s="53" t="s">
        <v>10</v>
      </c>
      <c r="M132" s="55" t="s">
        <v>10</v>
      </c>
      <c r="N132" s="53" t="s">
        <v>10</v>
      </c>
      <c r="O132" s="53" t="s">
        <v>10</v>
      </c>
      <c r="P132" s="53">
        <f>VLOOKUP(46,table_CIA_JCTS,23,FALSE)</f>
        <v>53.729073940854796</v>
      </c>
      <c r="Q132" s="55">
        <f t="shared" si="8"/>
        <v>0.45724264389316682</v>
      </c>
      <c r="R132" s="54">
        <f>J132*Q132</f>
        <v>8.9482385409892728</v>
      </c>
      <c r="S132" s="53">
        <v>24</v>
      </c>
      <c r="T132" s="55">
        <f>(4*R132)/(3.14159*(S132/12)^2)</f>
        <v>2.8483151973966283</v>
      </c>
      <c r="U132" s="56">
        <f>((R132/((0.463135/cell_NP)*((S132/12)^(8/3))))^2)*cell_FF</f>
        <v>1.7994970343289619E-3</v>
      </c>
      <c r="V132" s="53">
        <v>540</v>
      </c>
      <c r="W132" s="53">
        <f>V132/(T132*60)</f>
        <v>3.1597626583694236</v>
      </c>
      <c r="X132" s="53">
        <f>W132+P132</f>
        <v>56.88883659922422</v>
      </c>
      <c r="Y132" s="55">
        <f>U132*V132</f>
        <v>0.97172839853763948</v>
      </c>
      <c r="Z132" s="55">
        <f>IF(VLOOKUP(49,table_CIA_JCTS,25,FALSE)+VLOOKUP(48,table_CIA_JCTS,24,FALSE)&lt;VLOOKUP(48,table_CIA_JCTS,28,FALSE),VLOOKUP(48,table_CIA_JCTS,28,FALSE),VLOOKUP(49,table_CIA_JCTS,25,FALSE)+VLOOKUP(48,table_CIA_JCTS,24,FALSE))</f>
        <v>404.05599959415349</v>
      </c>
      <c r="AA132" s="55">
        <v>408.5</v>
      </c>
      <c r="AB132" s="55">
        <f>(AA132-0.5)-Z132</f>
        <v>3.9440004058465092</v>
      </c>
      <c r="AC132" s="57">
        <v>403.26</v>
      </c>
      <c r="AD132" t="s">
        <v>10</v>
      </c>
    </row>
    <row r="133" spans="2:30" x14ac:dyDescent="0.2">
      <c r="B133" s="216" t="s">
        <v>10</v>
      </c>
      <c r="C133" s="215">
        <v>50</v>
      </c>
      <c r="D133" s="54">
        <f>VLOOKUP(C133,table_DI,2)</f>
        <v>14.87</v>
      </c>
      <c r="E133" s="54" t="s">
        <v>10</v>
      </c>
      <c r="F133" s="55">
        <f>VLOOKUP(C133,table_DI,5)</f>
        <v>0.44720914593140554</v>
      </c>
      <c r="G133" s="54">
        <f>VLOOKUP(C133,table_DI,3)</f>
        <v>6.05</v>
      </c>
      <c r="H133" s="54" t="s">
        <v>10</v>
      </c>
      <c r="I133" s="54">
        <f>VLOOKUP(C133,table_DI,4)</f>
        <v>6.65</v>
      </c>
      <c r="J133" s="54" t="s">
        <v>10</v>
      </c>
      <c r="K133" s="56">
        <f>VLOOKUP(C133,table_DI,9)</f>
        <v>2.8600323624595443E-3</v>
      </c>
      <c r="L133" s="53">
        <f>VLOOKUP(C133,table_DI,8)</f>
        <v>2472</v>
      </c>
      <c r="M133" s="55">
        <f>(0.84*(K133^0.5)*(cell_GUTDEP^0.6666)/cell_NRD)</f>
        <v>1.5747178633199144</v>
      </c>
      <c r="N133" s="53">
        <f>VLOOKUP(C133,table_DI,10)</f>
        <v>20</v>
      </c>
      <c r="O133" s="53">
        <f>(L133/(M133*60))</f>
        <v>26.1634169267247</v>
      </c>
      <c r="P133" s="53">
        <f>N133+O133</f>
        <v>46.1634169267247</v>
      </c>
      <c r="Q133" s="55">
        <f t="shared" si="8"/>
        <v>0.50282915521015326</v>
      </c>
      <c r="R133" s="54">
        <f>Q133*I133</f>
        <v>3.3438138821475194</v>
      </c>
      <c r="S133" s="53" t="s">
        <v>10</v>
      </c>
      <c r="T133" s="55" t="s">
        <v>10</v>
      </c>
      <c r="U133" s="56" t="s">
        <v>10</v>
      </c>
      <c r="V133" s="53" t="s">
        <v>10</v>
      </c>
      <c r="W133" s="53" t="s">
        <v>10</v>
      </c>
      <c r="X133" s="53" t="s">
        <v>10</v>
      </c>
      <c r="Y133" s="55" t="s">
        <v>10</v>
      </c>
      <c r="Z133" s="55" t="s">
        <v>10</v>
      </c>
      <c r="AA133" s="55" t="s">
        <v>10</v>
      </c>
      <c r="AB133" s="55" t="s">
        <v>10</v>
      </c>
      <c r="AC133" s="57" t="s">
        <v>10</v>
      </c>
      <c r="AD133" t="s">
        <v>10</v>
      </c>
    </row>
    <row r="134" spans="2:30" x14ac:dyDescent="0.2">
      <c r="B134" s="216">
        <v>49</v>
      </c>
      <c r="C134" s="217" t="s">
        <v>10</v>
      </c>
      <c r="D134" s="54" t="s">
        <v>10</v>
      </c>
      <c r="E134" s="54">
        <f>VLOOKUP(48,table_CIA_JCTS,4,FALSE)+VLOOKUP(50,table_CIA_INLETS,2,FALSE)</f>
        <v>60.669999999999995</v>
      </c>
      <c r="F134" s="55" t="s">
        <v>10</v>
      </c>
      <c r="G134" s="54" t="s">
        <v>10</v>
      </c>
      <c r="H134" s="54">
        <f>VLOOKUP(48,table_CIA_JCTS,7,FALSE)+VLOOKUP(50,table_CIA_INLETS,5,FALSE)</f>
        <v>24.1568</v>
      </c>
      <c r="I134" s="54" t="s">
        <v>10</v>
      </c>
      <c r="J134" s="54">
        <f>VLOOKUP(48,table_CIA_JCTS,9,FALSE)+VLOOKUP(50,table_CIA_INLETS,7,FALSE)</f>
        <v>26.22</v>
      </c>
      <c r="K134" s="56" t="s">
        <v>10</v>
      </c>
      <c r="L134" s="53" t="s">
        <v>10</v>
      </c>
      <c r="M134" s="55" t="s">
        <v>10</v>
      </c>
      <c r="N134" s="53" t="s">
        <v>10</v>
      </c>
      <c r="O134" s="53" t="s">
        <v>10</v>
      </c>
      <c r="P134" s="53">
        <f>VLOOKUP(48,table_CIA_JCTS,23,FALSE)</f>
        <v>56.88883659922422</v>
      </c>
      <c r="Q134" s="55">
        <f t="shared" si="8"/>
        <v>0.44116991167452135</v>
      </c>
      <c r="R134" s="54">
        <f>J134*Q134</f>
        <v>11.567475084105949</v>
      </c>
      <c r="S134" s="53">
        <v>24</v>
      </c>
      <c r="T134" s="55">
        <f>(4*R134)/(3.14159*(S134/12)^2)</f>
        <v>3.6820447875457809</v>
      </c>
      <c r="U134" s="56">
        <f>((R134/((0.463135/cell_NP)*((S134/12)^(8/3))))^2)*cell_FF</f>
        <v>3.0071367267310227E-3</v>
      </c>
      <c r="V134" s="53">
        <v>38</v>
      </c>
      <c r="W134" s="53">
        <f>V134/(T134*60)</f>
        <v>0.17200587441943457</v>
      </c>
      <c r="X134" s="53">
        <f>W134+P134</f>
        <v>57.060842473643653</v>
      </c>
      <c r="Y134" s="55">
        <f>U134*V134</f>
        <v>0.11427119561577886</v>
      </c>
      <c r="Z134" s="55">
        <f>IF(VLOOKUP(51,table_CIA_JCTS,25,FALSE)+VLOOKUP(49,table_CIA_JCTS,24,FALSE)&lt;VLOOKUP(49,table_CIA_JCTS,28,FALSE),VLOOKUP(49,table_CIA_JCTS,28,FALSE),VLOOKUP(51,table_CIA_JCTS,25,FALSE)+VLOOKUP(49,table_CIA_JCTS,24,FALSE))</f>
        <v>403.08427119561583</v>
      </c>
      <c r="AA134" s="55">
        <v>406.8</v>
      </c>
      <c r="AB134" s="55">
        <f>(AA134-0.5)-Z134</f>
        <v>3.2157288043841845</v>
      </c>
      <c r="AC134" s="57">
        <v>400.87</v>
      </c>
      <c r="AD134" t="s">
        <v>10</v>
      </c>
    </row>
    <row r="135" spans="2:30" x14ac:dyDescent="0.2">
      <c r="B135" s="216" t="s">
        <v>10</v>
      </c>
      <c r="C135" s="217" t="s">
        <v>10</v>
      </c>
      <c r="D135" s="54" t="s">
        <v>10</v>
      </c>
      <c r="E135" s="54" t="s">
        <v>10</v>
      </c>
      <c r="F135" s="55" t="s">
        <v>10</v>
      </c>
      <c r="G135" s="54" t="s">
        <v>10</v>
      </c>
      <c r="H135" s="54" t="s">
        <v>10</v>
      </c>
      <c r="I135" s="54" t="s">
        <v>10</v>
      </c>
      <c r="J135" s="54" t="s">
        <v>10</v>
      </c>
      <c r="K135" s="56" t="s">
        <v>10</v>
      </c>
      <c r="L135" s="53" t="s">
        <v>10</v>
      </c>
      <c r="M135" s="55" t="s">
        <v>10</v>
      </c>
      <c r="N135" s="53" t="s">
        <v>10</v>
      </c>
      <c r="O135" s="53" t="s">
        <v>10</v>
      </c>
      <c r="P135" s="53" t="s">
        <v>10</v>
      </c>
      <c r="Q135" s="55" t="s">
        <v>10</v>
      </c>
      <c r="R135" s="54" t="s">
        <v>10</v>
      </c>
      <c r="S135" s="53" t="s">
        <v>10</v>
      </c>
      <c r="T135" s="55" t="s">
        <v>10</v>
      </c>
      <c r="U135" s="56" t="s">
        <v>10</v>
      </c>
      <c r="V135" s="53" t="s">
        <v>10</v>
      </c>
      <c r="W135" s="53" t="s">
        <v>10</v>
      </c>
      <c r="X135" s="53" t="s">
        <v>10</v>
      </c>
      <c r="Y135" s="55" t="s">
        <v>10</v>
      </c>
      <c r="Z135" s="55" t="s">
        <v>10</v>
      </c>
      <c r="AA135" s="55" t="s">
        <v>10</v>
      </c>
      <c r="AB135" s="55" t="s">
        <v>10</v>
      </c>
      <c r="AC135" s="57" t="s">
        <v>10</v>
      </c>
      <c r="AD135" t="s">
        <v>10</v>
      </c>
    </row>
    <row r="136" spans="2:30" x14ac:dyDescent="0.2">
      <c r="B136" s="216" t="s">
        <v>10</v>
      </c>
      <c r="C136" s="215">
        <v>51</v>
      </c>
      <c r="D136" s="54">
        <f>VLOOKUP(C136,table_DI,2)</f>
        <v>11</v>
      </c>
      <c r="E136" s="54" t="s">
        <v>10</v>
      </c>
      <c r="F136" s="55">
        <f>VLOOKUP(C136,table_DI,5)</f>
        <v>0.60500000000000009</v>
      </c>
      <c r="G136" s="54">
        <f>VLOOKUP(C136,table_DI,3)</f>
        <v>6.0500000000000007</v>
      </c>
      <c r="H136" s="54" t="s">
        <v>10</v>
      </c>
      <c r="I136" s="54">
        <f>VLOOKUP(C136,table_DI,4)</f>
        <v>6.6550000000000011</v>
      </c>
      <c r="J136" s="54" t="s">
        <v>10</v>
      </c>
      <c r="K136" s="56">
        <f>VLOOKUP(C136,table_DI,9)</f>
        <v>4.4827586206896662E-3</v>
      </c>
      <c r="L136" s="53">
        <f>VLOOKUP(C136,table_DI,8)</f>
        <v>1015</v>
      </c>
      <c r="M136" s="55">
        <f>(0.84*(K136^0.5)*(cell_GUTDEP^0.6666)/cell_NRD)</f>
        <v>1.9714690231946181</v>
      </c>
      <c r="N136" s="53">
        <f>VLOOKUP(C136,table_DI,10)</f>
        <v>20</v>
      </c>
      <c r="O136" s="53">
        <f>(L136/(M136*60))</f>
        <v>8.5807418060540837</v>
      </c>
      <c r="P136" s="53">
        <f>N136+O136</f>
        <v>28.580741806054085</v>
      </c>
      <c r="Q136" s="55">
        <f>cell_P*(P136^cell_E)</f>
        <v>0.67890749304650888</v>
      </c>
      <c r="R136" s="54">
        <f>Q136*I136</f>
        <v>4.5181293662245174</v>
      </c>
      <c r="S136" s="53" t="s">
        <v>10</v>
      </c>
      <c r="T136" s="55" t="s">
        <v>10</v>
      </c>
      <c r="U136" s="56" t="s">
        <v>10</v>
      </c>
      <c r="V136" s="53" t="s">
        <v>10</v>
      </c>
      <c r="W136" s="53" t="s">
        <v>10</v>
      </c>
      <c r="X136" s="53" t="s">
        <v>10</v>
      </c>
      <c r="Y136" s="55" t="s">
        <v>10</v>
      </c>
      <c r="Z136" s="55" t="s">
        <v>10</v>
      </c>
      <c r="AA136" s="55" t="s">
        <v>10</v>
      </c>
      <c r="AB136" s="55" t="s">
        <v>10</v>
      </c>
      <c r="AC136" s="57" t="s">
        <v>10</v>
      </c>
      <c r="AD136" t="s">
        <v>10</v>
      </c>
    </row>
    <row r="137" spans="2:30" x14ac:dyDescent="0.2">
      <c r="B137" s="216">
        <v>50</v>
      </c>
      <c r="C137" s="217" t="s">
        <v>10</v>
      </c>
      <c r="D137" s="54" t="s">
        <v>10</v>
      </c>
      <c r="E137" s="54">
        <f>VLOOKUP(51,table_CIA_INLETS,2,FALSE)</f>
        <v>11</v>
      </c>
      <c r="F137" s="55" t="s">
        <v>10</v>
      </c>
      <c r="G137" s="54" t="s">
        <v>10</v>
      </c>
      <c r="H137" s="54">
        <f>VLOOKUP(51,table_CIA_INLETS,5,FALSE)</f>
        <v>6.0500000000000007</v>
      </c>
      <c r="I137" s="54" t="s">
        <v>10</v>
      </c>
      <c r="J137" s="54">
        <f>VLOOKUP(51,table_CIA_INLETS,7,FALSE)</f>
        <v>6.6550000000000011</v>
      </c>
      <c r="K137" s="56" t="s">
        <v>10</v>
      </c>
      <c r="L137" s="53" t="s">
        <v>10</v>
      </c>
      <c r="M137" s="55" t="s">
        <v>10</v>
      </c>
      <c r="N137" s="53" t="s">
        <v>10</v>
      </c>
      <c r="O137" s="53" t="s">
        <v>10</v>
      </c>
      <c r="P137" s="53">
        <f>VLOOKUP(51,table_CIA_INLETS,14,FALSE)</f>
        <v>28.580741806054085</v>
      </c>
      <c r="Q137" s="55">
        <f>cell_P*(P137^cell_E)</f>
        <v>0.67890749304650888</v>
      </c>
      <c r="R137" s="54">
        <f>J137*Q137</f>
        <v>4.5181293662245174</v>
      </c>
      <c r="S137" s="53">
        <v>24</v>
      </c>
      <c r="T137" s="55">
        <f>(4*R137)/(3.14159*(S137/12)^2)</f>
        <v>1.4381664590938084</v>
      </c>
      <c r="U137" s="56">
        <f>((R137/((0.463135/cell_NP)*((S137/12)^(8/3))))^2)*cell_FF</f>
        <v>4.5876824883745343E-4</v>
      </c>
      <c r="V137" s="53">
        <v>470</v>
      </c>
      <c r="W137" s="53">
        <f>V137/(T137*60)</f>
        <v>5.4467501197803854</v>
      </c>
      <c r="X137" s="53">
        <f>W137+P137</f>
        <v>34.027491925834468</v>
      </c>
      <c r="Y137" s="55">
        <f>U137*V137</f>
        <v>0.21562107695360311</v>
      </c>
      <c r="Z137" s="55">
        <f>IF(VLOOKUP(51,table_CIA_JCTS,25,FALSE)+VLOOKUP(50,table_CIA_JCTS,24,FALSE)&lt;VLOOKUP(50,table_CIA_JCTS,28,FALSE),VLOOKUP(50,table_CIA_JCTS,28,FALSE),VLOOKUP(51,table_CIA_JCTS,25,FALSE)+VLOOKUP(50,table_CIA_JCTS,24,FALSE))</f>
        <v>403.18562107695362</v>
      </c>
      <c r="AA137" s="55">
        <v>407</v>
      </c>
      <c r="AB137" s="55">
        <f>(AA137-0.5)-Z137</f>
        <v>3.3143789230463767</v>
      </c>
      <c r="AC137" s="57">
        <v>402.15</v>
      </c>
      <c r="AD137" t="s">
        <v>10</v>
      </c>
    </row>
    <row r="138" spans="2:30" x14ac:dyDescent="0.2">
      <c r="B138" s="216">
        <v>51</v>
      </c>
      <c r="C138" s="217" t="s">
        <v>10</v>
      </c>
      <c r="D138" s="54" t="s">
        <v>10</v>
      </c>
      <c r="E138" s="54">
        <f>VLOOKUP(42,table_CIA_JCTS,4,FALSE)+VLOOKUP(49,table_CIA_JCTS,4,FALSE)+VLOOKUP(50,table_CIA_JCTS,4,FALSE)</f>
        <v>292.74</v>
      </c>
      <c r="F138" s="55" t="s">
        <v>10</v>
      </c>
      <c r="G138" s="54" t="s">
        <v>10</v>
      </c>
      <c r="H138" s="54">
        <f>VLOOKUP(42,table_CIA_JCTS,7,FALSE)+VLOOKUP(49,table_CIA_JCTS,7,FALSE)+VLOOKUP(50,table_CIA_JCTS,7,FALSE)</f>
        <v>127.98109999999998</v>
      </c>
      <c r="I138" s="54" t="s">
        <v>10</v>
      </c>
      <c r="J138" s="54">
        <f>VLOOKUP(42,table_CIA_JCTS,9,FALSE)+VLOOKUP(49,table_CIA_JCTS,9,FALSE)+VLOOKUP(50,table_CIA_JCTS,9,FALSE)</f>
        <v>138.65727999999999</v>
      </c>
      <c r="K138" s="56" t="s">
        <v>10</v>
      </c>
      <c r="L138" s="53" t="s">
        <v>10</v>
      </c>
      <c r="M138" s="55" t="s">
        <v>10</v>
      </c>
      <c r="N138" s="53" t="s">
        <v>10</v>
      </c>
      <c r="O138" s="53" t="s">
        <v>10</v>
      </c>
      <c r="P138" s="53">
        <f>VLOOKUP(42,table_CIA_JCTS,23,FALSE)</f>
        <v>69.446886044058076</v>
      </c>
      <c r="Q138" s="55">
        <f>cell_P*(P138^cell_E)</f>
        <v>0.3893685381047548</v>
      </c>
      <c r="R138" s="54">
        <f>J138*Q138</f>
        <v>53.988782411181653</v>
      </c>
      <c r="S138" s="53">
        <v>48</v>
      </c>
      <c r="T138" s="55">
        <f>(4*R138)/(3.14159*(S138/12)^2)</f>
        <v>4.2962944250508226</v>
      </c>
      <c r="U138" s="56">
        <f>((R138/((0.463135/cell_NP)*((S138/12)^(8/3))))^2)*cell_FF</f>
        <v>1.6247621202131253E-3</v>
      </c>
      <c r="V138" s="53">
        <v>538</v>
      </c>
      <c r="W138" s="53">
        <f>V138/(T138*60)</f>
        <v>2.0870698745374265</v>
      </c>
      <c r="X138" s="53">
        <f>W138+P138</f>
        <v>71.533955918595495</v>
      </c>
      <c r="Y138" s="55">
        <f>U138*V138</f>
        <v>0.87412202067466138</v>
      </c>
      <c r="Z138" s="55">
        <f>IF(VLOOKUP(53,table_CIA_JCTS,25,FALSE)+VLOOKUP(51,table_CIA_JCTS,24,FALSE)&lt;VLOOKUP(51,table_CIA_JCTS,28,FALSE),VLOOKUP(51,table_CIA_JCTS,28,FALSE),VLOOKUP(53,table_CIA_JCTS,25,FALSE)+VLOOKUP(51,table_CIA_JCTS,24,FALSE))</f>
        <v>402.97</v>
      </c>
      <c r="AA138" s="55">
        <v>406.8</v>
      </c>
      <c r="AB138" s="55">
        <f>(AA138-0.5)-Z138</f>
        <v>3.3299999999999841</v>
      </c>
      <c r="AC138" s="57">
        <v>402.97</v>
      </c>
      <c r="AD138" t="s">
        <v>10</v>
      </c>
    </row>
    <row r="139" spans="2:30" x14ac:dyDescent="0.2">
      <c r="B139" s="216" t="s">
        <v>10</v>
      </c>
      <c r="C139" s="217" t="s">
        <v>10</v>
      </c>
      <c r="D139" s="54" t="s">
        <v>10</v>
      </c>
      <c r="E139" s="54" t="s">
        <v>10</v>
      </c>
      <c r="F139" s="55" t="s">
        <v>10</v>
      </c>
      <c r="G139" s="54" t="s">
        <v>10</v>
      </c>
      <c r="H139" s="54" t="s">
        <v>10</v>
      </c>
      <c r="I139" s="54" t="s">
        <v>10</v>
      </c>
      <c r="J139" s="54" t="s">
        <v>10</v>
      </c>
      <c r="K139" s="56" t="s">
        <v>10</v>
      </c>
      <c r="L139" s="53" t="s">
        <v>10</v>
      </c>
      <c r="M139" s="55" t="s">
        <v>10</v>
      </c>
      <c r="N139" s="53" t="s">
        <v>10</v>
      </c>
      <c r="O139" s="53" t="s">
        <v>10</v>
      </c>
      <c r="P139" s="53" t="s">
        <v>10</v>
      </c>
      <c r="Q139" s="55" t="s">
        <v>10</v>
      </c>
      <c r="R139" s="54" t="s">
        <v>10</v>
      </c>
      <c r="S139" s="53" t="s">
        <v>10</v>
      </c>
      <c r="T139" s="55" t="s">
        <v>10</v>
      </c>
      <c r="U139" s="56" t="s">
        <v>10</v>
      </c>
      <c r="V139" s="53" t="s">
        <v>10</v>
      </c>
      <c r="W139" s="53" t="s">
        <v>10</v>
      </c>
      <c r="X139" s="53" t="s">
        <v>10</v>
      </c>
      <c r="Y139" s="55" t="s">
        <v>10</v>
      </c>
      <c r="Z139" s="55" t="s">
        <v>10</v>
      </c>
      <c r="AA139" s="55" t="s">
        <v>10</v>
      </c>
      <c r="AB139" s="55" t="s">
        <v>10</v>
      </c>
      <c r="AC139" s="57" t="s">
        <v>10</v>
      </c>
      <c r="AD139" t="s">
        <v>10</v>
      </c>
    </row>
    <row r="140" spans="2:30" x14ac:dyDescent="0.2">
      <c r="B140" s="216" t="s">
        <v>10</v>
      </c>
      <c r="C140" s="215">
        <v>52</v>
      </c>
      <c r="D140" s="54">
        <f>VLOOKUP(C140,table_DI,2)</f>
        <v>16.21</v>
      </c>
      <c r="E140" s="54" t="s">
        <v>10</v>
      </c>
      <c r="F140" s="55">
        <f>VLOOKUP(C140,table_DI,5)</f>
        <v>0.35</v>
      </c>
      <c r="G140" s="54">
        <f>VLOOKUP(C140,table_DI,3)</f>
        <v>5.1871999999999998</v>
      </c>
      <c r="H140" s="54" t="s">
        <v>10</v>
      </c>
      <c r="I140" s="54">
        <f>VLOOKUP(C140,table_DI,4)</f>
        <v>5.6734999999999998</v>
      </c>
      <c r="J140" s="54" t="s">
        <v>10</v>
      </c>
      <c r="K140" s="56">
        <f>VLOOKUP(C140,table_DI,9)</f>
        <v>2.4813753581661799E-3</v>
      </c>
      <c r="L140" s="53">
        <f>VLOOKUP(C140,table_DI,8)</f>
        <v>1745</v>
      </c>
      <c r="M140" s="55">
        <f>(0.84*(K140^0.5)*(cell_GUTDEP^0.6666)/cell_NRD)</f>
        <v>1.4667750464818918</v>
      </c>
      <c r="N140" s="53">
        <f>VLOOKUP(C140,table_DI,10)</f>
        <v>25</v>
      </c>
      <c r="O140" s="53">
        <f>(L140/(M140*60))</f>
        <v>19.828080252040465</v>
      </c>
      <c r="P140" s="53">
        <f>N140+O140</f>
        <v>44.828080252040465</v>
      </c>
      <c r="Q140" s="55">
        <f t="shared" ref="Q140:Q147" si="9">cell_P*(P140^cell_E)</f>
        <v>0.5121570171248031</v>
      </c>
      <c r="R140" s="54">
        <f>Q140*I140</f>
        <v>2.9057228366575703</v>
      </c>
      <c r="S140" s="53" t="s">
        <v>10</v>
      </c>
      <c r="T140" s="55" t="s">
        <v>10</v>
      </c>
      <c r="U140" s="56" t="s">
        <v>10</v>
      </c>
      <c r="V140" s="53" t="s">
        <v>10</v>
      </c>
      <c r="W140" s="53" t="s">
        <v>10</v>
      </c>
      <c r="X140" s="53" t="s">
        <v>10</v>
      </c>
      <c r="Y140" s="55" t="s">
        <v>10</v>
      </c>
      <c r="Z140" s="55" t="s">
        <v>10</v>
      </c>
      <c r="AA140" s="55" t="s">
        <v>10</v>
      </c>
      <c r="AB140" s="55" t="s">
        <v>10</v>
      </c>
      <c r="AC140" s="57" t="s">
        <v>10</v>
      </c>
      <c r="AD140" t="s">
        <v>10</v>
      </c>
    </row>
    <row r="141" spans="2:30" x14ac:dyDescent="0.2">
      <c r="B141" s="216" t="s">
        <v>10</v>
      </c>
      <c r="C141" s="215">
        <v>52.1</v>
      </c>
      <c r="D141" s="54">
        <f>VLOOKUP(C141,table_DI,2)</f>
        <v>6.18</v>
      </c>
      <c r="E141" s="54" t="s">
        <v>10</v>
      </c>
      <c r="F141" s="55">
        <f>VLOOKUP(C141,table_DI,5)</f>
        <v>0.3527508090614887</v>
      </c>
      <c r="G141" s="54">
        <f>VLOOKUP(C141,table_DI,3)</f>
        <v>1.98</v>
      </c>
      <c r="H141" s="54" t="s">
        <v>10</v>
      </c>
      <c r="I141" s="54">
        <f>VLOOKUP(C141,table_DI,4)</f>
        <v>2.1800000000000002</v>
      </c>
      <c r="J141" s="54" t="s">
        <v>10</v>
      </c>
      <c r="K141" s="56">
        <f>VLOOKUP(C141,table_DI,9)</f>
        <v>2.478118161925618E-3</v>
      </c>
      <c r="L141" s="53">
        <f>VLOOKUP(C141,table_DI,8)</f>
        <v>1828</v>
      </c>
      <c r="M141" s="55">
        <f>(0.84*(K141^0.5)*(cell_GUTDEP^0.6666)/cell_NRD)</f>
        <v>1.4658120436433555</v>
      </c>
      <c r="N141" s="53">
        <f>VLOOKUP(C141,table_DI,10)</f>
        <v>25</v>
      </c>
      <c r="O141" s="53">
        <f>(L141/(M141*60))</f>
        <v>20.784838546516585</v>
      </c>
      <c r="P141" s="53">
        <f>N141+O141</f>
        <v>45.784838546516582</v>
      </c>
      <c r="Q141" s="55">
        <f>cell_P*(P141^cell_E)</f>
        <v>0.50542870707839882</v>
      </c>
      <c r="R141" s="54">
        <f>Q141*I141</f>
        <v>1.1018345814309094</v>
      </c>
      <c r="S141" s="53" t="s">
        <v>10</v>
      </c>
      <c r="T141" s="55" t="s">
        <v>10</v>
      </c>
      <c r="U141" s="56" t="s">
        <v>10</v>
      </c>
      <c r="V141" s="53" t="s">
        <v>10</v>
      </c>
      <c r="W141" s="53" t="s">
        <v>10</v>
      </c>
      <c r="X141" s="53" t="s">
        <v>10</v>
      </c>
      <c r="Y141" s="55" t="s">
        <v>10</v>
      </c>
      <c r="Z141" s="55" t="s">
        <v>10</v>
      </c>
      <c r="AA141" s="55" t="s">
        <v>10</v>
      </c>
      <c r="AB141" s="55" t="s">
        <v>10</v>
      </c>
      <c r="AC141" s="57" t="s">
        <v>10</v>
      </c>
      <c r="AD141" t="s">
        <v>10</v>
      </c>
    </row>
    <row r="142" spans="2:30" x14ac:dyDescent="0.2">
      <c r="B142" s="216" t="s">
        <v>10</v>
      </c>
      <c r="C142" s="215">
        <v>53</v>
      </c>
      <c r="D142" s="54">
        <f>VLOOKUP(C142,table_DI,2)</f>
        <v>5.37</v>
      </c>
      <c r="E142" s="54" t="s">
        <v>10</v>
      </c>
      <c r="F142" s="55">
        <f>VLOOKUP(C142,table_DI,5)</f>
        <v>0.35</v>
      </c>
      <c r="G142" s="54">
        <f>VLOOKUP(C142,table_DI,3)</f>
        <v>1.7183999999999999</v>
      </c>
      <c r="H142" s="54" t="s">
        <v>10</v>
      </c>
      <c r="I142" s="54">
        <f>VLOOKUP(C142,table_DI,4)</f>
        <v>1.8794999999999999</v>
      </c>
      <c r="J142" s="54" t="s">
        <v>10</v>
      </c>
      <c r="K142" s="56">
        <f>VLOOKUP(C142,table_DI,9)</f>
        <v>2.8580441640378737E-3</v>
      </c>
      <c r="L142" s="53">
        <f>VLOOKUP(C142,table_DI,8)</f>
        <v>1585</v>
      </c>
      <c r="M142" s="55">
        <f>(0.84*(K142^0.5)*(cell_GUTDEP^0.6666)/cell_NRD)</f>
        <v>1.5741704226831497</v>
      </c>
      <c r="N142" s="53">
        <f>VLOOKUP(C142,table_DI,10)</f>
        <v>25</v>
      </c>
      <c r="O142" s="53">
        <f>(L142/(M142*60))</f>
        <v>16.781325761184014</v>
      </c>
      <c r="P142" s="53">
        <f>N142+O142</f>
        <v>41.781325761184014</v>
      </c>
      <c r="Q142" s="55">
        <f t="shared" si="9"/>
        <v>0.53523531625450316</v>
      </c>
      <c r="R142" s="54">
        <f>Q142*I142</f>
        <v>1.0059747769003387</v>
      </c>
      <c r="S142" s="53" t="s">
        <v>10</v>
      </c>
      <c r="T142" s="55" t="s">
        <v>10</v>
      </c>
      <c r="U142" s="56" t="s">
        <v>10</v>
      </c>
      <c r="V142" s="53" t="s">
        <v>10</v>
      </c>
      <c r="W142" s="53" t="s">
        <v>10</v>
      </c>
      <c r="X142" s="53" t="s">
        <v>10</v>
      </c>
      <c r="Y142" s="55" t="s">
        <v>10</v>
      </c>
      <c r="Z142" s="55" t="s">
        <v>10</v>
      </c>
      <c r="AA142" s="55" t="s">
        <v>10</v>
      </c>
      <c r="AB142" s="55" t="s">
        <v>10</v>
      </c>
      <c r="AC142" s="57" t="s">
        <v>10</v>
      </c>
      <c r="AD142" t="s">
        <v>10</v>
      </c>
    </row>
    <row r="143" spans="2:30" x14ac:dyDescent="0.2">
      <c r="B143" s="216">
        <v>52</v>
      </c>
      <c r="C143" s="217" t="s">
        <v>10</v>
      </c>
      <c r="D143" s="54" t="s">
        <v>10</v>
      </c>
      <c r="E143" s="54">
        <f>VLOOKUP(52,table_CIA_INLETS,2,FALSE)+VLOOKUP(52.1,table_CIA_INLETS,2,FALSE)+VLOOKUP(53,table_CIA_INLETS,2,FALSE)</f>
        <v>27.76</v>
      </c>
      <c r="F143" s="55" t="s">
        <v>10</v>
      </c>
      <c r="G143" s="54" t="s">
        <v>10</v>
      </c>
      <c r="H143" s="54">
        <f>VLOOKUP(52,table_CIA_INLETS,5,FALSE)+VLOOKUP(52.1,table_CIA_INLETS,5,FALSE)+VLOOKUP(53,table_CIA_INLETS,5,FALSE)</f>
        <v>8.8856000000000002</v>
      </c>
      <c r="I143" s="54" t="s">
        <v>10</v>
      </c>
      <c r="J143" s="54">
        <f>VLOOKUP(52,table_CIA_INLETS,7,FALSE)+VLOOKUP(52.1,table_CIA_INLETS,7,FALSE)+VLOOKUP(53,table_CIA_INLETS,7,FALSE)</f>
        <v>9.7330000000000005</v>
      </c>
      <c r="K143" s="56" t="s">
        <v>10</v>
      </c>
      <c r="L143" s="53" t="s">
        <v>10</v>
      </c>
      <c r="M143" s="55" t="s">
        <v>10</v>
      </c>
      <c r="N143" s="53" t="s">
        <v>10</v>
      </c>
      <c r="O143" s="53" t="s">
        <v>10</v>
      </c>
      <c r="P143" s="53">
        <f>VLOOKUP(52,table_CIA_INLETS,14,FALSE)</f>
        <v>44.828080252040465</v>
      </c>
      <c r="Q143" s="55">
        <f t="shared" si="9"/>
        <v>0.5121570171248031</v>
      </c>
      <c r="R143" s="54">
        <f>J143*Q143</f>
        <v>4.984824247675709</v>
      </c>
      <c r="S143" s="53">
        <v>24</v>
      </c>
      <c r="T143" s="55">
        <f>(4*R143)/(3.14159*(S143/12)^2)</f>
        <v>1.5867201791690542</v>
      </c>
      <c r="U143" s="56">
        <f>((R143/((0.463135/cell_NP)*((S143/12)^(8/3))))^2)*cell_FF</f>
        <v>5.5843898741147124E-4</v>
      </c>
      <c r="V143" s="53">
        <v>134</v>
      </c>
      <c r="W143" s="53">
        <f>V143/(T143*60)</f>
        <v>1.407515554823852</v>
      </c>
      <c r="X143" s="53">
        <f>W143+P143</f>
        <v>46.235595806864318</v>
      </c>
      <c r="Y143" s="55">
        <f>U143*V143</f>
        <v>7.4830824313137145E-2</v>
      </c>
      <c r="Z143" s="55">
        <f>IF(VLOOKUP(53,table_CIA_JCTS,25,FALSE)+VLOOKUP(52,table_CIA_JCTS,24,FALSE)&lt;VLOOKUP(52,table_CIA_JCTS,28,FALSE),VLOOKUP(52,table_CIA_JCTS,28,FALSE),VLOOKUP(53,table_CIA_JCTS,25,FALSE)+VLOOKUP(52,table_CIA_JCTS,24,FALSE))</f>
        <v>402.08421996513829</v>
      </c>
      <c r="AA143" s="55">
        <v>406.15</v>
      </c>
      <c r="AB143" s="55">
        <f>(AA143-0.5)-Z143</f>
        <v>3.5657800348616888</v>
      </c>
      <c r="AC143" s="57">
        <v>399.79</v>
      </c>
      <c r="AD143" t="s">
        <v>10</v>
      </c>
    </row>
    <row r="144" spans="2:30" x14ac:dyDescent="0.2">
      <c r="B144" s="216">
        <v>53</v>
      </c>
      <c r="C144" s="217" t="s">
        <v>10</v>
      </c>
      <c r="D144" s="54" t="s">
        <v>10</v>
      </c>
      <c r="E144" s="54">
        <f>VLOOKUP(51,table_CIA_JCTS,4,FALSE)+VLOOKUP(52,table_CIA_JCTS,4,FALSE)</f>
        <v>320.5</v>
      </c>
      <c r="F144" s="55" t="s">
        <v>10</v>
      </c>
      <c r="G144" s="54" t="s">
        <v>10</v>
      </c>
      <c r="H144" s="54">
        <f>VLOOKUP(51,table_CIA_JCTS,7,FALSE)+VLOOKUP(52,table_CIA_JCTS,7,FALSE)</f>
        <v>136.86669999999998</v>
      </c>
      <c r="I144" s="54" t="s">
        <v>10</v>
      </c>
      <c r="J144" s="54">
        <f>VLOOKUP(51,table_CIA_JCTS,9,FALSE)+VLOOKUP(52,table_CIA_JCTS,9,FALSE)</f>
        <v>148.39027999999999</v>
      </c>
      <c r="K144" s="56" t="s">
        <v>10</v>
      </c>
      <c r="L144" s="53" t="s">
        <v>10</v>
      </c>
      <c r="M144" s="55" t="s">
        <v>10</v>
      </c>
      <c r="N144" s="53" t="s">
        <v>10</v>
      </c>
      <c r="O144" s="53" t="s">
        <v>10</v>
      </c>
      <c r="P144" s="53">
        <f>VLOOKUP(51,table_CIA_JCTS,23,FALSE)</f>
        <v>71.533955918595495</v>
      </c>
      <c r="Q144" s="55">
        <f t="shared" si="9"/>
        <v>0.38221546840913373</v>
      </c>
      <c r="R144" s="54">
        <f>J144*Q144</f>
        <v>56.717060377562504</v>
      </c>
      <c r="S144" s="53">
        <v>48</v>
      </c>
      <c r="T144" s="55">
        <f>(4*R144)/(3.14159*(S144/12)^2)</f>
        <v>4.5134040706746035</v>
      </c>
      <c r="U144" s="56">
        <f>((R144/((0.463135/cell_NP)*((S144/12)^(8/3))))^2)*cell_FF</f>
        <v>1.793123267792555E-3</v>
      </c>
      <c r="V144" s="53">
        <v>496</v>
      </c>
      <c r="W144" s="53">
        <f>V144/(T144*60)</f>
        <v>1.8315813379924291</v>
      </c>
      <c r="X144" s="53">
        <f>W144+P144</f>
        <v>73.365537256587928</v>
      </c>
      <c r="Y144" s="55">
        <f>U144*V144</f>
        <v>0.88938914082510734</v>
      </c>
      <c r="Z144" s="55">
        <f>IF(VLOOKUP(54,table_CIA_JCTS,25,FALSE)+VLOOKUP(53,table_CIA_JCTS,24,FALSE)&lt;VLOOKUP(53,table_CIA_JCTS,28,FALSE),VLOOKUP(53,table_CIA_JCTS,28,FALSE),VLOOKUP(54,table_CIA_JCTS,25,FALSE)+VLOOKUP(53,table_CIA_JCTS,24,FALSE))</f>
        <v>402.00938914082514</v>
      </c>
      <c r="AA144" s="55">
        <v>405.82</v>
      </c>
      <c r="AB144" s="55">
        <f>(AA144-0.5)-Z144</f>
        <v>3.310610859174858</v>
      </c>
      <c r="AC144" s="57">
        <v>401.76</v>
      </c>
      <c r="AD144" t="s">
        <v>10</v>
      </c>
    </row>
    <row r="145" spans="1:30" x14ac:dyDescent="0.2">
      <c r="B145" s="216" t="s">
        <v>10</v>
      </c>
      <c r="C145" s="215">
        <v>54</v>
      </c>
      <c r="D145" s="54">
        <f>VLOOKUP(C145,table_DI,2)</f>
        <v>5.0999999999999996</v>
      </c>
      <c r="E145" s="54" t="s">
        <v>10</v>
      </c>
      <c r="F145" s="55">
        <f>VLOOKUP(C145,table_DI,5)</f>
        <v>0.9</v>
      </c>
      <c r="G145" s="54">
        <f>VLOOKUP(C145,table_DI,3)</f>
        <v>4.59</v>
      </c>
      <c r="H145" s="54" t="s">
        <v>10</v>
      </c>
      <c r="I145" s="54">
        <f>VLOOKUP(C145,table_DI,4)</f>
        <v>4.59</v>
      </c>
      <c r="J145" s="54" t="s">
        <v>10</v>
      </c>
      <c r="K145" s="56">
        <f>VLOOKUP(C145,table_DI,9)</f>
        <v>2.7101576182136594E-3</v>
      </c>
      <c r="L145" s="53">
        <f>VLOOKUP(C145,table_DI,8)</f>
        <v>2284</v>
      </c>
      <c r="M145" s="55">
        <f>(0.84*(K145^0.5)*(cell_GUTDEP^0.6666)/cell_NRD)</f>
        <v>1.5329025797747449</v>
      </c>
      <c r="N145" s="53">
        <f>VLOOKUP(C145,table_DI,10)</f>
        <v>5</v>
      </c>
      <c r="O145" s="53">
        <f>(L145/(M145*60))</f>
        <v>24.833063215446114</v>
      </c>
      <c r="P145" s="53">
        <f>N145+O145</f>
        <v>29.833063215446114</v>
      </c>
      <c r="Q145" s="55">
        <f t="shared" si="9"/>
        <v>0.66091868926415553</v>
      </c>
      <c r="R145" s="54">
        <f>Q145*I145</f>
        <v>3.0336167837224739</v>
      </c>
      <c r="S145" s="53" t="s">
        <v>10</v>
      </c>
      <c r="T145" s="55" t="s">
        <v>10</v>
      </c>
      <c r="U145" s="56" t="s">
        <v>10</v>
      </c>
      <c r="V145" s="53" t="s">
        <v>10</v>
      </c>
      <c r="W145" s="53" t="s">
        <v>10</v>
      </c>
      <c r="X145" s="53" t="s">
        <v>10</v>
      </c>
      <c r="Y145" s="55" t="s">
        <v>10</v>
      </c>
      <c r="Z145" s="55" t="s">
        <v>10</v>
      </c>
      <c r="AA145" s="55" t="s">
        <v>10</v>
      </c>
      <c r="AB145" s="55" t="s">
        <v>10</v>
      </c>
      <c r="AC145" s="57" t="s">
        <v>10</v>
      </c>
      <c r="AD145" t="s">
        <v>10</v>
      </c>
    </row>
    <row r="146" spans="1:30" x14ac:dyDescent="0.2">
      <c r="B146" s="216" t="s">
        <v>10</v>
      </c>
      <c r="C146" s="215">
        <v>55</v>
      </c>
      <c r="D146" s="54">
        <f>VLOOKUP(C146,table_DI,2)</f>
        <v>3.04</v>
      </c>
      <c r="E146" s="54" t="s">
        <v>10</v>
      </c>
      <c r="F146" s="55">
        <f>VLOOKUP(C146,table_DI,5)</f>
        <v>0.90131578947368429</v>
      </c>
      <c r="G146" s="54">
        <f>VLOOKUP(C146,table_DI,3)</f>
        <v>2.74</v>
      </c>
      <c r="H146" s="54" t="s">
        <v>10</v>
      </c>
      <c r="I146" s="54">
        <f>VLOOKUP(C146,table_DI,4)</f>
        <v>2.74</v>
      </c>
      <c r="J146" s="54" t="s">
        <v>10</v>
      </c>
      <c r="K146" s="56">
        <f>VLOOKUP(C146,table_DI,9)</f>
        <v>8.592425098925844E-4</v>
      </c>
      <c r="L146" s="53">
        <f>VLOOKUP(C146,table_DI,8)</f>
        <v>1769</v>
      </c>
      <c r="M146" s="55">
        <f>(0.84*(K146^0.5)*(cell_GUTDEP^0.6666)/cell_NRD)</f>
        <v>0.86312790557139263</v>
      </c>
      <c r="N146" s="53">
        <f>VLOOKUP(C146,table_DI,10)</f>
        <v>5</v>
      </c>
      <c r="O146" s="53">
        <f>(L146/(M146*60))</f>
        <v>34.158707119792751</v>
      </c>
      <c r="P146" s="53">
        <f>N146+O146</f>
        <v>39.158707119792751</v>
      </c>
      <c r="Q146" s="55">
        <f t="shared" si="9"/>
        <v>0.55740994926343335</v>
      </c>
      <c r="R146" s="54">
        <f>Q146*I146</f>
        <v>1.5273032609818076</v>
      </c>
      <c r="S146" s="53" t="s">
        <v>10</v>
      </c>
      <c r="T146" s="55" t="s">
        <v>10</v>
      </c>
      <c r="U146" s="56" t="s">
        <v>10</v>
      </c>
      <c r="V146" s="53" t="s">
        <v>10</v>
      </c>
      <c r="W146" s="53" t="s">
        <v>10</v>
      </c>
      <c r="X146" s="53" t="s">
        <v>10</v>
      </c>
      <c r="Y146" s="55" t="s">
        <v>10</v>
      </c>
      <c r="Z146" s="55" t="s">
        <v>10</v>
      </c>
      <c r="AA146" s="55" t="s">
        <v>10</v>
      </c>
      <c r="AB146" s="55" t="s">
        <v>10</v>
      </c>
      <c r="AC146" s="57" t="s">
        <v>10</v>
      </c>
      <c r="AD146" t="s">
        <v>10</v>
      </c>
    </row>
    <row r="147" spans="1:30" x14ac:dyDescent="0.2">
      <c r="B147" s="216">
        <v>54</v>
      </c>
      <c r="C147" s="217" t="s">
        <v>10</v>
      </c>
      <c r="D147" s="54" t="s">
        <v>10</v>
      </c>
      <c r="E147" s="54">
        <f>VLOOKUP(53,table_CIA_JCTS,4,FALSE)+VLOOKUP(54,table_CIA_INLETS,2,FALSE)+VLOOKUP(55,table_CIA_INLETS,2,FALSE)</f>
        <v>328.64000000000004</v>
      </c>
      <c r="F147" s="55" t="s">
        <v>10</v>
      </c>
      <c r="G147" s="54" t="s">
        <v>10</v>
      </c>
      <c r="H147" s="54">
        <f>VLOOKUP(53,table_CIA_JCTS,7,FALSE)+VLOOKUP(54,table_CIA_INLETS,5,FALSE)+VLOOKUP(55,table_CIA_INLETS,5,FALSE)</f>
        <v>144.19669999999999</v>
      </c>
      <c r="I147" s="54" t="s">
        <v>10</v>
      </c>
      <c r="J147" s="54">
        <f>VLOOKUP(53,table_CIA_JCTS,9,FALSE)+VLOOKUP(54,table_CIA_INLETS,7,FALSE)+VLOOKUP(55,table_CIA_INLETS,7,FALSE)</f>
        <v>155.72028</v>
      </c>
      <c r="K147" s="56" t="s">
        <v>10</v>
      </c>
      <c r="L147" s="53" t="s">
        <v>10</v>
      </c>
      <c r="M147" s="55" t="s">
        <v>10</v>
      </c>
      <c r="N147" s="53" t="s">
        <v>10</v>
      </c>
      <c r="O147" s="53" t="s">
        <v>10</v>
      </c>
      <c r="P147" s="53">
        <f>VLOOKUP(53,table_CIA_JCTS,23,FALSE)</f>
        <v>73.365537256587928</v>
      </c>
      <c r="Q147" s="55">
        <f t="shared" si="9"/>
        <v>0.37621202342735643</v>
      </c>
      <c r="R147" s="54">
        <f>J147*Q147</f>
        <v>58.583841627474506</v>
      </c>
      <c r="S147" s="53">
        <v>54</v>
      </c>
      <c r="T147" s="55">
        <f>(4*R147)/(3.14159*(S147/12)^2)</f>
        <v>3.6835223134420221</v>
      </c>
      <c r="U147" s="56">
        <f>((R147/((0.463135/cell_NP)*((S147/12)^(8/3))))^2)*cell_FF</f>
        <v>1.0207630955218316E-3</v>
      </c>
      <c r="V147" s="53">
        <v>45</v>
      </c>
      <c r="W147" s="53">
        <f>V147/(T147*60)</f>
        <v>0.2036094629488403</v>
      </c>
      <c r="X147" s="53">
        <f>W147+P147</f>
        <v>73.569146719536775</v>
      </c>
      <c r="Y147" s="55">
        <f>U147*V147</f>
        <v>4.5934339298482424E-2</v>
      </c>
      <c r="Z147" s="55">
        <f>IF(VLOOKUP(57,table_CIA_JCTS,25,FALSE)+VLOOKUP(54,table_CIA_JCTS,24,FALSE)&lt;VLOOKUP(54,table_CIA_JCTS,28,FALSE),VLOOKUP(54,table_CIA_JCTS,28,FALSE),VLOOKUP(57,table_CIA_JCTS,25,FALSE)+VLOOKUP(54,table_CIA_JCTS,24,FALSE))</f>
        <v>401.12</v>
      </c>
      <c r="AA147" s="55">
        <v>404.67</v>
      </c>
      <c r="AB147" s="55">
        <f>(AA147-0.5)-Z147</f>
        <v>3.0500000000000114</v>
      </c>
      <c r="AC147" s="57">
        <v>401.12</v>
      </c>
      <c r="AD147" t="s">
        <v>10</v>
      </c>
    </row>
    <row r="148" spans="1:30" x14ac:dyDescent="0.2">
      <c r="B148" s="216" t="s">
        <v>10</v>
      </c>
      <c r="C148" s="217" t="s">
        <v>10</v>
      </c>
      <c r="D148" s="54" t="s">
        <v>10</v>
      </c>
      <c r="E148" s="54" t="s">
        <v>10</v>
      </c>
      <c r="F148" s="55" t="s">
        <v>10</v>
      </c>
      <c r="G148" s="54" t="s">
        <v>10</v>
      </c>
      <c r="H148" s="54" t="s">
        <v>10</v>
      </c>
      <c r="I148" s="54" t="s">
        <v>10</v>
      </c>
      <c r="J148" s="54" t="s">
        <v>10</v>
      </c>
      <c r="K148" s="56" t="s">
        <v>10</v>
      </c>
      <c r="L148" s="53" t="s">
        <v>10</v>
      </c>
      <c r="M148" s="55" t="s">
        <v>10</v>
      </c>
      <c r="N148" s="53" t="s">
        <v>10</v>
      </c>
      <c r="O148" s="53" t="s">
        <v>10</v>
      </c>
      <c r="P148" s="53" t="s">
        <v>10</v>
      </c>
      <c r="Q148" s="55" t="s">
        <v>10</v>
      </c>
      <c r="R148" s="54" t="s">
        <v>10</v>
      </c>
      <c r="S148" s="53" t="s">
        <v>10</v>
      </c>
      <c r="T148" s="55" t="s">
        <v>10</v>
      </c>
      <c r="U148" s="56" t="s">
        <v>10</v>
      </c>
      <c r="V148" s="53" t="s">
        <v>10</v>
      </c>
      <c r="W148" s="53" t="s">
        <v>10</v>
      </c>
      <c r="X148" s="53" t="s">
        <v>10</v>
      </c>
      <c r="Y148" s="55" t="s">
        <v>10</v>
      </c>
      <c r="Z148" s="55" t="s">
        <v>10</v>
      </c>
      <c r="AA148" s="55" t="s">
        <v>10</v>
      </c>
      <c r="AB148" s="55" t="s">
        <v>10</v>
      </c>
      <c r="AC148" s="57" t="s">
        <v>10</v>
      </c>
      <c r="AD148" t="s">
        <v>10</v>
      </c>
    </row>
    <row r="149" spans="1:30" x14ac:dyDescent="0.2">
      <c r="B149" s="216" t="s">
        <v>10</v>
      </c>
      <c r="C149" s="215">
        <v>56</v>
      </c>
      <c r="D149" s="54">
        <f>VLOOKUP(C149,table_DI,2)</f>
        <v>2.46</v>
      </c>
      <c r="E149" s="54" t="s">
        <v>10</v>
      </c>
      <c r="F149" s="55">
        <f>VLOOKUP(C149,table_DI,5)</f>
        <v>0.35365853658536583</v>
      </c>
      <c r="G149" s="54">
        <f>VLOOKUP(C149,table_DI,3)</f>
        <v>0.79</v>
      </c>
      <c r="H149" s="54" t="s">
        <v>10</v>
      </c>
      <c r="I149" s="54">
        <f>VLOOKUP(C149,table_DI,4)</f>
        <v>0.87</v>
      </c>
      <c r="J149" s="54" t="s">
        <v>10</v>
      </c>
      <c r="K149" s="56">
        <f>VLOOKUP(C149,table_DI,9)</f>
        <v>3.3445378151259701E-3</v>
      </c>
      <c r="L149" s="53">
        <f>VLOOKUP(C149,table_DI,8)</f>
        <v>595</v>
      </c>
      <c r="M149" s="55">
        <f>(0.84*(K149^0.5)*(cell_GUTDEP^0.6666)/cell_NRD)</f>
        <v>1.7028850617338362</v>
      </c>
      <c r="N149" s="53">
        <f>VLOOKUP(C149,table_DI,10)</f>
        <v>25</v>
      </c>
      <c r="O149" s="53">
        <f>(L149/(M149*60))</f>
        <v>5.8234503840028742</v>
      </c>
      <c r="P149" s="53">
        <f>N149+O149</f>
        <v>30.823450384002875</v>
      </c>
      <c r="Q149" s="55">
        <f>cell_P*(P149^cell_E)</f>
        <v>0.64753967874564355</v>
      </c>
      <c r="R149" s="54">
        <f>Q149*I149</f>
        <v>0.56335952050870985</v>
      </c>
      <c r="S149" s="53" t="s">
        <v>10</v>
      </c>
      <c r="T149" s="55" t="s">
        <v>10</v>
      </c>
      <c r="U149" s="56" t="s">
        <v>10</v>
      </c>
      <c r="V149" s="53" t="s">
        <v>10</v>
      </c>
      <c r="W149" s="53" t="s">
        <v>10</v>
      </c>
      <c r="X149" s="53" t="s">
        <v>10</v>
      </c>
      <c r="Y149" s="55" t="s">
        <v>10</v>
      </c>
      <c r="Z149" s="55" t="s">
        <v>10</v>
      </c>
      <c r="AA149" s="55" t="s">
        <v>10</v>
      </c>
      <c r="AB149" s="55" t="s">
        <v>10</v>
      </c>
      <c r="AC149" s="57" t="s">
        <v>10</v>
      </c>
      <c r="AD149" t="s">
        <v>10</v>
      </c>
    </row>
    <row r="150" spans="1:30" x14ac:dyDescent="0.2">
      <c r="B150" s="216" t="s">
        <v>10</v>
      </c>
      <c r="C150" s="215">
        <v>56.1</v>
      </c>
      <c r="D150" s="54">
        <f>VLOOKUP(C150,table_DI,2)</f>
        <v>11</v>
      </c>
      <c r="E150" s="54" t="s">
        <v>10</v>
      </c>
      <c r="F150" s="55">
        <f>VLOOKUP(C150,table_DI,5)</f>
        <v>0.34799999999999998</v>
      </c>
      <c r="G150" s="54">
        <f>VLOOKUP(C150,table_DI,3)</f>
        <v>3.19</v>
      </c>
      <c r="H150" s="54" t="s">
        <v>10</v>
      </c>
      <c r="I150" s="54">
        <f>VLOOKUP(C150,table_DI,4)</f>
        <v>3.8279999999999998</v>
      </c>
      <c r="J150" s="54" t="s">
        <v>10</v>
      </c>
      <c r="K150" s="56">
        <f>VLOOKUP(C150,table_DI,9)</f>
        <v>2.8475336322869547E-3</v>
      </c>
      <c r="L150" s="53">
        <f>VLOOKUP(C150,table_DI,8)</f>
        <v>892</v>
      </c>
      <c r="M150" s="55">
        <f>(0.84*(K150^0.5)*(cell_GUTDEP^0.6666)/cell_NRD)</f>
        <v>1.5712732302678543</v>
      </c>
      <c r="N150" s="53">
        <f>VLOOKUP(C150,table_DI,10)</f>
        <v>25</v>
      </c>
      <c r="O150" s="53">
        <f>(L150/(M150*60))</f>
        <v>9.4615413667630257</v>
      </c>
      <c r="P150" s="53">
        <f>N150+O150</f>
        <v>34.461541366763029</v>
      </c>
      <c r="Q150" s="55">
        <f>cell_P*(P150^cell_E)</f>
        <v>0.603844114167297</v>
      </c>
      <c r="R150" s="54">
        <f>Q150*I150</f>
        <v>2.3115152690324128</v>
      </c>
      <c r="S150" s="53" t="s">
        <v>10</v>
      </c>
      <c r="T150" s="55" t="s">
        <v>10</v>
      </c>
      <c r="U150" s="56" t="s">
        <v>10</v>
      </c>
      <c r="V150" s="53" t="s">
        <v>10</v>
      </c>
      <c r="W150" s="53" t="s">
        <v>10</v>
      </c>
      <c r="X150" s="53" t="s">
        <v>10</v>
      </c>
      <c r="Y150" s="55" t="s">
        <v>10</v>
      </c>
      <c r="Z150" s="55" t="s">
        <v>10</v>
      </c>
      <c r="AA150" s="55" t="s">
        <v>10</v>
      </c>
      <c r="AB150" s="55" t="s">
        <v>10</v>
      </c>
      <c r="AC150" s="57" t="s">
        <v>10</v>
      </c>
      <c r="AD150" t="s">
        <v>10</v>
      </c>
    </row>
    <row r="151" spans="1:30" x14ac:dyDescent="0.2">
      <c r="B151" s="216">
        <v>55</v>
      </c>
      <c r="C151" s="217" t="s">
        <v>10</v>
      </c>
      <c r="D151" s="54" t="s">
        <v>10</v>
      </c>
      <c r="E151" s="54">
        <f>VLOOKUP(56,table_CIA_INLETS,2,FALSE)+VLOOKUP(56.1,table_CIA_INLETS,2,FALSE)</f>
        <v>13.46</v>
      </c>
      <c r="F151" s="55" t="s">
        <v>10</v>
      </c>
      <c r="G151" s="54" t="s">
        <v>10</v>
      </c>
      <c r="H151" s="54">
        <f>VLOOKUP(56,table_CIA_INLETS,5,FALSE)+VLOOKUP(56.1,table_CIA_INLETS,5,FALSE)</f>
        <v>3.98</v>
      </c>
      <c r="I151" s="54" t="s">
        <v>10</v>
      </c>
      <c r="J151" s="54">
        <f>VLOOKUP(56,table_CIA_INLETS,7,FALSE)+VLOOKUP(56.1,table_CIA_INLETS,7,FALSE)</f>
        <v>4.6979999999999995</v>
      </c>
      <c r="K151" s="56" t="s">
        <v>10</v>
      </c>
      <c r="L151" s="53" t="s">
        <v>10</v>
      </c>
      <c r="M151" s="55" t="s">
        <v>10</v>
      </c>
      <c r="N151" s="53" t="s">
        <v>10</v>
      </c>
      <c r="O151" s="53" t="s">
        <v>10</v>
      </c>
      <c r="P151" s="53">
        <f>VLOOKUP(56.1,table_CIA_INLETS,14,FALSE)</f>
        <v>34.461541366763029</v>
      </c>
      <c r="Q151" s="55">
        <f>cell_P*(P151^cell_E)</f>
        <v>0.603844114167297</v>
      </c>
      <c r="R151" s="54">
        <f>J151*Q151</f>
        <v>2.8368596483579611</v>
      </c>
      <c r="S151" s="53">
        <v>18</v>
      </c>
      <c r="T151" s="55">
        <f>(4*R151)/(3.14159*(S151/12)^2)</f>
        <v>1.6053355280368427</v>
      </c>
      <c r="U151" s="56">
        <f>((R151/((0.463135/cell_NP)*((S151/12)^(8/3))))^2)*cell_FF</f>
        <v>8.3886419468078477E-4</v>
      </c>
      <c r="V151" s="53">
        <v>686</v>
      </c>
      <c r="W151" s="53">
        <f>V151/(T151*60)</f>
        <v>7.122083286423682</v>
      </c>
      <c r="X151" s="53">
        <f>W151+P151</f>
        <v>41.58362465318671</v>
      </c>
      <c r="Y151" s="55">
        <f>U151*V151</f>
        <v>0.5754608375510184</v>
      </c>
      <c r="Z151" s="55">
        <f>IF(VLOOKUP(57,table_CIA_JCTS,25,FALSE)+VLOOKUP(55,table_CIA_JCTS,24,FALSE)&lt;VLOOKUP(55,table_CIA_JCTS,28,FALSE),VLOOKUP(55,table_CIA_JCTS,28,FALSE),VLOOKUP(57,table_CIA_JCTS,25,FALSE)+VLOOKUP(55,table_CIA_JCTS,24,FALSE))</f>
        <v>401.50546083755103</v>
      </c>
      <c r="AA151" s="55">
        <v>405.16</v>
      </c>
      <c r="AB151" s="55">
        <f>(AA151-0.5)-Z151</f>
        <v>3.154539162448998</v>
      </c>
      <c r="AC151" s="57" t="s">
        <v>10</v>
      </c>
      <c r="AD151" t="s">
        <v>10</v>
      </c>
    </row>
    <row r="152" spans="1:30" x14ac:dyDescent="0.2">
      <c r="B152" s="216" t="s">
        <v>10</v>
      </c>
      <c r="C152" s="215">
        <v>57</v>
      </c>
      <c r="D152" s="54">
        <f>VLOOKUP(C152,table_DI,2)</f>
        <v>6.24</v>
      </c>
      <c r="E152" s="54" t="s">
        <v>10</v>
      </c>
      <c r="F152" s="55">
        <f>VLOOKUP(C152,table_DI,5)</f>
        <v>0.61173076923076919</v>
      </c>
      <c r="G152" s="54">
        <f>VLOOKUP(C152,table_DI,3)</f>
        <v>3.5259999999999998</v>
      </c>
      <c r="H152" s="54" t="s">
        <v>10</v>
      </c>
      <c r="I152" s="54">
        <f>VLOOKUP(C152,table_DI,4)</f>
        <v>3.8172000000000001</v>
      </c>
      <c r="J152" s="54" t="s">
        <v>10</v>
      </c>
      <c r="K152" s="56">
        <f>VLOOKUP(C152,table_DI,9)</f>
        <v>2.7719528178243892E-3</v>
      </c>
      <c r="L152" s="53">
        <f>VLOOKUP(C152,table_DI,8)</f>
        <v>1526</v>
      </c>
      <c r="M152" s="55">
        <f>(0.84*(K152^0.5)*(cell_GUTDEP^0.6666)/cell_NRD)</f>
        <v>1.5502801891255378</v>
      </c>
      <c r="N152" s="53">
        <f>VLOOKUP(C152,table_DI,10)</f>
        <v>25</v>
      </c>
      <c r="O152" s="53">
        <f>(L152/(M152*60))</f>
        <v>16.405636549919045</v>
      </c>
      <c r="P152" s="53">
        <f>N152+O152</f>
        <v>41.405636549919045</v>
      </c>
      <c r="Q152" s="55">
        <f>cell_P*(P152^cell_E)</f>
        <v>0.53827125512884932</v>
      </c>
      <c r="R152" s="54">
        <f>Q152*I152</f>
        <v>2.0546890350778435</v>
      </c>
      <c r="S152" s="53" t="s">
        <v>10</v>
      </c>
      <c r="T152" s="55" t="s">
        <v>10</v>
      </c>
      <c r="U152" s="56" t="s">
        <v>10</v>
      </c>
      <c r="V152" s="53" t="s">
        <v>10</v>
      </c>
      <c r="W152" s="53" t="s">
        <v>10</v>
      </c>
      <c r="X152" s="53" t="s">
        <v>10</v>
      </c>
      <c r="Y152" s="55" t="s">
        <v>10</v>
      </c>
      <c r="Z152" s="55" t="s">
        <v>10</v>
      </c>
      <c r="AA152" s="55" t="s">
        <v>10</v>
      </c>
      <c r="AB152" s="55" t="s">
        <v>10</v>
      </c>
      <c r="AC152" s="57" t="s">
        <v>10</v>
      </c>
      <c r="AD152" t="s">
        <v>10</v>
      </c>
    </row>
    <row r="153" spans="1:30" x14ac:dyDescent="0.2">
      <c r="B153" s="216">
        <v>57</v>
      </c>
      <c r="C153" s="217" t="s">
        <v>10</v>
      </c>
      <c r="D153" s="54" t="s">
        <v>10</v>
      </c>
      <c r="E153" s="54">
        <f>VLOOKUP(54,table_CIA_JCTS,4,FALSE)+VLOOKUP(55,table_CIA_JCTS,4,FALSE)+VLOOKUP(57,table_CIA_INLETS,2,FALSE)</f>
        <v>348.34000000000003</v>
      </c>
      <c r="F153" s="55" t="s">
        <v>10</v>
      </c>
      <c r="G153" s="54" t="s">
        <v>10</v>
      </c>
      <c r="H153" s="54">
        <f>VLOOKUP(54,table_CIA_JCTS,7,FALSE)+VLOOKUP(55,table_CIA_JCTS,7,FALSE)+VLOOKUP(57,table_CIA_INLETS,5,FALSE)</f>
        <v>151.70269999999999</v>
      </c>
      <c r="I153" s="54" t="s">
        <v>10</v>
      </c>
      <c r="J153" s="54">
        <f>VLOOKUP(54,table_CIA_JCTS,9,FALSE)+VLOOKUP(55,table_CIA_JCTS,9,FALSE)+VLOOKUP(57,table_CIA_INLETS,7,FALSE)</f>
        <v>164.23548000000002</v>
      </c>
      <c r="K153" s="56" t="s">
        <v>10</v>
      </c>
      <c r="L153" s="53" t="s">
        <v>10</v>
      </c>
      <c r="M153" s="55" t="s">
        <v>10</v>
      </c>
      <c r="N153" s="53" t="s">
        <v>10</v>
      </c>
      <c r="O153" s="53" t="s">
        <v>10</v>
      </c>
      <c r="P153" s="53">
        <f>VLOOKUP(54,table_CIA_JCTS,23,FALSE)</f>
        <v>73.569146719536775</v>
      </c>
      <c r="Q153" s="55">
        <f>cell_P*(P153^cell_E)</f>
        <v>0.3755596851757188</v>
      </c>
      <c r="R153" s="54">
        <f>J153*Q153</f>
        <v>61.680225163483072</v>
      </c>
      <c r="S153" s="53">
        <v>54</v>
      </c>
      <c r="T153" s="55">
        <f>(4*R153)/(3.14159*(S153/12)^2)</f>
        <v>3.8782107723926744</v>
      </c>
      <c r="U153" s="56">
        <f>((R153/((0.463135/cell_NP)*((S153/12)^(8/3))))^2)*cell_FF</f>
        <v>1.1315172182193379E-3</v>
      </c>
      <c r="V153" s="53">
        <v>420</v>
      </c>
      <c r="W153" s="53">
        <f>V153/(T153*60)</f>
        <v>1.8049560508237483</v>
      </c>
      <c r="X153" s="53">
        <f>W153+P153</f>
        <v>75.374102770360523</v>
      </c>
      <c r="Y153" s="55">
        <f>U153*V153</f>
        <v>0.47523723165212189</v>
      </c>
      <c r="Z153" s="55">
        <f>IF(VLOOKUP(62,table_CIA_JCTS,25,FALSE)+VLOOKUP(57,table_CIA_JCTS,24,FALSE)&lt;VLOOKUP(57,table_CIA_JCTS,28,FALSE),VLOOKUP(57,table_CIA_JCTS,28,FALSE),VLOOKUP(62,table_CIA_JCTS,25,FALSE)+VLOOKUP(57,table_CIA_JCTS,24,FALSE))</f>
        <v>400.93</v>
      </c>
      <c r="AA153" s="55">
        <v>404.82</v>
      </c>
      <c r="AB153" s="55">
        <f>(AA153-0.5)-Z153</f>
        <v>3.3899999999999864</v>
      </c>
      <c r="AC153" s="57">
        <v>400.93</v>
      </c>
      <c r="AD153" t="s">
        <v>10</v>
      </c>
    </row>
    <row r="154" spans="1:30" x14ac:dyDescent="0.2">
      <c r="B154" s="216" t="s">
        <v>10</v>
      </c>
      <c r="C154" s="217" t="s">
        <v>10</v>
      </c>
      <c r="D154" s="54" t="s">
        <v>10</v>
      </c>
      <c r="E154" s="54" t="s">
        <v>10</v>
      </c>
      <c r="F154" s="55" t="s">
        <v>10</v>
      </c>
      <c r="G154" s="54" t="s">
        <v>10</v>
      </c>
      <c r="H154" s="54" t="s">
        <v>10</v>
      </c>
      <c r="I154" s="54" t="s">
        <v>10</v>
      </c>
      <c r="J154" s="54" t="s">
        <v>10</v>
      </c>
      <c r="K154" s="56" t="s">
        <v>10</v>
      </c>
      <c r="L154" s="53" t="s">
        <v>10</v>
      </c>
      <c r="M154" s="55" t="s">
        <v>10</v>
      </c>
      <c r="N154" s="53" t="s">
        <v>10</v>
      </c>
      <c r="O154" s="53" t="s">
        <v>10</v>
      </c>
      <c r="P154" s="53" t="s">
        <v>10</v>
      </c>
      <c r="Q154" s="55" t="s">
        <v>10</v>
      </c>
      <c r="R154" s="54" t="s">
        <v>10</v>
      </c>
      <c r="S154" s="53" t="s">
        <v>10</v>
      </c>
      <c r="T154" s="55" t="s">
        <v>10</v>
      </c>
      <c r="U154" s="56" t="s">
        <v>10</v>
      </c>
      <c r="V154" s="53" t="s">
        <v>10</v>
      </c>
      <c r="W154" s="53" t="s">
        <v>10</v>
      </c>
      <c r="X154" s="53" t="s">
        <v>10</v>
      </c>
      <c r="Y154" s="55" t="s">
        <v>10</v>
      </c>
      <c r="Z154" s="55" t="s">
        <v>10</v>
      </c>
      <c r="AA154" s="55" t="s">
        <v>10</v>
      </c>
      <c r="AB154" s="55" t="s">
        <v>10</v>
      </c>
      <c r="AC154" s="57" t="s">
        <v>10</v>
      </c>
      <c r="AD154" t="s">
        <v>10</v>
      </c>
    </row>
    <row r="155" spans="1:30" x14ac:dyDescent="0.2">
      <c r="B155" s="216" t="s">
        <v>10</v>
      </c>
      <c r="C155" s="215">
        <v>60</v>
      </c>
      <c r="D155" s="54">
        <f>VLOOKUP(C155,table_DI,2)</f>
        <v>8.58</v>
      </c>
      <c r="E155" s="54" t="s">
        <v>10</v>
      </c>
      <c r="F155" s="55">
        <f>VLOOKUP(C155,table_DI,5)</f>
        <v>0.6048951048951049</v>
      </c>
      <c r="G155" s="54">
        <f>VLOOKUP(C155,table_DI,3)</f>
        <v>4.72</v>
      </c>
      <c r="H155" s="54" t="s">
        <v>10</v>
      </c>
      <c r="I155" s="54">
        <f>VLOOKUP(C155,table_DI,4)</f>
        <v>5.19</v>
      </c>
      <c r="J155" s="54" t="s">
        <v>10</v>
      </c>
      <c r="K155" s="56">
        <f>VLOOKUP(C155,table_DI,9)</f>
        <v>3.3593750000000039E-3</v>
      </c>
      <c r="L155" s="53">
        <f>VLOOKUP(C155,table_DI,8)</f>
        <v>1152</v>
      </c>
      <c r="M155" s="55">
        <f>(0.84*(K155^0.5)*(cell_GUTDEP^0.6666)/cell_NRD)</f>
        <v>1.7066580884272851</v>
      </c>
      <c r="N155" s="53">
        <f>VLOOKUP(C155,table_DI,10)</f>
        <v>20</v>
      </c>
      <c r="O155" s="53">
        <f>(L155/(M155*60))</f>
        <v>11.250056546295768</v>
      </c>
      <c r="P155" s="53">
        <f>N155+O155</f>
        <v>31.250056546295767</v>
      </c>
      <c r="Q155" s="55">
        <f t="shared" ref="Q155:Q161" si="10">cell_P*(P155^cell_E)</f>
        <v>0.64198998014798048</v>
      </c>
      <c r="R155" s="54">
        <f>Q155*I155</f>
        <v>3.3319279969680191</v>
      </c>
      <c r="S155" s="53" t="s">
        <v>10</v>
      </c>
      <c r="T155" s="55" t="s">
        <v>10</v>
      </c>
      <c r="U155" s="56" t="s">
        <v>10</v>
      </c>
      <c r="V155" s="53" t="s">
        <v>10</v>
      </c>
      <c r="W155" s="53" t="s">
        <v>10</v>
      </c>
      <c r="X155" s="53" t="s">
        <v>10</v>
      </c>
      <c r="Y155" s="55" t="s">
        <v>10</v>
      </c>
      <c r="Z155" s="55" t="s">
        <v>10</v>
      </c>
      <c r="AA155" s="55" t="s">
        <v>10</v>
      </c>
      <c r="AB155" s="55" t="s">
        <v>10</v>
      </c>
      <c r="AC155" s="57" t="s">
        <v>10</v>
      </c>
      <c r="AD155" t="s">
        <v>10</v>
      </c>
    </row>
    <row r="156" spans="1:30" x14ac:dyDescent="0.2">
      <c r="A156" s="681" t="s">
        <v>561</v>
      </c>
      <c r="B156" s="481" t="s">
        <v>10</v>
      </c>
      <c r="C156" s="482">
        <v>61</v>
      </c>
      <c r="D156" s="483">
        <f>VLOOKUP(C156,table_DI,2)</f>
        <v>16.899999999999999</v>
      </c>
      <c r="E156" s="483" t="s">
        <v>10</v>
      </c>
      <c r="F156" s="484">
        <f>VLOOKUP(C156,table_DI,5)</f>
        <v>0.68505917159763319</v>
      </c>
      <c r="G156" s="483">
        <f>VLOOKUP(C156,table_DI,3)</f>
        <v>10.524999999999999</v>
      </c>
      <c r="H156" s="483" t="s">
        <v>10</v>
      </c>
      <c r="I156" s="483">
        <f>VLOOKUP(C156,table_DI,4)</f>
        <v>11.577500000000001</v>
      </c>
      <c r="J156" s="483" t="s">
        <v>10</v>
      </c>
      <c r="K156" s="485">
        <f>VLOOKUP(C156,table_DI,9)</f>
        <v>1.8221258134490312E-3</v>
      </c>
      <c r="L156" s="486">
        <f>VLOOKUP(C156,table_DI,8)</f>
        <v>922</v>
      </c>
      <c r="M156" s="484">
        <f>(0.84*(K156^0.5)*(cell_GUTDEP^0.6666)/cell_NRD)</f>
        <v>1.2569165964009843</v>
      </c>
      <c r="N156" s="486">
        <f>VLOOKUP(C156,table_DI,10)</f>
        <v>10</v>
      </c>
      <c r="O156" s="486">
        <f>(L156/(M156*60))</f>
        <v>12.225685228969924</v>
      </c>
      <c r="P156" s="486">
        <f>N156+O156</f>
        <v>22.225685228969922</v>
      </c>
      <c r="Q156" s="484">
        <f t="shared" si="10"/>
        <v>0.79469983849213277</v>
      </c>
      <c r="R156" s="483">
        <f>Q156*I156</f>
        <v>9.200637380142668</v>
      </c>
      <c r="S156" s="486" t="s">
        <v>10</v>
      </c>
      <c r="T156" s="484" t="s">
        <v>10</v>
      </c>
      <c r="U156" s="485" t="s">
        <v>10</v>
      </c>
      <c r="V156" s="486" t="s">
        <v>10</v>
      </c>
      <c r="W156" s="486" t="s">
        <v>10</v>
      </c>
      <c r="X156" s="486" t="s">
        <v>10</v>
      </c>
      <c r="Y156" s="484" t="s">
        <v>10</v>
      </c>
      <c r="Z156" s="484" t="s">
        <v>10</v>
      </c>
      <c r="AA156" s="484" t="s">
        <v>10</v>
      </c>
      <c r="AB156" s="484" t="s">
        <v>10</v>
      </c>
      <c r="AC156" s="487" t="s">
        <v>10</v>
      </c>
      <c r="AD156" t="s">
        <v>10</v>
      </c>
    </row>
    <row r="157" spans="1:30" x14ac:dyDescent="0.2">
      <c r="A157" s="681"/>
      <c r="B157" s="481">
        <v>61</v>
      </c>
      <c r="C157" s="488" t="s">
        <v>10</v>
      </c>
      <c r="D157" s="483" t="s">
        <v>10</v>
      </c>
      <c r="E157" s="483">
        <f>VLOOKUP(60,table_CIA_INLETS,2,FALSE)+VLOOKUP(61,table_CIA_INLETS,2,FALSE)</f>
        <v>25.479999999999997</v>
      </c>
      <c r="F157" s="484" t="s">
        <v>10</v>
      </c>
      <c r="G157" s="483" t="s">
        <v>10</v>
      </c>
      <c r="H157" s="483">
        <f>VLOOKUP(60,table_CIA_INLETS,5,FALSE)+VLOOKUP(61,table_CIA_INLETS,5,FALSE)</f>
        <v>15.244999999999997</v>
      </c>
      <c r="I157" s="483" t="s">
        <v>10</v>
      </c>
      <c r="J157" s="483">
        <f>VLOOKUP(60,table_CIA_INLETS,7,FALSE)+VLOOKUP(61,table_CIA_INLETS,7,FALSE)</f>
        <v>16.767500000000002</v>
      </c>
      <c r="K157" s="485" t="s">
        <v>10</v>
      </c>
      <c r="L157" s="486" t="s">
        <v>10</v>
      </c>
      <c r="M157" s="484" t="s">
        <v>10</v>
      </c>
      <c r="N157" s="486" t="s">
        <v>10</v>
      </c>
      <c r="O157" s="486" t="s">
        <v>10</v>
      </c>
      <c r="P157" s="486">
        <v>28</v>
      </c>
      <c r="Q157" s="484">
        <f t="shared" si="10"/>
        <v>0.68769119899978104</v>
      </c>
      <c r="R157" s="483">
        <f>J157*Q157</f>
        <v>11.53086217922883</v>
      </c>
      <c r="S157" s="486">
        <v>30</v>
      </c>
      <c r="T157" s="484">
        <f>(4*R157)/(3.14159*(S157/12)^2)</f>
        <v>2.3490499379952352</v>
      </c>
      <c r="U157" s="485">
        <f>((R157/((0.463135/cell_NP)*((S157/12)^(8/3))))^2)*cell_FF</f>
        <v>9.0896296653065025E-4</v>
      </c>
      <c r="V157" s="486">
        <v>216</v>
      </c>
      <c r="W157" s="486">
        <f>V157/(T157*60)</f>
        <v>1.5325344692639318</v>
      </c>
      <c r="X157" s="486">
        <f>W157+P157</f>
        <v>29.532534469263933</v>
      </c>
      <c r="Y157" s="484">
        <f>U157*V157</f>
        <v>0.19633600077062047</v>
      </c>
      <c r="Z157" s="484">
        <f>IF(VLOOKUP(62,table_CIA_JCTS,25,FALSE)+VLOOKUP(61,table_CIA_JCTS,24,FALSE)&lt;VLOOKUP(61,table_CIA_JCTS,28,FALSE),VLOOKUP(61,table_CIA_JCTS,28,FALSE),VLOOKUP(62,table_CIA_JCTS,25,FALSE)+VLOOKUP(61,table_CIA_JCTS,24,FALSE))</f>
        <v>399.45</v>
      </c>
      <c r="AA157" s="484">
        <v>404.82</v>
      </c>
      <c r="AB157" s="484">
        <f>(AA157-0.5)-Z157</f>
        <v>4.8700000000000045</v>
      </c>
      <c r="AC157" s="487">
        <v>399.45</v>
      </c>
      <c r="AD157" t="s">
        <v>10</v>
      </c>
    </row>
    <row r="158" spans="1:30" x14ac:dyDescent="0.2">
      <c r="B158" s="216">
        <v>62</v>
      </c>
      <c r="C158" s="217" t="s">
        <v>10</v>
      </c>
      <c r="D158" s="54" t="s">
        <v>10</v>
      </c>
      <c r="E158" s="54">
        <f>VLOOKUP(57,table_CIA_JCTS,4,FALSE)+VLOOKUP(61,table_CIA_JCTS,4,FALSE)</f>
        <v>373.82000000000005</v>
      </c>
      <c r="F158" s="55" t="s">
        <v>10</v>
      </c>
      <c r="G158" s="54" t="s">
        <v>10</v>
      </c>
      <c r="H158" s="54">
        <f>VLOOKUP(57,table_CIA_JCTS,7,FALSE)+VLOOKUP(61,table_CIA_JCTS,7,FALSE)</f>
        <v>166.9477</v>
      </c>
      <c r="I158" s="54" t="s">
        <v>10</v>
      </c>
      <c r="J158" s="54">
        <f>VLOOKUP(57,table_CIA_JCTS,9,FALSE)+VLOOKUP(61,table_CIA_JCTS,9,FALSE)</f>
        <v>181.00298000000004</v>
      </c>
      <c r="K158" s="56" t="s">
        <v>10</v>
      </c>
      <c r="L158" s="53" t="s">
        <v>10</v>
      </c>
      <c r="M158" s="55" t="s">
        <v>10</v>
      </c>
      <c r="N158" s="53" t="s">
        <v>10</v>
      </c>
      <c r="O158" s="53" t="s">
        <v>10</v>
      </c>
      <c r="P158" s="53">
        <f>VLOOKUP(57,table_CIA_JCTS,23,FALSE)</f>
        <v>75.374102770360523</v>
      </c>
      <c r="Q158" s="55">
        <f t="shared" si="10"/>
        <v>0.36990253855782795</v>
      </c>
      <c r="R158" s="54">
        <f>J158*Q158</f>
        <v>66.953461788531769</v>
      </c>
      <c r="S158" s="53">
        <v>54</v>
      </c>
      <c r="T158" s="55">
        <f>(4*R158)/(3.14159*(S158/12)^2)</f>
        <v>4.2097712203390776</v>
      </c>
      <c r="U158" s="56">
        <f>((R158/((0.463135/cell_NP)*((S158/12)^(8/3))))^2)*cell_FF</f>
        <v>1.3332615044886517E-3</v>
      </c>
      <c r="V158" s="53">
        <v>619</v>
      </c>
      <c r="W158" s="53">
        <f>V158/(T158*60)</f>
        <v>2.4506478206755631</v>
      </c>
      <c r="X158" s="53">
        <f>W158+P158</f>
        <v>77.824750591036093</v>
      </c>
      <c r="Y158" s="55">
        <f>U158*V158</f>
        <v>0.82528887127847539</v>
      </c>
      <c r="Z158" s="55">
        <f>IF(VLOOKUP(63,table_CIA_JCTS,25,FALSE)+VLOOKUP(62,table_CIA_JCTS,24,FALSE)&lt;VLOOKUP(62,table_CIA_JCTS,28,FALSE),VLOOKUP(62,table_CIA_JCTS,28,FALSE),VLOOKUP(63,table_CIA_JCTS,25,FALSE)+VLOOKUP(62,table_CIA_JCTS,24,FALSE))</f>
        <v>398.44</v>
      </c>
      <c r="AA158" s="55">
        <v>404.25</v>
      </c>
      <c r="AB158" s="55">
        <f>(AA158-0.5)-Z158</f>
        <v>5.3100000000000023</v>
      </c>
      <c r="AC158" s="57">
        <v>398.44</v>
      </c>
      <c r="AD158" t="s">
        <v>10</v>
      </c>
    </row>
    <row r="159" spans="1:30" x14ac:dyDescent="0.2">
      <c r="B159" s="216" t="s">
        <v>10</v>
      </c>
      <c r="C159" s="215">
        <v>62</v>
      </c>
      <c r="D159" s="54">
        <f>VLOOKUP(C159,table_DI,2)</f>
        <v>1.35</v>
      </c>
      <c r="E159" s="54" t="s">
        <v>10</v>
      </c>
      <c r="F159" s="55">
        <f>VLOOKUP(C159,table_DI,5)</f>
        <v>0.9</v>
      </c>
      <c r="G159" s="54">
        <f>VLOOKUP(C159,table_DI,3)</f>
        <v>1.2150000000000001</v>
      </c>
      <c r="H159" s="54" t="s">
        <v>10</v>
      </c>
      <c r="I159" s="54">
        <f>VLOOKUP(C159,table_DI,4)</f>
        <v>1.2150000000000001</v>
      </c>
      <c r="J159" s="54" t="s">
        <v>10</v>
      </c>
      <c r="K159" s="56">
        <f>VLOOKUP(C159,table_DI,9)</f>
        <v>2.9158878504672941E-3</v>
      </c>
      <c r="L159" s="53">
        <f>VLOOKUP(C159,table_DI,8)</f>
        <v>535</v>
      </c>
      <c r="M159" s="55">
        <f>(0.84*(K159^0.5)*(cell_GUTDEP^0.6666)/cell_NRD)</f>
        <v>1.5900203713952419</v>
      </c>
      <c r="N159" s="53">
        <f>VLOOKUP(C159,table_DI,10)</f>
        <v>5</v>
      </c>
      <c r="O159" s="53">
        <f>(L159/(M159*60))</f>
        <v>5.6078946075654974</v>
      </c>
      <c r="P159" s="53">
        <f>N159+O159</f>
        <v>10.607894607565498</v>
      </c>
      <c r="Q159" s="55">
        <f t="shared" si="10"/>
        <v>1.2628588813432291</v>
      </c>
      <c r="R159" s="54">
        <f>Q159*I159</f>
        <v>1.5343735408320234</v>
      </c>
      <c r="S159" s="53" t="s">
        <v>10</v>
      </c>
      <c r="T159" s="55" t="s">
        <v>10</v>
      </c>
      <c r="U159" s="56" t="s">
        <v>10</v>
      </c>
      <c r="V159" s="53" t="s">
        <v>10</v>
      </c>
      <c r="W159" s="53" t="s">
        <v>10</v>
      </c>
      <c r="X159" s="53" t="s">
        <v>10</v>
      </c>
      <c r="Y159" s="55" t="s">
        <v>10</v>
      </c>
      <c r="Z159" s="55" t="s">
        <v>10</v>
      </c>
      <c r="AA159" s="55" t="s">
        <v>10</v>
      </c>
      <c r="AB159" s="55" t="s">
        <v>10</v>
      </c>
      <c r="AC159" s="57" t="s">
        <v>10</v>
      </c>
      <c r="AD159" t="s">
        <v>10</v>
      </c>
    </row>
    <row r="160" spans="1:30" x14ac:dyDescent="0.2">
      <c r="B160" s="216" t="s">
        <v>10</v>
      </c>
      <c r="C160" s="215">
        <v>63</v>
      </c>
      <c r="D160" s="54">
        <f>VLOOKUP(C160,table_DI,2)</f>
        <v>3.32</v>
      </c>
      <c r="E160" s="54" t="s">
        <v>10</v>
      </c>
      <c r="F160" s="55">
        <f>VLOOKUP(C160,table_DI,5)</f>
        <v>0.80524096385542177</v>
      </c>
      <c r="G160" s="54">
        <f>VLOOKUP(C160,table_DI,3)</f>
        <v>2.504</v>
      </c>
      <c r="H160" s="54" t="s">
        <v>10</v>
      </c>
      <c r="I160" s="54">
        <f>VLOOKUP(C160,table_DI,4)</f>
        <v>2.6734</v>
      </c>
      <c r="J160" s="54" t="s">
        <v>10</v>
      </c>
      <c r="K160" s="56">
        <f>VLOOKUP(C160,table_DI,9)</f>
        <v>2.6773049645389909E-3</v>
      </c>
      <c r="L160" s="53">
        <f>VLOOKUP(C160,table_DI,8)</f>
        <v>564</v>
      </c>
      <c r="M160" s="55">
        <f>(0.84*(K160^0.5)*(cell_GUTDEP^0.6666)/cell_NRD)</f>
        <v>1.5235832941340119</v>
      </c>
      <c r="N160" s="53">
        <f>VLOOKUP(C160,table_DI,10)</f>
        <v>10</v>
      </c>
      <c r="O160" s="53">
        <f>(L160/(M160*60))</f>
        <v>6.16966596850411</v>
      </c>
      <c r="P160" s="53">
        <f>N160+O160</f>
        <v>16.169665968504109</v>
      </c>
      <c r="Q160" s="55">
        <f t="shared" si="10"/>
        <v>0.96987380338590867</v>
      </c>
      <c r="R160" s="54">
        <f>Q160*I160</f>
        <v>2.592860625971888</v>
      </c>
      <c r="S160" s="53" t="s">
        <v>10</v>
      </c>
      <c r="T160" s="55" t="s">
        <v>10</v>
      </c>
      <c r="U160" s="56" t="s">
        <v>10</v>
      </c>
      <c r="V160" s="53" t="s">
        <v>10</v>
      </c>
      <c r="W160" s="53" t="s">
        <v>10</v>
      </c>
      <c r="X160" s="53" t="s">
        <v>10</v>
      </c>
      <c r="Y160" s="55" t="s">
        <v>10</v>
      </c>
      <c r="Z160" s="55" t="s">
        <v>10</v>
      </c>
      <c r="AA160" s="55" t="s">
        <v>10</v>
      </c>
      <c r="AB160" s="55" t="s">
        <v>10</v>
      </c>
      <c r="AC160" s="57" t="s">
        <v>10</v>
      </c>
      <c r="AD160" t="s">
        <v>10</v>
      </c>
    </row>
    <row r="161" spans="1:30" x14ac:dyDescent="0.2">
      <c r="B161" s="216">
        <v>63</v>
      </c>
      <c r="C161" s="217" t="s">
        <v>10</v>
      </c>
      <c r="D161" s="54" t="s">
        <v>10</v>
      </c>
      <c r="E161" s="54">
        <f>VLOOKUP(62,table_CIA_JCTS,4,FALSE)+VLOOKUP(62,table_CIA_INLETS,2,FALSE)+VLOOKUP(63,table_CIA_INLETS,2,FALSE)</f>
        <v>378.49000000000007</v>
      </c>
      <c r="F161" s="55" t="s">
        <v>10</v>
      </c>
      <c r="G161" s="54" t="s">
        <v>10</v>
      </c>
      <c r="H161" s="54">
        <f>VLOOKUP(62,table_CIA_JCTS,7,FALSE)+VLOOKUP(62,table_CIA_INLETS,5,FALSE)+VLOOKUP(63,table_CIA_INLETS,5,FALSE)</f>
        <v>170.66669999999999</v>
      </c>
      <c r="I161" s="54" t="s">
        <v>10</v>
      </c>
      <c r="J161" s="54">
        <f>VLOOKUP(62,table_CIA_JCTS,9,FALSE)+VLOOKUP(62,table_CIA_INLETS,7,FALSE)+VLOOKUP(63,table_CIA_INLETS,7,FALSE)</f>
        <v>184.89138000000003</v>
      </c>
      <c r="K161" s="56" t="s">
        <v>10</v>
      </c>
      <c r="L161" s="53" t="s">
        <v>10</v>
      </c>
      <c r="M161" s="55" t="s">
        <v>10</v>
      </c>
      <c r="N161" s="53" t="s">
        <v>10</v>
      </c>
      <c r="O161" s="53" t="s">
        <v>10</v>
      </c>
      <c r="P161" s="53">
        <f>VLOOKUP(62,table_CIA_JCTS,23,FALSE)</f>
        <v>77.824750591036093</v>
      </c>
      <c r="Q161" s="55">
        <f t="shared" si="10"/>
        <v>0.36256501742703207</v>
      </c>
      <c r="R161" s="54">
        <f>J161*Q161</f>
        <v>67.035146411808014</v>
      </c>
      <c r="S161" s="53">
        <v>54</v>
      </c>
      <c r="T161" s="55">
        <f>(4*R161)/(3.14159*(S161/12)^2)</f>
        <v>4.2149072292477525</v>
      </c>
      <c r="U161" s="56">
        <f>((R161/((0.463135/cell_NP)*((S161/12)^(8/3))))^2)*cell_FF</f>
        <v>1.3365167028069542E-3</v>
      </c>
      <c r="V161" s="53">
        <v>330</v>
      </c>
      <c r="W161" s="53">
        <f>V161/(T161*60)</f>
        <v>1.3048923026905155</v>
      </c>
      <c r="X161" s="53">
        <f>W161+P161</f>
        <v>79.129642893726611</v>
      </c>
      <c r="Y161" s="55">
        <f>U161*V161</f>
        <v>0.44105051192629485</v>
      </c>
      <c r="Z161" s="55">
        <f>IF(VLOOKUP(65,table_CIA_JCTS,25,FALSE)+VLOOKUP(63,table_CIA_JCTS,24,FALSE)&lt;VLOOKUP(63,table_CIA_JCTS,28,FALSE),VLOOKUP(63,table_CIA_JCTS,28,FALSE),VLOOKUP(65,table_CIA_JCTS,25,FALSE)+VLOOKUP(63,table_CIA_JCTS,24,FALSE))</f>
        <v>397.23</v>
      </c>
      <c r="AA161" s="55">
        <v>404.69</v>
      </c>
      <c r="AB161" s="55">
        <f>(AA161-0.5)-Z161</f>
        <v>6.9599999999999795</v>
      </c>
      <c r="AC161" s="57">
        <v>397.23</v>
      </c>
      <c r="AD161" t="s">
        <v>10</v>
      </c>
    </row>
    <row r="162" spans="1:30" x14ac:dyDescent="0.2">
      <c r="B162" s="216" t="s">
        <v>10</v>
      </c>
      <c r="C162" s="215">
        <v>66</v>
      </c>
      <c r="D162" s="54">
        <f>VLOOKUP(C162,table_DI,2)</f>
        <v>12.16</v>
      </c>
      <c r="E162" s="54" t="s">
        <v>10</v>
      </c>
      <c r="F162" s="55">
        <f>VLOOKUP(C162,table_DI,5)</f>
        <v>0.84</v>
      </c>
      <c r="G162" s="54">
        <f>VLOOKUP(C162,table_DI,3)</f>
        <v>8.5120000000000005</v>
      </c>
      <c r="H162" s="54" t="s">
        <v>10</v>
      </c>
      <c r="I162" s="54">
        <f>VLOOKUP(C162,table_DI,4)</f>
        <v>10.214399999999999</v>
      </c>
      <c r="J162" s="54" t="s">
        <v>10</v>
      </c>
      <c r="K162" s="56">
        <f>VLOOKUP(C162,table_DI,9)</f>
        <v>3.3105022831049968E-3</v>
      </c>
      <c r="L162" s="53">
        <f>VLOOKUP(C162,table_DI,8)</f>
        <v>876</v>
      </c>
      <c r="M162" s="55">
        <f>(0.84*(K162^0.5)*(cell_GUTDEP^0.6666)/cell_NRD)</f>
        <v>1.6941982400292079</v>
      </c>
      <c r="N162" s="53">
        <f>VLOOKUP(C162,table_DI,10)</f>
        <v>10</v>
      </c>
      <c r="O162" s="53">
        <f>(L162/(M162*60))</f>
        <v>8.6176455948557109</v>
      </c>
      <c r="P162" s="53">
        <f>N162+O162</f>
        <v>18.617645594855709</v>
      </c>
      <c r="Q162" s="55">
        <f t="shared" ref="Q162:Q167" si="11">cell_P*(P162^cell_E)</f>
        <v>0.88792634452020336</v>
      </c>
      <c r="R162" s="54">
        <f>Q162*I162</f>
        <v>9.0696348534671642</v>
      </c>
      <c r="S162" s="53" t="s">
        <v>10</v>
      </c>
      <c r="T162" s="55" t="s">
        <v>10</v>
      </c>
      <c r="U162" s="56" t="s">
        <v>10</v>
      </c>
      <c r="V162" s="53" t="s">
        <v>10</v>
      </c>
      <c r="W162" s="53" t="s">
        <v>10</v>
      </c>
      <c r="X162" s="53" t="s">
        <v>10</v>
      </c>
      <c r="Y162" s="55" t="s">
        <v>10</v>
      </c>
      <c r="Z162" s="55" t="s">
        <v>10</v>
      </c>
      <c r="AA162" s="55" t="s">
        <v>10</v>
      </c>
      <c r="AB162" s="55" t="s">
        <v>10</v>
      </c>
      <c r="AC162" s="57" t="s">
        <v>10</v>
      </c>
      <c r="AD162" t="s">
        <v>10</v>
      </c>
    </row>
    <row r="163" spans="1:30" x14ac:dyDescent="0.2">
      <c r="B163" s="216" t="s">
        <v>10</v>
      </c>
      <c r="C163" s="215">
        <v>67</v>
      </c>
      <c r="D163" s="54">
        <f>VLOOKUP(C163,table_DI,2)</f>
        <v>15.28</v>
      </c>
      <c r="E163" s="54" t="s">
        <v>10</v>
      </c>
      <c r="F163" s="55">
        <f>VLOOKUP(C163,table_DI,5)</f>
        <v>0.84096858638743455</v>
      </c>
      <c r="G163" s="54">
        <f>VLOOKUP(C163,table_DI,3)</f>
        <v>10.7</v>
      </c>
      <c r="H163" s="54" t="s">
        <v>10</v>
      </c>
      <c r="I163" s="54">
        <f>VLOOKUP(C163,table_DI,4)</f>
        <v>12.85</v>
      </c>
      <c r="J163" s="54" t="s">
        <v>10</v>
      </c>
      <c r="K163" s="56">
        <f>VLOOKUP(C163,table_DI,9)</f>
        <v>3.2731376975169042E-3</v>
      </c>
      <c r="L163" s="53">
        <f>VLOOKUP(C163,table_DI,8)</f>
        <v>886</v>
      </c>
      <c r="M163" s="55">
        <f>(0.84*(K163^0.5)*(cell_GUTDEP^0.6666)/cell_NRD)</f>
        <v>1.6846101707360766</v>
      </c>
      <c r="N163" s="53">
        <f>VLOOKUP(C163,table_DI,10)</f>
        <v>10</v>
      </c>
      <c r="O163" s="53">
        <f>(L163/(M163*60))</f>
        <v>8.7656283472481302</v>
      </c>
      <c r="P163" s="53">
        <f>N163+O163</f>
        <v>18.765628347248132</v>
      </c>
      <c r="Q163" s="55">
        <f t="shared" si="11"/>
        <v>0.8835351777309931</v>
      </c>
      <c r="R163" s="54">
        <f>Q163*I163</f>
        <v>11.353427033843261</v>
      </c>
      <c r="S163" s="53" t="s">
        <v>10</v>
      </c>
      <c r="T163" s="55" t="s">
        <v>10</v>
      </c>
      <c r="U163" s="56" t="s">
        <v>10</v>
      </c>
      <c r="V163" s="53" t="s">
        <v>10</v>
      </c>
      <c r="W163" s="53" t="s">
        <v>10</v>
      </c>
      <c r="X163" s="53" t="s">
        <v>10</v>
      </c>
      <c r="Y163" s="55" t="s">
        <v>10</v>
      </c>
      <c r="Z163" s="55" t="s">
        <v>10</v>
      </c>
      <c r="AA163" s="55" t="s">
        <v>10</v>
      </c>
      <c r="AB163" s="55" t="s">
        <v>10</v>
      </c>
      <c r="AC163" s="57" t="s">
        <v>10</v>
      </c>
      <c r="AD163" t="s">
        <v>10</v>
      </c>
    </row>
    <row r="164" spans="1:30" x14ac:dyDescent="0.2">
      <c r="B164" s="216">
        <v>65</v>
      </c>
      <c r="C164" s="217" t="s">
        <v>10</v>
      </c>
      <c r="D164" s="54" t="s">
        <v>10</v>
      </c>
      <c r="E164" s="54">
        <f>VLOOKUP(63,table_CIA_JCTS,4,FALSE)+VLOOKUP(66,table_CIA_INLETS,2,FALSE)+VLOOKUP(67,table_CIA_INLETS,2,FALSE)</f>
        <v>405.93000000000006</v>
      </c>
      <c r="F164" s="55" t="s">
        <v>10</v>
      </c>
      <c r="G164" s="54" t="s">
        <v>10</v>
      </c>
      <c r="H164" s="54">
        <f>VLOOKUP(63,table_CIA_JCTS,7,FALSE)+VLOOKUP(66,table_CIA_INLETS,5,FALSE)+VLOOKUP(67,table_CIA_INLETS,5,FALSE)</f>
        <v>189.87869999999998</v>
      </c>
      <c r="I164" s="54" t="s">
        <v>10</v>
      </c>
      <c r="J164" s="54">
        <f>VLOOKUP(63,table_CIA_JCTS,9,FALSE)+VLOOKUP(66,table_CIA_INLETS,7,FALSE)+VLOOKUP(67,table_CIA_INLETS,7,FALSE)</f>
        <v>207.95578000000003</v>
      </c>
      <c r="K164" s="56" t="s">
        <v>10</v>
      </c>
      <c r="L164" s="53" t="s">
        <v>10</v>
      </c>
      <c r="M164" s="55" t="s">
        <v>10</v>
      </c>
      <c r="N164" s="53" t="s">
        <v>10</v>
      </c>
      <c r="O164" s="53" t="s">
        <v>10</v>
      </c>
      <c r="P164" s="53">
        <f>VLOOKUP(63,table_CIA_JCTS,23,FALSE)</f>
        <v>79.129642893726611</v>
      </c>
      <c r="Q164" s="55">
        <f t="shared" si="11"/>
        <v>0.35880940233031089</v>
      </c>
      <c r="R164" s="54">
        <f>J164*Q164</f>
        <v>74.616489132933637</v>
      </c>
      <c r="S164" s="53">
        <v>54</v>
      </c>
      <c r="T164" s="55">
        <f>(4*R164)/(3.14159*(S164/12)^2)</f>
        <v>4.6915923407618605</v>
      </c>
      <c r="U164" s="56">
        <f>((R164/((0.463135/cell_NP)*((S164/12)^(8/3))))^2)*cell_FF</f>
        <v>1.6559182306185717E-3</v>
      </c>
      <c r="V164" s="53">
        <v>1237</v>
      </c>
      <c r="W164" s="53">
        <f>V164/(T164*60)</f>
        <v>4.3943857797582551</v>
      </c>
      <c r="X164" s="53">
        <f>W164+P164</f>
        <v>83.524028673484864</v>
      </c>
      <c r="Y164" s="55">
        <f>U164*V164</f>
        <v>2.0483708512751733</v>
      </c>
      <c r="Z164" s="55">
        <f>IF(VLOOKUP(65.1,table_CIA_JCTS,25,FALSE)+VLOOKUP(65,table_CIA_JCTS,24,FALSE)&lt;VLOOKUP(65,table_CIA_JCTS,28,FALSE),VLOOKUP(65,table_CIA_JCTS,28,FALSE),VLOOKUP(65.1,table_CIA_JCTS,25,FALSE)+VLOOKUP(65,table_CIA_JCTS,24,FALSE))</f>
        <v>395.30837085127519</v>
      </c>
      <c r="AA164" s="55">
        <v>405</v>
      </c>
      <c r="AB164" s="55">
        <f>(AA164-0.5)-Z164</f>
        <v>9.1916291487248145</v>
      </c>
      <c r="AC164" s="57">
        <v>369.79</v>
      </c>
      <c r="AD164" t="s">
        <v>10</v>
      </c>
    </row>
    <row r="165" spans="1:30" x14ac:dyDescent="0.2">
      <c r="B165" s="216" t="s">
        <v>10</v>
      </c>
      <c r="C165" s="215">
        <v>74</v>
      </c>
      <c r="D165" s="54">
        <f>VLOOKUP(C165,table_DI,2)</f>
        <v>1.5</v>
      </c>
      <c r="E165" s="54" t="s">
        <v>10</v>
      </c>
      <c r="F165" s="55">
        <f>VLOOKUP(C165,table_DI,5)</f>
        <v>0.6213333333333334</v>
      </c>
      <c r="G165" s="54">
        <f>VLOOKUP(C165,table_DI,3)</f>
        <v>0.93200000000000005</v>
      </c>
      <c r="H165" s="54" t="s">
        <v>10</v>
      </c>
      <c r="I165" s="54">
        <f>VLOOKUP(C165,table_DI,4)</f>
        <v>0.93200000000000005</v>
      </c>
      <c r="J165" s="54" t="s">
        <v>10</v>
      </c>
      <c r="K165" s="56">
        <f>VLOOKUP(C165,table_DI,9)</f>
        <v>1.4360313315925706E-3</v>
      </c>
      <c r="L165" s="53">
        <f>VLOOKUP(C165,table_DI,8)</f>
        <v>383</v>
      </c>
      <c r="M165" s="55">
        <f>(0.84*(K165^0.5)*(cell_GUTDEP^0.6666)/cell_NRD)</f>
        <v>1.1158330948600856</v>
      </c>
      <c r="N165" s="53">
        <f>VLOOKUP(C165,table_DI,10)</f>
        <v>20</v>
      </c>
      <c r="O165" s="53">
        <f>(L165/(M165*60))</f>
        <v>5.7206883025222872</v>
      </c>
      <c r="P165" s="53">
        <f>N165+O165</f>
        <v>25.720688302522287</v>
      </c>
      <c r="Q165" s="55">
        <f t="shared" si="11"/>
        <v>0.72524521137088183</v>
      </c>
      <c r="R165" s="54">
        <f>Q165*I165</f>
        <v>0.67592853699766187</v>
      </c>
      <c r="S165" s="53" t="s">
        <v>10</v>
      </c>
      <c r="T165" s="55" t="s">
        <v>10</v>
      </c>
      <c r="U165" s="56" t="s">
        <v>10</v>
      </c>
      <c r="V165" s="53" t="s">
        <v>10</v>
      </c>
      <c r="W165" s="53" t="s">
        <v>10</v>
      </c>
      <c r="X165" s="53" t="s">
        <v>10</v>
      </c>
      <c r="Y165" s="55" t="s">
        <v>10</v>
      </c>
      <c r="Z165" s="55" t="s">
        <v>10</v>
      </c>
      <c r="AA165" s="55" t="s">
        <v>10</v>
      </c>
      <c r="AB165" s="55" t="s">
        <v>10</v>
      </c>
      <c r="AC165" s="57" t="s">
        <v>10</v>
      </c>
      <c r="AD165" t="s">
        <v>10</v>
      </c>
    </row>
    <row r="166" spans="1:30" x14ac:dyDescent="0.2">
      <c r="B166" s="216" t="s">
        <v>10</v>
      </c>
      <c r="C166" s="215">
        <v>75</v>
      </c>
      <c r="D166" s="54">
        <f>VLOOKUP(C166,table_DI,2)</f>
        <v>5.36</v>
      </c>
      <c r="E166" s="54" t="s">
        <v>10</v>
      </c>
      <c r="F166" s="55">
        <f>VLOOKUP(C166,table_DI,5)</f>
        <v>0.52388059701492529</v>
      </c>
      <c r="G166" s="54">
        <f>VLOOKUP(C166,table_DI,3)</f>
        <v>2.8079999999999998</v>
      </c>
      <c r="H166" s="54" t="s">
        <v>10</v>
      </c>
      <c r="I166" s="54">
        <f>VLOOKUP(C166,table_DI,4)</f>
        <v>2.8079999999999998</v>
      </c>
      <c r="J166" s="54" t="s">
        <v>10</v>
      </c>
      <c r="K166" s="56">
        <f>VLOOKUP(C166,table_DI,9)</f>
        <v>3.0968622100955505E-3</v>
      </c>
      <c r="L166" s="53">
        <f>VLOOKUP(C166,table_DI,8)</f>
        <v>733</v>
      </c>
      <c r="M166" s="55">
        <f>(0.84*(K166^0.5)*(cell_GUTDEP^0.6666)/cell_NRD)</f>
        <v>1.638619888207681</v>
      </c>
      <c r="N166" s="53">
        <f>VLOOKUP(C166,table_DI,10)</f>
        <v>20</v>
      </c>
      <c r="O166" s="53">
        <f>(L166/(M166*60))</f>
        <v>7.4554609977480695</v>
      </c>
      <c r="P166" s="53">
        <f>N166+O166</f>
        <v>27.455460997748069</v>
      </c>
      <c r="Q166" s="55">
        <f t="shared" si="11"/>
        <v>0.69620078464122148</v>
      </c>
      <c r="R166" s="54">
        <f>Q166*I166</f>
        <v>1.9549318032725498</v>
      </c>
      <c r="S166" s="53" t="s">
        <v>10</v>
      </c>
      <c r="T166" s="55" t="s">
        <v>10</v>
      </c>
      <c r="U166" s="56" t="s">
        <v>10</v>
      </c>
      <c r="V166" s="53" t="s">
        <v>10</v>
      </c>
      <c r="W166" s="53" t="s">
        <v>10</v>
      </c>
      <c r="X166" s="53" t="s">
        <v>10</v>
      </c>
      <c r="Y166" s="55" t="s">
        <v>10</v>
      </c>
      <c r="Z166" s="55" t="s">
        <v>10</v>
      </c>
      <c r="AA166" s="55" t="s">
        <v>10</v>
      </c>
      <c r="AB166" s="55" t="s">
        <v>10</v>
      </c>
      <c r="AC166" s="57" t="s">
        <v>10</v>
      </c>
      <c r="AD166" t="s">
        <v>10</v>
      </c>
    </row>
    <row r="167" spans="1:30" x14ac:dyDescent="0.2">
      <c r="A167" s="366"/>
      <c r="B167" s="216">
        <v>65.099999999999994</v>
      </c>
      <c r="C167" s="217" t="s">
        <v>10</v>
      </c>
      <c r="D167" s="54" t="s">
        <v>10</v>
      </c>
      <c r="E167" s="54">
        <f>VLOOKUP(65,table_CIA_JCTS,4,FALSE)+VLOOKUP(74,table_CIA_INLETS,2,FALSE)+VLOOKUP(75,table_CIA_INLETS,2,FALSE)</f>
        <v>412.79000000000008</v>
      </c>
      <c r="F167" s="55" t="s">
        <v>10</v>
      </c>
      <c r="G167" s="54" t="s">
        <v>10</v>
      </c>
      <c r="H167" s="54">
        <f>VLOOKUP(65,table_CIA_JCTS,7,FALSE)+VLOOKUP(74,table_CIA_INLETS,5,FALSE)+VLOOKUP(75,table_CIA_INLETS,5,FALSE)</f>
        <v>193.61869999999996</v>
      </c>
      <c r="I167" s="54" t="s">
        <v>10</v>
      </c>
      <c r="J167" s="54">
        <f>VLOOKUP(65,table_CIA_JCTS,9,FALSE)+VLOOKUP(74,table_CIA_INLETS,7,FALSE)+VLOOKUP(75,table_CIA_INLETS,7,FALSE)</f>
        <v>211.69578000000001</v>
      </c>
      <c r="K167" s="56" t="s">
        <v>10</v>
      </c>
      <c r="L167" s="53" t="s">
        <v>10</v>
      </c>
      <c r="M167" s="55" t="s">
        <v>10</v>
      </c>
      <c r="N167" s="53" t="s">
        <v>10</v>
      </c>
      <c r="O167" s="53" t="s">
        <v>10</v>
      </c>
      <c r="P167" s="53">
        <f>VLOOKUP(65,table_CIA_JCTS,23,FALSE)</f>
        <v>83.524028673484864</v>
      </c>
      <c r="Q167" s="55">
        <f t="shared" si="11"/>
        <v>0.34686901391692115</v>
      </c>
      <c r="R167" s="54">
        <f>J167*Q167</f>
        <v>73.430706458973489</v>
      </c>
      <c r="S167" s="53">
        <v>54</v>
      </c>
      <c r="T167" s="55">
        <f>(4*R167)/(3.14159*(S167/12)^2)</f>
        <v>4.6170349744798802</v>
      </c>
      <c r="U167" s="56">
        <f>((R167/((0.463135/cell_NP)*((S167/12)^(8/3))))^2)*cell_FF</f>
        <v>1.6037057230080011E-3</v>
      </c>
      <c r="V167" s="53">
        <v>153</v>
      </c>
      <c r="W167" s="53">
        <f>V167/(T167*60)</f>
        <v>0.5523025088817447</v>
      </c>
      <c r="X167" s="53">
        <f>W167+P167</f>
        <v>84.076331182366602</v>
      </c>
      <c r="Y167" s="55">
        <f>U167*V167</f>
        <v>0.24536697562022416</v>
      </c>
      <c r="Z167" s="55">
        <f>IF(VLOOKUP(65.3,table_CIA_JCTS,25,FALSE)+VLOOKUP(65.1,table_CIA_JCTS,24,FALSE)&lt;VLOOKUP(65.1,table_CIA_JCTS,28,FALSE),VLOOKUP(65.1,table_CIA_JCTS,28,FALSE),VLOOKUP(65.3,table_CIA_JCTS,25,FALSE)+VLOOKUP(65.1,table_CIA_JCTS,24,FALSE))</f>
        <v>393.26</v>
      </c>
      <c r="AA167" s="55">
        <v>400.46</v>
      </c>
      <c r="AB167" s="55">
        <f>(AA167-0.5)-Z167</f>
        <v>6.6999999999999886</v>
      </c>
      <c r="AC167" s="57">
        <v>393.26</v>
      </c>
      <c r="AD167" t="s">
        <v>10</v>
      </c>
    </row>
    <row r="168" spans="1:30" x14ac:dyDescent="0.2">
      <c r="B168" s="216" t="s">
        <v>10</v>
      </c>
      <c r="C168" s="217" t="s">
        <v>10</v>
      </c>
      <c r="D168" s="54" t="s">
        <v>10</v>
      </c>
      <c r="E168" s="54" t="s">
        <v>10</v>
      </c>
      <c r="F168" s="55" t="s">
        <v>10</v>
      </c>
      <c r="G168" s="54" t="s">
        <v>10</v>
      </c>
      <c r="H168" s="54" t="s">
        <v>10</v>
      </c>
      <c r="I168" s="54" t="s">
        <v>10</v>
      </c>
      <c r="J168" s="54" t="s">
        <v>10</v>
      </c>
      <c r="K168" s="56" t="s">
        <v>10</v>
      </c>
      <c r="L168" s="53" t="s">
        <v>10</v>
      </c>
      <c r="M168" s="55" t="s">
        <v>10</v>
      </c>
      <c r="N168" s="53" t="s">
        <v>10</v>
      </c>
      <c r="O168" s="53" t="s">
        <v>10</v>
      </c>
      <c r="P168" s="53" t="s">
        <v>10</v>
      </c>
      <c r="Q168" s="55" t="s">
        <v>10</v>
      </c>
      <c r="R168" s="54" t="s">
        <v>10</v>
      </c>
      <c r="S168" s="53" t="s">
        <v>10</v>
      </c>
      <c r="T168" s="55" t="s">
        <v>10</v>
      </c>
      <c r="U168" s="56" t="s">
        <v>10</v>
      </c>
      <c r="V168" s="53" t="s">
        <v>10</v>
      </c>
      <c r="W168" s="53" t="s">
        <v>10</v>
      </c>
      <c r="X168" s="53" t="s">
        <v>10</v>
      </c>
      <c r="Y168" s="55" t="s">
        <v>10</v>
      </c>
      <c r="Z168" s="55" t="s">
        <v>10</v>
      </c>
      <c r="AA168" s="55" t="s">
        <v>10</v>
      </c>
      <c r="AB168" s="55" t="s">
        <v>10</v>
      </c>
      <c r="AC168" s="57" t="s">
        <v>10</v>
      </c>
      <c r="AD168" t="s">
        <v>10</v>
      </c>
    </row>
    <row r="169" spans="1:30" x14ac:dyDescent="0.2">
      <c r="A169" s="678" t="s">
        <v>554</v>
      </c>
      <c r="B169" s="496" t="s">
        <v>10</v>
      </c>
      <c r="C169" s="497">
        <v>75.099999999999994</v>
      </c>
      <c r="D169" s="498">
        <f>VLOOKUP(C169,table_DI,2)</f>
        <v>9.4700000000000006</v>
      </c>
      <c r="E169" s="498" t="s">
        <v>10</v>
      </c>
      <c r="F169" s="499">
        <f>VLOOKUP(C169,table_DI,5)</f>
        <v>0.52</v>
      </c>
      <c r="G169" s="498">
        <f>VLOOKUP(C169,table_DI,3)</f>
        <v>4.9244000000000003</v>
      </c>
      <c r="H169" s="498" t="s">
        <v>10</v>
      </c>
      <c r="I169" s="498">
        <f>VLOOKUP(C169,table_DI,4)</f>
        <v>4.9244000000000003</v>
      </c>
      <c r="J169" s="498" t="s">
        <v>10</v>
      </c>
      <c r="K169" s="500">
        <f>VLOOKUP(C169,table_DI,9)</f>
        <v>2.8829479768786191E-3</v>
      </c>
      <c r="L169" s="501">
        <f>VLOOKUP(C169,table_DI,8)</f>
        <v>1384</v>
      </c>
      <c r="M169" s="499">
        <f>(0.84*(K169^0.5)*(cell_GUTDEP^0.6666)/cell_NRD)</f>
        <v>1.581013881715803</v>
      </c>
      <c r="N169" s="501">
        <f>VLOOKUP(C169,table_DI,10)</f>
        <v>20</v>
      </c>
      <c r="O169" s="501">
        <f>(L169/(M169*60))</f>
        <v>14.589793886966669</v>
      </c>
      <c r="P169" s="501">
        <f>N169+O169</f>
        <v>34.589793886966667</v>
      </c>
      <c r="Q169" s="499">
        <f t="shared" ref="Q169:Q174" si="12">cell_P*(P169^cell_E)</f>
        <v>0.60244111567617165</v>
      </c>
      <c r="R169" s="498">
        <f>Q169*I169</f>
        <v>2.9666610300357399</v>
      </c>
      <c r="S169" s="501" t="s">
        <v>10</v>
      </c>
      <c r="T169" s="499" t="s">
        <v>10</v>
      </c>
      <c r="U169" s="500" t="s">
        <v>10</v>
      </c>
      <c r="V169" s="501" t="s">
        <v>10</v>
      </c>
      <c r="W169" s="501" t="s">
        <v>10</v>
      </c>
      <c r="X169" s="501" t="s">
        <v>10</v>
      </c>
      <c r="Y169" s="499" t="s">
        <v>10</v>
      </c>
      <c r="Z169" s="499" t="s">
        <v>10</v>
      </c>
      <c r="AA169" s="499" t="s">
        <v>10</v>
      </c>
      <c r="AB169" s="499" t="s">
        <v>10</v>
      </c>
      <c r="AC169" s="502" t="s">
        <v>10</v>
      </c>
      <c r="AD169" t="s">
        <v>10</v>
      </c>
    </row>
    <row r="170" spans="1:30" x14ac:dyDescent="0.2">
      <c r="A170" s="679"/>
      <c r="B170" s="496" t="s">
        <v>10</v>
      </c>
      <c r="C170" s="497">
        <v>75.2</v>
      </c>
      <c r="D170" s="498">
        <f>VLOOKUP(C170,table_DI,2)</f>
        <v>2.83</v>
      </c>
      <c r="E170" s="498" t="s">
        <v>10</v>
      </c>
      <c r="F170" s="499">
        <f>VLOOKUP(C170,table_DI,5)</f>
        <v>0.52</v>
      </c>
      <c r="G170" s="498">
        <f>VLOOKUP(C170,table_DI,3)</f>
        <v>1.4716</v>
      </c>
      <c r="H170" s="498" t="s">
        <v>10</v>
      </c>
      <c r="I170" s="498">
        <f>VLOOKUP(C170,table_DI,4)</f>
        <v>1.4716</v>
      </c>
      <c r="J170" s="498" t="s">
        <v>10</v>
      </c>
      <c r="K170" s="500">
        <f>VLOOKUP(C170,table_DI,9)</f>
        <v>2.0516499282639982E-3</v>
      </c>
      <c r="L170" s="501">
        <f>VLOOKUP(C170,table_DI,8)</f>
        <v>697</v>
      </c>
      <c r="M170" s="499">
        <f>(0.84*(K170^0.5)*(cell_GUTDEP^0.6666)/cell_NRD)</f>
        <v>1.3337330405261885</v>
      </c>
      <c r="N170" s="501">
        <f>VLOOKUP(C170,table_DI,10)</f>
        <v>20</v>
      </c>
      <c r="O170" s="501">
        <f>(L170/(M170*60))</f>
        <v>8.7098889460544697</v>
      </c>
      <c r="P170" s="501">
        <f>N170+O170</f>
        <v>28.70988894605447</v>
      </c>
      <c r="Q170" s="499">
        <f t="shared" si="12"/>
        <v>0.67699348977698626</v>
      </c>
      <c r="R170" s="498">
        <f>Q170*I170</f>
        <v>0.996263619555813</v>
      </c>
      <c r="S170" s="501" t="s">
        <v>10</v>
      </c>
      <c r="T170" s="499" t="s">
        <v>10</v>
      </c>
      <c r="U170" s="500" t="s">
        <v>10</v>
      </c>
      <c r="V170" s="501" t="s">
        <v>10</v>
      </c>
      <c r="W170" s="501" t="s">
        <v>10</v>
      </c>
      <c r="X170" s="501" t="s">
        <v>10</v>
      </c>
      <c r="Y170" s="499" t="s">
        <v>10</v>
      </c>
      <c r="Z170" s="499" t="s">
        <v>10</v>
      </c>
      <c r="AA170" s="499" t="s">
        <v>10</v>
      </c>
      <c r="AB170" s="499" t="s">
        <v>10</v>
      </c>
      <c r="AC170" s="502" t="s">
        <v>10</v>
      </c>
      <c r="AD170" t="s">
        <v>10</v>
      </c>
    </row>
    <row r="171" spans="1:30" x14ac:dyDescent="0.2">
      <c r="A171" s="679"/>
      <c r="B171" s="496">
        <v>65.2</v>
      </c>
      <c r="C171" s="503" t="s">
        <v>10</v>
      </c>
      <c r="D171" s="498" t="s">
        <v>10</v>
      </c>
      <c r="E171" s="498">
        <f>VLOOKUP(75.1,table_CIA_INLETS,2,FALSE)+VLOOKUP(75.2,table_CIA_INLETS,2,FALSE)</f>
        <v>12.3</v>
      </c>
      <c r="F171" s="499" t="s">
        <v>10</v>
      </c>
      <c r="G171" s="498" t="s">
        <v>10</v>
      </c>
      <c r="H171" s="498">
        <f>VLOOKUP(75.1,table_CIA_INLETS,5,FALSE)+VLOOKUP(75.2,table_CIA_INLETS,5,FALSE)</f>
        <v>6.3960000000000008</v>
      </c>
      <c r="I171" s="498" t="s">
        <v>10</v>
      </c>
      <c r="J171" s="498">
        <f>VLOOKUP(75.1,table_CIA_INLETS,7,FALSE)+VLOOKUP(75.2,table_CIA_INLETS,7,FALSE)</f>
        <v>6.3960000000000008</v>
      </c>
      <c r="K171" s="500" t="s">
        <v>10</v>
      </c>
      <c r="L171" s="501" t="s">
        <v>10</v>
      </c>
      <c r="M171" s="499" t="s">
        <v>10</v>
      </c>
      <c r="N171" s="501" t="s">
        <v>10</v>
      </c>
      <c r="O171" s="501" t="s">
        <v>10</v>
      </c>
      <c r="P171" s="501">
        <f>VLOOKUP(75.1,table_CIA_INLETS,14,FALSE)</f>
        <v>34.589793886966667</v>
      </c>
      <c r="Q171" s="499">
        <f t="shared" si="12"/>
        <v>0.60244111567617165</v>
      </c>
      <c r="R171" s="498">
        <f>J171*Q171</f>
        <v>3.8532133758647942</v>
      </c>
      <c r="S171" s="501">
        <v>18</v>
      </c>
      <c r="T171" s="499">
        <f>(4*R171)/(3.14159*(S171/12)^2)</f>
        <v>2.1804745726363155</v>
      </c>
      <c r="U171" s="500">
        <f>((R171/((0.463135/cell_NP)*((S171/12)^(8/3))))^2)*cell_FF</f>
        <v>1.5476119565882513E-3</v>
      </c>
      <c r="V171" s="501">
        <v>362</v>
      </c>
      <c r="W171" s="501">
        <f>V171/(T171*60)</f>
        <v>2.7669817428958576</v>
      </c>
      <c r="X171" s="501">
        <f>W171+P171</f>
        <v>37.356775629862526</v>
      </c>
      <c r="Y171" s="499">
        <f>U171*V171</f>
        <v>0.56023552828494694</v>
      </c>
      <c r="Z171" s="499">
        <f>IF(VLOOKUP(65.25,table_CIA_JCTS,25,FALSE)+VLOOKUP(65.2,table_CIA_JCTS,24,FALSE)&lt;VLOOKUP(65.2,table_CIA_JCTS,28,FALSE),VLOOKUP(65.2,table_CIA_JCTS,28,FALSE),VLOOKUP(65.25,table_CIA_JCTS,25,FALSE)+VLOOKUP(65.2,table_CIA_JCTS,24,FALSE))</f>
        <v>394.34558132736447</v>
      </c>
      <c r="AA171" s="499">
        <v>399.56</v>
      </c>
      <c r="AB171" s="499">
        <f>(AA171-0.5)-Z171</f>
        <v>4.7144186726355315</v>
      </c>
      <c r="AC171" s="502" t="s">
        <v>10</v>
      </c>
      <c r="AD171" t="s">
        <v>10</v>
      </c>
    </row>
    <row r="172" spans="1:30" x14ac:dyDescent="0.2">
      <c r="A172" s="679"/>
      <c r="B172" s="496" t="s">
        <v>10</v>
      </c>
      <c r="C172" s="497">
        <v>75.25</v>
      </c>
      <c r="D172" s="498">
        <f>VLOOKUP(C172,table_DI,2)</f>
        <v>11.36</v>
      </c>
      <c r="E172" s="498" t="s">
        <v>10</v>
      </c>
      <c r="F172" s="499">
        <f>VLOOKUP(C172,table_DI,5)</f>
        <v>0.46684859154929581</v>
      </c>
      <c r="G172" s="498">
        <f>VLOOKUP(C172,table_DI,3)</f>
        <v>5.0191999999999997</v>
      </c>
      <c r="H172" s="498" t="s">
        <v>10</v>
      </c>
      <c r="I172" s="498">
        <f>VLOOKUP(C172,table_DI,4)</f>
        <v>5.3033999999999999</v>
      </c>
      <c r="J172" s="498" t="s">
        <v>10</v>
      </c>
      <c r="K172" s="500">
        <f>VLOOKUP(C172,table_DI,9)</f>
        <v>3.8836772983114319E-3</v>
      </c>
      <c r="L172" s="501">
        <f>VLOOKUP(C172,table_DI,8)</f>
        <v>1599</v>
      </c>
      <c r="M172" s="499">
        <f>(0.84*(K172^0.5)*(cell_GUTDEP^0.6666)/cell_NRD)</f>
        <v>1.8350117462667366</v>
      </c>
      <c r="N172" s="501">
        <f>VLOOKUP(C172,table_DI,10)</f>
        <v>20</v>
      </c>
      <c r="O172" s="501">
        <f>(L172/(M172*60))</f>
        <v>14.523067797368839</v>
      </c>
      <c r="P172" s="501">
        <f>N172+O172</f>
        <v>34.523067797368839</v>
      </c>
      <c r="Q172" s="499">
        <f t="shared" si="12"/>
        <v>0.60316999761107137</v>
      </c>
      <c r="R172" s="498">
        <f>Q172*I172</f>
        <v>3.1988517653305557</v>
      </c>
      <c r="S172" s="501" t="s">
        <v>10</v>
      </c>
      <c r="T172" s="499" t="s">
        <v>10</v>
      </c>
      <c r="U172" s="500" t="s">
        <v>10</v>
      </c>
      <c r="V172" s="501" t="s">
        <v>10</v>
      </c>
      <c r="W172" s="501" t="s">
        <v>10</v>
      </c>
      <c r="X172" s="501" t="s">
        <v>10</v>
      </c>
      <c r="Y172" s="499" t="s">
        <v>10</v>
      </c>
      <c r="Z172" s="499" t="s">
        <v>10</v>
      </c>
      <c r="AA172" s="499" t="s">
        <v>10</v>
      </c>
      <c r="AB172" s="499" t="s">
        <v>10</v>
      </c>
      <c r="AC172" s="502" t="s">
        <v>10</v>
      </c>
      <c r="AD172" t="s">
        <v>10</v>
      </c>
    </row>
    <row r="173" spans="1:30" ht="15.75" customHeight="1" x14ac:dyDescent="0.2">
      <c r="A173" s="680"/>
      <c r="B173" s="496">
        <v>65.25</v>
      </c>
      <c r="C173" s="503" t="s">
        <v>10</v>
      </c>
      <c r="D173" s="498" t="s">
        <v>10</v>
      </c>
      <c r="E173" s="498">
        <f>VLOOKUP(65.2,table_CIA_JCTS,4,FALSE)+VLOOKUP(75.25,table_CIA_INLETS,2,FALSE)</f>
        <v>23.66</v>
      </c>
      <c r="F173" s="499" t="s">
        <v>10</v>
      </c>
      <c r="G173" s="498" t="s">
        <v>10</v>
      </c>
      <c r="H173" s="498">
        <f>VLOOKUP(65.2,table_CIA_JCTS,7,FALSE)+VLOOKUP(75.25,table_CIA_INLETS,5,FALSE)</f>
        <v>11.4152</v>
      </c>
      <c r="I173" s="498" t="s">
        <v>10</v>
      </c>
      <c r="J173" s="498">
        <f>VLOOKUP(65.2,table_CIA_JCTS,9,FALSE)+VLOOKUP(75.25,table_CIA_INLETS,7,FALSE)</f>
        <v>11.699400000000001</v>
      </c>
      <c r="K173" s="500" t="s">
        <v>10</v>
      </c>
      <c r="L173" s="501" t="s">
        <v>10</v>
      </c>
      <c r="M173" s="499" t="s">
        <v>10</v>
      </c>
      <c r="N173" s="501" t="s">
        <v>10</v>
      </c>
      <c r="O173" s="501" t="s">
        <v>10</v>
      </c>
      <c r="P173" s="501">
        <f>VLOOKUP(65.2,table_CIA_JCTS,23,FALSE)</f>
        <v>37.356775629862526</v>
      </c>
      <c r="Q173" s="499">
        <f t="shared" si="12"/>
        <v>0.5740981102404783</v>
      </c>
      <c r="R173" s="498">
        <f>J173*Q173</f>
        <v>6.716603430947452</v>
      </c>
      <c r="S173" s="501">
        <v>18</v>
      </c>
      <c r="T173" s="499">
        <f>(4*R173)/(3.14159*(S173/12)^2)</f>
        <v>3.8008232524563548</v>
      </c>
      <c r="U173" s="500">
        <f>((R173/((0.463135/cell_NP)*((S173/12)^(8/3))))^2)*cell_FF</f>
        <v>4.7023545579526057E-3</v>
      </c>
      <c r="V173" s="501">
        <v>369</v>
      </c>
      <c r="W173" s="501">
        <f>V173/(T173*60)</f>
        <v>1.6180705051268682</v>
      </c>
      <c r="X173" s="501">
        <f>W173+P173</f>
        <v>38.974846134989392</v>
      </c>
      <c r="Y173" s="499">
        <f>U173*V173</f>
        <v>1.7351688318845115</v>
      </c>
      <c r="Z173" s="499">
        <f>IF(VLOOKUP(65.3,table_CIA_JCTS,25,FALSE)+VLOOKUP(65.25,table_CIA_JCTS,24,FALSE)&lt;VLOOKUP(65.25,table_CIA_JCTS,28,FALSE),VLOOKUP(65.25,table_CIA_JCTS,28,FALSE),VLOOKUP(65.3,table_CIA_JCTS,25,FALSE)+VLOOKUP(65.25,table_CIA_JCTS,24,FALSE))</f>
        <v>393.78534579907955</v>
      </c>
      <c r="AA173" s="499">
        <v>399.22</v>
      </c>
      <c r="AB173" s="499">
        <f>(AA173-0.5)-Z173</f>
        <v>4.9346542009204768</v>
      </c>
      <c r="AC173" s="502" t="s">
        <v>10</v>
      </c>
      <c r="AD173" t="s">
        <v>10</v>
      </c>
    </row>
    <row r="174" spans="1:30" ht="15.75" x14ac:dyDescent="0.25">
      <c r="A174" s="367"/>
      <c r="B174" s="216">
        <v>65.3</v>
      </c>
      <c r="C174" s="217" t="s">
        <v>10</v>
      </c>
      <c r="D174" s="54" t="s">
        <v>10</v>
      </c>
      <c r="E174" s="54">
        <f>VLOOKUP(65.1,table_CIA_JCTS,4,FALSE)+VLOOKUP(65.25,table_CIA_JCTS,4,FALSE)</f>
        <v>436.4500000000001</v>
      </c>
      <c r="F174" s="55" t="s">
        <v>10</v>
      </c>
      <c r="G174" s="54" t="s">
        <v>10</v>
      </c>
      <c r="H174" s="54">
        <f>VLOOKUP(65.1,table_CIA_JCTS,7,FALSE)+VLOOKUP(65.25,table_CIA_JCTS,7,FALSE)</f>
        <v>205.03389999999996</v>
      </c>
      <c r="I174" s="54" t="s">
        <v>10</v>
      </c>
      <c r="J174" s="54">
        <f>VLOOKUP(65.1,table_CIA_JCTS,9,FALSE)+VLOOKUP(65.25,table_CIA_JCTS,9,FALSE)</f>
        <v>223.39518000000001</v>
      </c>
      <c r="K174" s="56" t="s">
        <v>10</v>
      </c>
      <c r="L174" s="53" t="s">
        <v>10</v>
      </c>
      <c r="M174" s="55" t="s">
        <v>10</v>
      </c>
      <c r="N174" s="53" t="s">
        <v>10</v>
      </c>
      <c r="O174" s="53" t="s">
        <v>10</v>
      </c>
      <c r="P174" s="53">
        <f>VLOOKUP(65.1,table_CIA_JCTS,23,FALSE)</f>
        <v>84.076331182366602</v>
      </c>
      <c r="Q174" s="55">
        <f t="shared" si="12"/>
        <v>0.34544039524404108</v>
      </c>
      <c r="R174" s="54">
        <f>J174*Q174</f>
        <v>77.169719274813701</v>
      </c>
      <c r="S174" s="53">
        <v>54</v>
      </c>
      <c r="T174" s="55">
        <f>(4*R174)/(3.14159*(S174/12)^2)</f>
        <v>4.8521294434457731</v>
      </c>
      <c r="U174" s="56">
        <f>((R174/((0.463135/cell_NP)*((S174/12)^(8/3))))^2)*cell_FF</f>
        <v>1.7711816612203961E-3</v>
      </c>
      <c r="V174" s="53">
        <v>209</v>
      </c>
      <c r="W174" s="53">
        <f>V174/(T174*60)</f>
        <v>0.71789785782376414</v>
      </c>
      <c r="X174" s="53">
        <f>W174+P174</f>
        <v>84.794229040190359</v>
      </c>
      <c r="Y174" s="55">
        <f>U174*V174</f>
        <v>0.37017696719506277</v>
      </c>
      <c r="Z174" s="55">
        <f>IF(VLOOKUP(69,table_CIA_JCTS,25,FALSE)+VLOOKUP(65.3,table_CIA_JCTS,24,FALSE)&lt;VLOOKUP(65.3,table_CIA_JCTS,28,FALSE),VLOOKUP(65.3,table_CIA_JCTS,28,FALSE),VLOOKUP(69,table_CIA_JCTS,25,FALSE)+VLOOKUP(65.3,table_CIA_JCTS,24,FALSE))</f>
        <v>392.05017696719506</v>
      </c>
      <c r="AA174" s="55">
        <v>401.5</v>
      </c>
      <c r="AB174" s="55">
        <f>(AA174-0.5)-Z174</f>
        <v>8.9498230328049431</v>
      </c>
      <c r="AC174" s="57" t="s">
        <v>10</v>
      </c>
      <c r="AD174" t="s">
        <v>10</v>
      </c>
    </row>
    <row r="175" spans="1:30" x14ac:dyDescent="0.2">
      <c r="B175" s="216" t="s">
        <v>10</v>
      </c>
      <c r="C175" s="217" t="s">
        <v>10</v>
      </c>
      <c r="D175" s="54" t="s">
        <v>10</v>
      </c>
      <c r="E175" s="54" t="s">
        <v>10</v>
      </c>
      <c r="F175" s="55" t="s">
        <v>10</v>
      </c>
      <c r="G175" s="54" t="s">
        <v>10</v>
      </c>
      <c r="H175" s="54" t="s">
        <v>10</v>
      </c>
      <c r="I175" s="54" t="s">
        <v>10</v>
      </c>
      <c r="J175" s="54" t="s">
        <v>10</v>
      </c>
      <c r="K175" s="56" t="s">
        <v>10</v>
      </c>
      <c r="L175" s="53" t="s">
        <v>10</v>
      </c>
      <c r="M175" s="55" t="s">
        <v>10</v>
      </c>
      <c r="N175" s="53" t="s">
        <v>10</v>
      </c>
      <c r="O175" s="53" t="s">
        <v>10</v>
      </c>
      <c r="P175" s="53" t="s">
        <v>10</v>
      </c>
      <c r="Q175" s="55" t="s">
        <v>10</v>
      </c>
      <c r="R175" s="54" t="s">
        <v>10</v>
      </c>
      <c r="S175" s="53" t="s">
        <v>10</v>
      </c>
      <c r="T175" s="55" t="s">
        <v>10</v>
      </c>
      <c r="U175" s="56" t="s">
        <v>10</v>
      </c>
      <c r="V175" s="53" t="s">
        <v>10</v>
      </c>
      <c r="W175" s="53" t="s">
        <v>10</v>
      </c>
      <c r="X175" s="53" t="s">
        <v>10</v>
      </c>
      <c r="Y175" s="55" t="s">
        <v>10</v>
      </c>
      <c r="Z175" s="55" t="s">
        <v>10</v>
      </c>
      <c r="AA175" s="55" t="s">
        <v>10</v>
      </c>
      <c r="AB175" s="55" t="s">
        <v>10</v>
      </c>
      <c r="AC175" s="57" t="s">
        <v>10</v>
      </c>
      <c r="AD175" t="s">
        <v>10</v>
      </c>
    </row>
    <row r="176" spans="1:30" x14ac:dyDescent="0.2">
      <c r="B176" s="216" t="s">
        <v>10</v>
      </c>
      <c r="C176" s="215">
        <v>75.3</v>
      </c>
      <c r="D176" s="54">
        <f>VLOOKUP(C176,table_DI,2)</f>
        <v>8</v>
      </c>
      <c r="E176" s="54" t="s">
        <v>10</v>
      </c>
      <c r="F176" s="55">
        <f>VLOOKUP(C176,table_DI,5)</f>
        <v>0.52</v>
      </c>
      <c r="G176" s="54">
        <f>VLOOKUP(C176,table_DI,3)</f>
        <v>4.16</v>
      </c>
      <c r="H176" s="54" t="s">
        <v>10</v>
      </c>
      <c r="I176" s="54">
        <f>VLOOKUP(C176,table_DI,4)</f>
        <v>4.16</v>
      </c>
      <c r="J176" s="54" t="s">
        <v>10</v>
      </c>
      <c r="K176" s="56">
        <f>VLOOKUP(C176,table_DI,9)</f>
        <v>2.4282560706401848E-3</v>
      </c>
      <c r="L176" s="53">
        <f>VLOOKUP(C176,table_DI,8)</f>
        <v>1359</v>
      </c>
      <c r="M176" s="55">
        <f>(0.84*(K176^0.5)*(cell_GUTDEP^0.6666)/cell_NRD)</f>
        <v>1.4509903427916599</v>
      </c>
      <c r="N176" s="53">
        <f>VLOOKUP(C176,table_DI,10)</f>
        <v>20</v>
      </c>
      <c r="O176" s="53">
        <f>(L176/(M176*60))</f>
        <v>15.610028083592967</v>
      </c>
      <c r="P176" s="53">
        <f>N176+O176</f>
        <v>35.610028083592965</v>
      </c>
      <c r="Q176" s="55">
        <f>cell_P*(P176^cell_E)</f>
        <v>0.59157422188504183</v>
      </c>
      <c r="R176" s="54">
        <f>Q176*I176</f>
        <v>2.4609487630417739</v>
      </c>
      <c r="S176" s="53" t="s">
        <v>10</v>
      </c>
      <c r="T176" s="55" t="s">
        <v>10</v>
      </c>
      <c r="U176" s="56" t="s">
        <v>10</v>
      </c>
      <c r="V176" s="53" t="s">
        <v>10</v>
      </c>
      <c r="W176" s="53" t="s">
        <v>10</v>
      </c>
      <c r="X176" s="53" t="s">
        <v>10</v>
      </c>
      <c r="Y176" s="55" t="s">
        <v>10</v>
      </c>
      <c r="Z176" s="55" t="s">
        <v>10</v>
      </c>
      <c r="AA176" s="55" t="s">
        <v>10</v>
      </c>
      <c r="AB176" s="55" t="s">
        <v>10</v>
      </c>
      <c r="AC176" s="57" t="s">
        <v>10</v>
      </c>
      <c r="AD176" t="s">
        <v>10</v>
      </c>
    </row>
    <row r="177" spans="1:30" x14ac:dyDescent="0.2">
      <c r="B177" s="216" t="s">
        <v>10</v>
      </c>
      <c r="C177" s="215">
        <v>75.400000000000006</v>
      </c>
      <c r="D177" s="54">
        <f>VLOOKUP(C177,table_DI,2)</f>
        <v>3.35</v>
      </c>
      <c r="E177" s="54" t="s">
        <v>10</v>
      </c>
      <c r="F177" s="55">
        <f>VLOOKUP(C177,table_DI,5)</f>
        <v>0.52</v>
      </c>
      <c r="G177" s="54">
        <f>VLOOKUP(C177,table_DI,3)</f>
        <v>1.742</v>
      </c>
      <c r="H177" s="54" t="s">
        <v>10</v>
      </c>
      <c r="I177" s="54">
        <f>VLOOKUP(C177,table_DI,4)</f>
        <v>1.742</v>
      </c>
      <c r="J177" s="54" t="s">
        <v>10</v>
      </c>
      <c r="K177" s="56">
        <f>VLOOKUP(C177,table_DI,9)</f>
        <v>4.5893719806762738E-3</v>
      </c>
      <c r="L177" s="53">
        <f>VLOOKUP(C177,table_DI,8)</f>
        <v>414</v>
      </c>
      <c r="M177" s="55">
        <f>(0.84*(K177^0.5)*(cell_GUTDEP^0.6666)/cell_NRD)</f>
        <v>1.9947749707018765</v>
      </c>
      <c r="N177" s="53">
        <f>VLOOKUP(C177,table_DI,10)</f>
        <v>20</v>
      </c>
      <c r="O177" s="53">
        <f>(L177/(M177*60))</f>
        <v>3.4590367842705501</v>
      </c>
      <c r="P177" s="53">
        <f>N177+O177</f>
        <v>23.459036784270552</v>
      </c>
      <c r="Q177" s="55">
        <f>cell_P*(P177^cell_E)</f>
        <v>0.76827303974866168</v>
      </c>
      <c r="R177" s="54">
        <f>Q177*I177</f>
        <v>1.3383316352421686</v>
      </c>
      <c r="S177" s="53" t="s">
        <v>10</v>
      </c>
      <c r="T177" s="55" t="s">
        <v>10</v>
      </c>
      <c r="U177" s="56" t="s">
        <v>10</v>
      </c>
      <c r="V177" s="53" t="s">
        <v>10</v>
      </c>
      <c r="W177" s="53" t="s">
        <v>10</v>
      </c>
      <c r="X177" s="53" t="s">
        <v>10</v>
      </c>
      <c r="Y177" s="55" t="s">
        <v>10</v>
      </c>
      <c r="Z177" s="55" t="s">
        <v>10</v>
      </c>
      <c r="AA177" s="55" t="s">
        <v>10</v>
      </c>
      <c r="AB177" s="55" t="s">
        <v>10</v>
      </c>
      <c r="AC177" s="57" t="s">
        <v>10</v>
      </c>
      <c r="AD177" t="s">
        <v>10</v>
      </c>
    </row>
    <row r="178" spans="1:30" x14ac:dyDescent="0.2">
      <c r="B178" s="216">
        <v>68</v>
      </c>
      <c r="C178" s="217" t="s">
        <v>10</v>
      </c>
      <c r="D178" s="54" t="s">
        <v>10</v>
      </c>
      <c r="E178" s="54">
        <f>VLOOKUP(75.3,table_CIA_INLETS,2,FALSE)+VLOOKUP(75.4,table_CIA_INLETS,2,FALSE)</f>
        <v>11.35</v>
      </c>
      <c r="F178" s="55" t="s">
        <v>10</v>
      </c>
      <c r="G178" s="54" t="s">
        <v>10</v>
      </c>
      <c r="H178" s="54">
        <f>VLOOKUP(75.3,table_CIA_INLETS,5,FALSE)+VLOOKUP(75.4,table_CIA_INLETS,5,FALSE)</f>
        <v>5.9020000000000001</v>
      </c>
      <c r="I178" s="54" t="s">
        <v>10</v>
      </c>
      <c r="J178" s="54">
        <f>VLOOKUP(75.3,table_CIA_INLETS,7,FALSE)+VLOOKUP(75.4,table_CIA_INLETS,7,FALSE)</f>
        <v>5.9020000000000001</v>
      </c>
      <c r="K178" s="56" t="s">
        <v>10</v>
      </c>
      <c r="L178" s="53" t="s">
        <v>10</v>
      </c>
      <c r="M178" s="55" t="s">
        <v>10</v>
      </c>
      <c r="N178" s="53" t="s">
        <v>10</v>
      </c>
      <c r="O178" s="53" t="s">
        <v>10</v>
      </c>
      <c r="P178" s="53">
        <f>VLOOKUP(75.3,table_CIA_INLETS,14,FALSE)</f>
        <v>35.610028083592965</v>
      </c>
      <c r="Q178" s="55">
        <f>cell_P*(P178^cell_E)</f>
        <v>0.59157422188504183</v>
      </c>
      <c r="R178" s="54">
        <f>J178*Q178</f>
        <v>3.491471057565517</v>
      </c>
      <c r="S178" s="53">
        <v>18</v>
      </c>
      <c r="T178" s="55">
        <f>(4*R178)/(3.14159*(S178/12)^2)</f>
        <v>1.9757701221019459</v>
      </c>
      <c r="U178" s="56">
        <f>((R178/((0.463135/cell_NP)*((S178/12)^(8/3))))^2)*cell_FF</f>
        <v>1.2706702166630681E-3</v>
      </c>
      <c r="V178" s="53">
        <v>391</v>
      </c>
      <c r="W178" s="53">
        <f>V178/(T178*60)</f>
        <v>3.2982919388080609</v>
      </c>
      <c r="X178" s="53">
        <f>W178+P178</f>
        <v>38.908320022401028</v>
      </c>
      <c r="Y178" s="55">
        <f>U178*V178</f>
        <v>0.49683205471525965</v>
      </c>
      <c r="Z178" s="55">
        <f>IF(VLOOKUP(68.05,table_CIA_JCTS,25,FALSE)+VLOOKUP(68,table_CIA_JCTS,24,FALSE)&lt;VLOOKUP(68,table_CIA_JCTS,28,FALSE),VLOOKUP(68,table_CIA_JCTS,28,FALSE),VLOOKUP(68.05,table_CIA_JCTS,25,FALSE)+VLOOKUP(68,table_CIA_JCTS,24,FALSE))</f>
        <v>392.17924883693507</v>
      </c>
      <c r="AA178" s="55">
        <v>397.99</v>
      </c>
      <c r="AB178" s="55">
        <f>(AA178-0.5)-Z178</f>
        <v>5.3107511630649356</v>
      </c>
      <c r="AC178" s="57" t="s">
        <v>10</v>
      </c>
      <c r="AD178" t="s">
        <v>10</v>
      </c>
    </row>
    <row r="179" spans="1:30" x14ac:dyDescent="0.2">
      <c r="A179" s="366"/>
      <c r="B179" s="216">
        <v>68.05</v>
      </c>
      <c r="C179" s="217" t="s">
        <v>10</v>
      </c>
      <c r="D179" s="54" t="s">
        <v>10</v>
      </c>
      <c r="E179" s="54">
        <f>VLOOKUP(68,table_CIA_JCTS,4,FALSE)</f>
        <v>11.35</v>
      </c>
      <c r="F179" s="55" t="s">
        <v>10</v>
      </c>
      <c r="G179" s="54" t="s">
        <v>10</v>
      </c>
      <c r="H179" s="54">
        <f>VLOOKUP(68,table_CIA_JCTS,7,FALSE)</f>
        <v>5.9020000000000001</v>
      </c>
      <c r="I179" s="54" t="s">
        <v>10</v>
      </c>
      <c r="J179" s="54">
        <f>VLOOKUP(68,table_CIA_JCTS,9,FALSE)</f>
        <v>5.9020000000000001</v>
      </c>
      <c r="K179" s="56" t="s">
        <v>10</v>
      </c>
      <c r="L179" s="53" t="s">
        <v>10</v>
      </c>
      <c r="M179" s="55" t="s">
        <v>10</v>
      </c>
      <c r="N179" s="53" t="s">
        <v>10</v>
      </c>
      <c r="O179" s="53" t="s">
        <v>10</v>
      </c>
      <c r="P179" s="53">
        <f>VLOOKUP(68,table_CIA_JCTS,23,FALSE)</f>
        <v>38.908320022401028</v>
      </c>
      <c r="Q179" s="55">
        <f>cell_P*(P179^cell_E)</f>
        <v>0.55965350113496803</v>
      </c>
      <c r="R179" s="54">
        <f>IF(J179*Q179&gt;J178*Q178,J179*Q179,J178*Q178)</f>
        <v>3.491471057565517</v>
      </c>
      <c r="S179" s="53">
        <v>30</v>
      </c>
      <c r="T179" s="55">
        <f>(4*R179)/(3.14159*(S179/12)^2)</f>
        <v>0.71127724395670056</v>
      </c>
      <c r="U179" s="56">
        <f>((R179/((0.463135/cell_NP)*((S179/12)^(8/3))))^2)*cell_FF</f>
        <v>8.3337317925440916E-5</v>
      </c>
      <c r="V179" s="53">
        <v>29</v>
      </c>
      <c r="W179" s="53">
        <f>V179/(T179*60)</f>
        <v>0.67952874556289977</v>
      </c>
      <c r="X179" s="53">
        <f>W179+P179</f>
        <v>39.587848767963926</v>
      </c>
      <c r="Y179" s="55">
        <f>U179*V179</f>
        <v>2.4167822198377866E-3</v>
      </c>
      <c r="Z179" s="55">
        <f>IF(VLOOKUP(69,table_CIA_JCTS,25,FALSE)+VLOOKUP(68.05,table_CIA_JCTS,24,FALSE)&lt;VLOOKUP(68.05,table_CIA_JCTS,28,FALSE),VLOOKUP(68.05,table_CIA_JCTS,28,FALSE),VLOOKUP(69,table_CIA_JCTS,25,FALSE)+VLOOKUP(68.05,table_CIA_JCTS,24,FALSE))</f>
        <v>391.68241678221983</v>
      </c>
      <c r="AA179" s="55">
        <v>399.54</v>
      </c>
      <c r="AB179" s="55">
        <f>(AA179-0.5)-Z179</f>
        <v>7.3575832177801885</v>
      </c>
      <c r="AC179" s="57" t="s">
        <v>10</v>
      </c>
      <c r="AD179" t="s">
        <v>10</v>
      </c>
    </row>
    <row r="180" spans="1:30" x14ac:dyDescent="0.2">
      <c r="B180" s="216" t="s">
        <v>10</v>
      </c>
      <c r="C180" s="217" t="s">
        <v>10</v>
      </c>
      <c r="D180" s="54" t="s">
        <v>10</v>
      </c>
      <c r="E180" s="54" t="s">
        <v>10</v>
      </c>
      <c r="F180" s="55" t="s">
        <v>10</v>
      </c>
      <c r="G180" s="54" t="s">
        <v>10</v>
      </c>
      <c r="H180" s="54" t="s">
        <v>10</v>
      </c>
      <c r="I180" s="54" t="s">
        <v>10</v>
      </c>
      <c r="J180" s="54" t="s">
        <v>10</v>
      </c>
      <c r="K180" s="56" t="s">
        <v>10</v>
      </c>
      <c r="L180" s="53" t="s">
        <v>10</v>
      </c>
      <c r="M180" s="55" t="s">
        <v>10</v>
      </c>
      <c r="N180" s="53" t="s">
        <v>10</v>
      </c>
      <c r="O180" s="53" t="s">
        <v>10</v>
      </c>
      <c r="P180" s="53" t="s">
        <v>10</v>
      </c>
      <c r="Q180" s="55" t="s">
        <v>10</v>
      </c>
      <c r="R180" s="54" t="s">
        <v>10</v>
      </c>
      <c r="S180" s="53" t="s">
        <v>10</v>
      </c>
      <c r="T180" s="55" t="s">
        <v>10</v>
      </c>
      <c r="U180" s="56" t="s">
        <v>10</v>
      </c>
      <c r="V180" s="53" t="s">
        <v>10</v>
      </c>
      <c r="W180" s="53" t="s">
        <v>10</v>
      </c>
      <c r="X180" s="53" t="s">
        <v>10</v>
      </c>
      <c r="Y180" s="55" t="s">
        <v>10</v>
      </c>
      <c r="Z180" s="55" t="s">
        <v>10</v>
      </c>
      <c r="AA180" s="55" t="s">
        <v>10</v>
      </c>
      <c r="AB180" s="55" t="s">
        <v>10</v>
      </c>
      <c r="AC180" s="57" t="s">
        <v>10</v>
      </c>
      <c r="AD180" t="s">
        <v>10</v>
      </c>
    </row>
    <row r="181" spans="1:30" x14ac:dyDescent="0.2">
      <c r="B181" s="216" t="s">
        <v>10</v>
      </c>
      <c r="C181" s="215">
        <v>75.5</v>
      </c>
      <c r="D181" s="54">
        <f>VLOOKUP(C181,table_DI,2)</f>
        <v>3.08</v>
      </c>
      <c r="E181" s="54" t="s">
        <v>10</v>
      </c>
      <c r="F181" s="55">
        <f>VLOOKUP(C181,table_DI,5)</f>
        <v>0.51999999999999991</v>
      </c>
      <c r="G181" s="54">
        <f>VLOOKUP(C181,table_DI,3)</f>
        <v>1.6015999999999999</v>
      </c>
      <c r="H181" s="54" t="s">
        <v>10</v>
      </c>
      <c r="I181" s="54">
        <f>VLOOKUP(C181,table_DI,4)</f>
        <v>1.6015999999999999</v>
      </c>
      <c r="J181" s="54" t="s">
        <v>10</v>
      </c>
      <c r="K181" s="56">
        <f>VLOOKUP(C181,table_DI,9)</f>
        <v>2.5490196078431495E-3</v>
      </c>
      <c r="L181" s="53">
        <f>VLOOKUP(C181,table_DI,8)</f>
        <v>561</v>
      </c>
      <c r="M181" s="55">
        <f>(0.84*(K181^0.5)*(cell_GUTDEP^0.6666)/cell_NRD)</f>
        <v>1.4866333406956449</v>
      </c>
      <c r="N181" s="53">
        <f>VLOOKUP(C181,table_DI,10)</f>
        <v>20</v>
      </c>
      <c r="O181" s="53">
        <f>(L181/(M181*60))</f>
        <v>6.2893786544736212</v>
      </c>
      <c r="P181" s="53">
        <f>N181+O181</f>
        <v>26.289378654473623</v>
      </c>
      <c r="Q181" s="55">
        <f>cell_P*(P181^cell_E)</f>
        <v>0.71538097801513689</v>
      </c>
      <c r="R181" s="54">
        <f>Q181*I181</f>
        <v>1.1457541743890431</v>
      </c>
      <c r="S181" s="53" t="s">
        <v>10</v>
      </c>
      <c r="T181" s="55" t="s">
        <v>10</v>
      </c>
      <c r="U181" s="56" t="s">
        <v>10</v>
      </c>
      <c r="V181" s="53" t="s">
        <v>10</v>
      </c>
      <c r="W181" s="53" t="s">
        <v>10</v>
      </c>
      <c r="X181" s="53" t="s">
        <v>10</v>
      </c>
      <c r="Y181" s="55" t="s">
        <v>10</v>
      </c>
      <c r="Z181" s="55" t="s">
        <v>10</v>
      </c>
      <c r="AA181" s="55" t="s">
        <v>10</v>
      </c>
      <c r="AB181" s="55" t="s">
        <v>10</v>
      </c>
      <c r="AC181" s="57" t="s">
        <v>10</v>
      </c>
      <c r="AD181" t="s">
        <v>10</v>
      </c>
    </row>
    <row r="182" spans="1:30" x14ac:dyDescent="0.2">
      <c r="B182" s="216" t="s">
        <v>10</v>
      </c>
      <c r="C182" s="215">
        <v>75.599999999999994</v>
      </c>
      <c r="D182" s="54">
        <f>VLOOKUP(C182,table_DI,2)</f>
        <v>1.1200000000000001</v>
      </c>
      <c r="E182" s="54" t="s">
        <v>10</v>
      </c>
      <c r="F182" s="55">
        <f>VLOOKUP(C182,table_DI,5)</f>
        <v>0.52</v>
      </c>
      <c r="G182" s="54">
        <f>VLOOKUP(C182,table_DI,3)</f>
        <v>0.58240000000000003</v>
      </c>
      <c r="H182" s="54" t="s">
        <v>10</v>
      </c>
      <c r="I182" s="54">
        <f>VLOOKUP(C182,table_DI,4)</f>
        <v>0.58240000000000003</v>
      </c>
      <c r="J182" s="54" t="s">
        <v>10</v>
      </c>
      <c r="K182" s="56">
        <f>VLOOKUP(C182,table_DI,9)</f>
        <v>3.3928571428571024E-3</v>
      </c>
      <c r="L182" s="53">
        <f>VLOOKUP(C182,table_DI,8)</f>
        <v>448</v>
      </c>
      <c r="M182" s="55">
        <f>(0.84*(K182^0.5)*(cell_GUTDEP^0.6666)/cell_NRD)</f>
        <v>1.7151419423079675</v>
      </c>
      <c r="N182" s="53">
        <f>VLOOKUP(C182,table_DI,10)</f>
        <v>20</v>
      </c>
      <c r="O182" s="53">
        <f>(L182/(M182*60))</f>
        <v>4.3533811881593918</v>
      </c>
      <c r="P182" s="53">
        <f>N182+O182</f>
        <v>24.353381188159393</v>
      </c>
      <c r="Q182" s="55">
        <f>cell_P*(P182^cell_E)</f>
        <v>0.75048222896987149</v>
      </c>
      <c r="R182" s="54">
        <f>Q182*I182</f>
        <v>0.43708085015205317</v>
      </c>
      <c r="S182" s="53" t="s">
        <v>10</v>
      </c>
      <c r="T182" s="55" t="s">
        <v>10</v>
      </c>
      <c r="U182" s="56" t="s">
        <v>10</v>
      </c>
      <c r="V182" s="53" t="s">
        <v>10</v>
      </c>
      <c r="W182" s="53" t="s">
        <v>10</v>
      </c>
      <c r="X182" s="53" t="s">
        <v>10</v>
      </c>
      <c r="Y182" s="55" t="s">
        <v>10</v>
      </c>
      <c r="Z182" s="55" t="s">
        <v>10</v>
      </c>
      <c r="AA182" s="55" t="s">
        <v>10</v>
      </c>
      <c r="AB182" s="55" t="s">
        <v>10</v>
      </c>
      <c r="AC182" s="57" t="s">
        <v>10</v>
      </c>
      <c r="AD182" t="s">
        <v>10</v>
      </c>
    </row>
    <row r="183" spans="1:30" x14ac:dyDescent="0.2">
      <c r="B183" s="216">
        <v>68.099999999999994</v>
      </c>
      <c r="C183" s="217" t="s">
        <v>10</v>
      </c>
      <c r="D183" s="54" t="s">
        <v>10</v>
      </c>
      <c r="E183" s="54">
        <f>VLOOKUP(75.5,table_CIA_INLETS,2,FALSE)+VLOOKUP(75.6,table_CIA_INLETS,2,FALSE)</f>
        <v>4.2</v>
      </c>
      <c r="F183" s="55" t="s">
        <v>10</v>
      </c>
      <c r="G183" s="54" t="s">
        <v>10</v>
      </c>
      <c r="H183" s="54">
        <f>VLOOKUP(75.5,table_CIA_INLETS,5,FALSE)+VLOOKUP(75.6,table_CIA_INLETS,5,FALSE)</f>
        <v>2.1840000000000002</v>
      </c>
      <c r="I183" s="54" t="s">
        <v>10</v>
      </c>
      <c r="J183" s="54">
        <f>VLOOKUP(75.5,table_CIA_INLETS,7,FALSE)+VLOOKUP(75.6,table_CIA_INLETS,7,FALSE)</f>
        <v>2.1840000000000002</v>
      </c>
      <c r="K183" s="56" t="s">
        <v>10</v>
      </c>
      <c r="L183" s="53" t="s">
        <v>10</v>
      </c>
      <c r="M183" s="55" t="s">
        <v>10</v>
      </c>
      <c r="N183" s="53" t="s">
        <v>10</v>
      </c>
      <c r="O183" s="53" t="s">
        <v>10</v>
      </c>
      <c r="P183" s="53">
        <f>VLOOKUP(75.5,table_CIA_INLETS,14,FALSE)</f>
        <v>26.289378654473623</v>
      </c>
      <c r="Q183" s="55">
        <f>cell_P*(P183^cell_E)</f>
        <v>0.71538097801513689</v>
      </c>
      <c r="R183" s="54">
        <f>J183*Q183</f>
        <v>1.562392055985059</v>
      </c>
      <c r="S183" s="53">
        <v>18</v>
      </c>
      <c r="T183" s="55">
        <f>(4*R183)/(3.14159*(S183/12)^2)</f>
        <v>0.88413379126708824</v>
      </c>
      <c r="U183" s="56">
        <f>((R183/((0.463135/cell_NP)*((S183/12)^(8/3))))^2)*cell_FF</f>
        <v>2.5444621922574007E-4</v>
      </c>
      <c r="V183" s="53">
        <v>87</v>
      </c>
      <c r="W183" s="53">
        <f>V183/(T183*60)</f>
        <v>1.640023279646337</v>
      </c>
      <c r="X183" s="53">
        <f>W183+P183</f>
        <v>27.929401934119959</v>
      </c>
      <c r="Y183" s="55">
        <f>U183*V183</f>
        <v>2.2136821072639385E-2</v>
      </c>
      <c r="Z183" s="55">
        <f>IF(VLOOKUP(69,table_CIA_JCTS,25,FALSE)+VLOOKUP(68.1,table_CIA_JCTS,24,FALSE)&lt;VLOOKUP(68.1,table_CIA_JCTS,28,FALSE),VLOOKUP(68.1,table_CIA_JCTS,28,FALSE),VLOOKUP(69,table_CIA_JCTS,25,FALSE)+VLOOKUP(68.1,table_CIA_JCTS,24,FALSE))</f>
        <v>393.59</v>
      </c>
      <c r="AA183" s="55">
        <v>399.55</v>
      </c>
      <c r="AB183" s="55">
        <f>(AA183-0.5)-Z183</f>
        <v>5.4600000000000364</v>
      </c>
      <c r="AC183" s="57">
        <v>393.59</v>
      </c>
      <c r="AD183" t="s">
        <v>10</v>
      </c>
    </row>
    <row r="184" spans="1:30" x14ac:dyDescent="0.2">
      <c r="B184" s="216">
        <v>69</v>
      </c>
      <c r="C184" s="217" t="s">
        <v>10</v>
      </c>
      <c r="D184" s="54" t="s">
        <v>10</v>
      </c>
      <c r="E184" s="54">
        <f>VLOOKUP(65.3,table_CIA_JCTS,4,FALSE)+VLOOKUP(68.05,table_CIA_JCTS,4,FALSE)+VLOOKUP(68.1,table_CIA_JCTS,4,FALSE)</f>
        <v>452.00000000000011</v>
      </c>
      <c r="F184" s="55" t="s">
        <v>10</v>
      </c>
      <c r="G184" s="54" t="s">
        <v>10</v>
      </c>
      <c r="H184" s="54">
        <f>VLOOKUP(65.3,table_CIA_JCTS,7,FALSE)+VLOOKUP(68.05,table_CIA_JCTS,7,FALSE)+VLOOKUP(68.1,table_CIA_JCTS,7,FALSE)</f>
        <v>213.11989999999994</v>
      </c>
      <c r="I184" s="54" t="s">
        <v>10</v>
      </c>
      <c r="J184" s="54">
        <f>VLOOKUP(65.3,table_CIA_JCTS,9,FALSE)+VLOOKUP(68.05,table_CIA_JCTS,9,FALSE)+VLOOKUP(68.1,table_CIA_JCTS,9,FALSE)</f>
        <v>231.48117999999999</v>
      </c>
      <c r="K184" s="56" t="s">
        <v>10</v>
      </c>
      <c r="L184" s="53" t="s">
        <v>10</v>
      </c>
      <c r="M184" s="55" t="s">
        <v>10</v>
      </c>
      <c r="N184" s="53" t="s">
        <v>10</v>
      </c>
      <c r="O184" s="53" t="s">
        <v>10</v>
      </c>
      <c r="P184" s="53">
        <f>VLOOKUP(65.3,table_CIA_JCTS,23,FALSE)</f>
        <v>84.794229040190359</v>
      </c>
      <c r="Q184" s="55">
        <f>cell_P*(P184^cell_E)</f>
        <v>0.34360608881615018</v>
      </c>
      <c r="R184" s="54">
        <f>J184*Q184</f>
        <v>79.538342894347238</v>
      </c>
      <c r="S184" s="53">
        <v>54</v>
      </c>
      <c r="T184" s="55">
        <f>(4*R184)/(3.14159*(S184/12)^2)</f>
        <v>5.0010592116603219</v>
      </c>
      <c r="U184" s="56">
        <f>((R184/((0.463135/cell_NP)*((S184/12)^(8/3))))^2)*cell_FF</f>
        <v>1.8815785062211159E-3</v>
      </c>
      <c r="V184" s="53">
        <v>1195</v>
      </c>
      <c r="W184" s="53">
        <f>V184/(T184*60)</f>
        <v>3.9824896734334909</v>
      </c>
      <c r="X184" s="53">
        <f>W184+P184</f>
        <v>88.77671871362385</v>
      </c>
      <c r="Y184" s="55">
        <f>U184*V184</f>
        <v>2.2484863149342336</v>
      </c>
      <c r="Z184" s="55">
        <f>IF(VLOOKUP(71,table_CIA_JCTS,25,FALSE)+VLOOKUP(69,table_CIA_JCTS,24,FALSE)&lt;VLOOKUP(69,table_CIA_JCTS,28,FALSE),VLOOKUP(69,table_CIA_JCTS,28,FALSE),VLOOKUP(71,table_CIA_JCTS,25,FALSE)+VLOOKUP(69,table_CIA_JCTS,24,FALSE))</f>
        <v>391.68</v>
      </c>
      <c r="AA184" s="55">
        <v>399.62</v>
      </c>
      <c r="AB184" s="55">
        <f>(AA184-0.5)-Z184</f>
        <v>7.4399999999999977</v>
      </c>
      <c r="AC184" s="57">
        <v>391.68</v>
      </c>
      <c r="AD184" t="s">
        <v>10</v>
      </c>
    </row>
    <row r="185" spans="1:30" x14ac:dyDescent="0.2">
      <c r="B185" s="216" t="s">
        <v>10</v>
      </c>
      <c r="C185" s="217" t="s">
        <v>10</v>
      </c>
      <c r="D185" s="54" t="s">
        <v>10</v>
      </c>
      <c r="E185" s="54" t="s">
        <v>10</v>
      </c>
      <c r="F185" s="55" t="s">
        <v>10</v>
      </c>
      <c r="G185" s="54" t="s">
        <v>10</v>
      </c>
      <c r="H185" s="54" t="s">
        <v>10</v>
      </c>
      <c r="I185" s="54" t="s">
        <v>10</v>
      </c>
      <c r="J185" s="54" t="s">
        <v>10</v>
      </c>
      <c r="K185" s="56" t="s">
        <v>10</v>
      </c>
      <c r="L185" s="53" t="s">
        <v>10</v>
      </c>
      <c r="M185" s="55" t="s">
        <v>10</v>
      </c>
      <c r="N185" s="53" t="s">
        <v>10</v>
      </c>
      <c r="O185" s="53" t="s">
        <v>10</v>
      </c>
      <c r="P185" s="53" t="s">
        <v>10</v>
      </c>
      <c r="Q185" s="55" t="s">
        <v>10</v>
      </c>
      <c r="R185" s="54" t="s">
        <v>10</v>
      </c>
      <c r="S185" s="53" t="s">
        <v>10</v>
      </c>
      <c r="T185" s="55" t="s">
        <v>10</v>
      </c>
      <c r="U185" s="56" t="s">
        <v>10</v>
      </c>
      <c r="V185" s="53" t="s">
        <v>10</v>
      </c>
      <c r="W185" s="53" t="s">
        <v>10</v>
      </c>
      <c r="X185" s="53" t="s">
        <v>10</v>
      </c>
      <c r="Y185" s="55" t="s">
        <v>10</v>
      </c>
      <c r="Z185" s="55" t="s">
        <v>10</v>
      </c>
      <c r="AA185" s="55" t="s">
        <v>10</v>
      </c>
      <c r="AB185" s="55" t="s">
        <v>10</v>
      </c>
      <c r="AC185" s="57" t="s">
        <v>10</v>
      </c>
      <c r="AD185" t="s">
        <v>10</v>
      </c>
    </row>
    <row r="186" spans="1:30" x14ac:dyDescent="0.2">
      <c r="A186" s="675" t="s">
        <v>553</v>
      </c>
      <c r="B186" s="258" t="s">
        <v>10</v>
      </c>
      <c r="C186" s="489">
        <v>76</v>
      </c>
      <c r="D186" s="490">
        <f>VLOOKUP(C186,table_DI,2)</f>
        <v>5.57</v>
      </c>
      <c r="E186" s="490" t="s">
        <v>10</v>
      </c>
      <c r="F186" s="491">
        <f>VLOOKUP(C186,table_DI,5)</f>
        <v>0.51999999999999991</v>
      </c>
      <c r="G186" s="490">
        <f>VLOOKUP(C186,table_DI,3)</f>
        <v>2.8963999999999999</v>
      </c>
      <c r="H186" s="490" t="s">
        <v>10</v>
      </c>
      <c r="I186" s="490">
        <f>VLOOKUP(C186,table_DI,4)</f>
        <v>2.8963999999999999</v>
      </c>
      <c r="J186" s="490" t="s">
        <v>10</v>
      </c>
      <c r="K186" s="492">
        <f>VLOOKUP(C186,table_DI,9)</f>
        <v>4.8765432098765993E-3</v>
      </c>
      <c r="L186" s="493">
        <f>VLOOKUP(C186,table_DI,8)</f>
        <v>810</v>
      </c>
      <c r="M186" s="491">
        <f>(0.84*(K186^0.5)*(cell_GUTDEP^0.6666)/cell_NRD)</f>
        <v>2.0562377062471628</v>
      </c>
      <c r="N186" s="493">
        <f>VLOOKUP(C186,table_DI,10)</f>
        <v>20</v>
      </c>
      <c r="O186" s="493">
        <f>(L186/(M186*60))</f>
        <v>6.5653887967256646</v>
      </c>
      <c r="P186" s="493">
        <f>N186+O186</f>
        <v>26.565388796725664</v>
      </c>
      <c r="Q186" s="491">
        <f>cell_P*(P186^cell_E)</f>
        <v>0.71071754366593909</v>
      </c>
      <c r="R186" s="490">
        <f>Q186*I186</f>
        <v>2.0585222934740259</v>
      </c>
      <c r="S186" s="493" t="s">
        <v>10</v>
      </c>
      <c r="T186" s="491" t="s">
        <v>10</v>
      </c>
      <c r="U186" s="492" t="s">
        <v>10</v>
      </c>
      <c r="V186" s="493" t="s">
        <v>10</v>
      </c>
      <c r="W186" s="493" t="s">
        <v>10</v>
      </c>
      <c r="X186" s="493" t="s">
        <v>10</v>
      </c>
      <c r="Y186" s="491" t="s">
        <v>10</v>
      </c>
      <c r="Z186" s="491" t="s">
        <v>10</v>
      </c>
      <c r="AA186" s="491" t="s">
        <v>10</v>
      </c>
      <c r="AB186" s="491" t="s">
        <v>10</v>
      </c>
      <c r="AC186" s="494" t="s">
        <v>10</v>
      </c>
      <c r="AD186" t="s">
        <v>10</v>
      </c>
    </row>
    <row r="187" spans="1:30" x14ac:dyDescent="0.2">
      <c r="A187" s="676"/>
      <c r="B187" s="258" t="s">
        <v>10</v>
      </c>
      <c r="C187" s="489">
        <v>76.2</v>
      </c>
      <c r="D187" s="490">
        <f>VLOOKUP(C187,table_DI,2)</f>
        <v>0.2</v>
      </c>
      <c r="E187" s="490" t="s">
        <v>10</v>
      </c>
      <c r="F187" s="491">
        <f>VLOOKUP(C187,table_DI,5)</f>
        <v>0.9</v>
      </c>
      <c r="G187" s="490">
        <f>VLOOKUP(C187,table_DI,3)</f>
        <v>0.18000000000000002</v>
      </c>
      <c r="H187" s="490" t="s">
        <v>10</v>
      </c>
      <c r="I187" s="490">
        <f>VLOOKUP(C187,table_DI,4)</f>
        <v>0.18000000000000002</v>
      </c>
      <c r="J187" s="490" t="s">
        <v>10</v>
      </c>
      <c r="K187" s="492">
        <f>VLOOKUP(C187,table_DI,9)</f>
        <v>2.4880382775118747E-3</v>
      </c>
      <c r="L187" s="493">
        <f>VLOOKUP(C187,table_DI,8)</f>
        <v>209</v>
      </c>
      <c r="M187" s="491">
        <f>(0.84*(K187^0.5)*(cell_GUTDEP^0.6666)/cell_NRD)</f>
        <v>1.4687429978531774</v>
      </c>
      <c r="N187" s="493">
        <f>VLOOKUP(C187,table_DI,10)</f>
        <v>5</v>
      </c>
      <c r="O187" s="493">
        <f>(L187/(M187*60))</f>
        <v>2.3716425122876017</v>
      </c>
      <c r="P187" s="493">
        <f>N187+O187</f>
        <v>7.3716425122876021</v>
      </c>
      <c r="Q187" s="491">
        <f>cell_P*(P187^cell_E)</f>
        <v>1.5861164970669133</v>
      </c>
      <c r="R187" s="490">
        <f>Q187*I187</f>
        <v>0.2855009694720444</v>
      </c>
      <c r="S187" s="493" t="s">
        <v>10</v>
      </c>
      <c r="T187" s="491" t="s">
        <v>10</v>
      </c>
      <c r="U187" s="492" t="s">
        <v>10</v>
      </c>
      <c r="V187" s="493" t="s">
        <v>10</v>
      </c>
      <c r="W187" s="493" t="s">
        <v>10</v>
      </c>
      <c r="X187" s="493" t="s">
        <v>10</v>
      </c>
      <c r="Y187" s="491" t="s">
        <v>10</v>
      </c>
      <c r="Z187" s="491" t="s">
        <v>10</v>
      </c>
      <c r="AA187" s="491" t="s">
        <v>10</v>
      </c>
      <c r="AB187" s="491" t="s">
        <v>10</v>
      </c>
      <c r="AC187" s="494" t="s">
        <v>10</v>
      </c>
      <c r="AD187" t="s">
        <v>10</v>
      </c>
    </row>
    <row r="188" spans="1:30" ht="15.75" x14ac:dyDescent="0.25">
      <c r="A188" s="676"/>
      <c r="B188" s="258">
        <v>70</v>
      </c>
      <c r="C188" s="259" t="s">
        <v>10</v>
      </c>
      <c r="D188" s="490" t="s">
        <v>10</v>
      </c>
      <c r="E188" s="490">
        <f>VLOOKUP(76,table_CIA_INLETS,2,FALSE)+VLOOKUP(76.2,table_CIA_INLETS,2,FALSE)</f>
        <v>5.7700000000000005</v>
      </c>
      <c r="F188" s="491" t="s">
        <v>10</v>
      </c>
      <c r="G188" s="490" t="s">
        <v>10</v>
      </c>
      <c r="H188" s="490">
        <f>VLOOKUP(76,table_CIA_INLETS,5,FALSE)+VLOOKUP(76.2,table_CIA_INLETS,5,FALSE)</f>
        <v>3.0764</v>
      </c>
      <c r="I188" s="490" t="s">
        <v>10</v>
      </c>
      <c r="J188" s="490">
        <f>VLOOKUP(76,table_CIA_INLETS,7,FALSE)+VLOOKUP(76.2,table_CIA_INLETS,7,FALSE)</f>
        <v>3.0764</v>
      </c>
      <c r="K188" s="492" t="s">
        <v>10</v>
      </c>
      <c r="L188" s="493" t="s">
        <v>10</v>
      </c>
      <c r="M188" s="491" t="s">
        <v>10</v>
      </c>
      <c r="N188" s="493" t="s">
        <v>10</v>
      </c>
      <c r="O188" s="493" t="s">
        <v>10</v>
      </c>
      <c r="P188" s="493">
        <f>VLOOKUP(76,table_CIA_INLETS,14,FALSE)</f>
        <v>26.565388796725664</v>
      </c>
      <c r="Q188" s="491">
        <f>cell_P*(P188^cell_E)</f>
        <v>0.71071754366593909</v>
      </c>
      <c r="R188" s="490">
        <f>J188*Q188</f>
        <v>2.1864514513338951</v>
      </c>
      <c r="S188" s="493">
        <v>18</v>
      </c>
      <c r="T188" s="491">
        <f>(4*R188)/(3.14159*(S188/12)^2)</f>
        <v>1.2372794675216592</v>
      </c>
      <c r="U188" s="492">
        <f>((R188/((0.463135/cell_NP)*((S188/12)^(8/3))))^2)*cell_FF</f>
        <v>4.9830544768189903E-4</v>
      </c>
      <c r="V188" s="493">
        <v>49</v>
      </c>
      <c r="W188" s="493">
        <f>V188/(T188*60)</f>
        <v>0.66005028621585082</v>
      </c>
      <c r="X188" s="493">
        <f>W188+P188</f>
        <v>27.225439082941513</v>
      </c>
      <c r="Y188" s="491">
        <f>U188*V188</f>
        <v>2.4416966936413053E-2</v>
      </c>
      <c r="Z188" s="491">
        <f>IF(VLOOKUP(70.2,table_CIA_JCTS,25,FALSE)+VLOOKUP(70,table_CIA_JCTS,24,FALSE)&lt;VLOOKUP(70,table_CIA_JCTS,28,FALSE),VLOOKUP(70,table_CIA_JCTS,28,FALSE),VLOOKUP(70.2,table_CIA_JCTS,25,FALSE)+VLOOKUP(70,table_CIA_JCTS,24,FALSE))</f>
        <v>390.97</v>
      </c>
      <c r="AA188" s="491">
        <v>398.37</v>
      </c>
      <c r="AB188" s="491">
        <f>(AA188-0.5)-Z188</f>
        <v>6.8999999999999773</v>
      </c>
      <c r="AC188" s="495">
        <v>390.97</v>
      </c>
      <c r="AD188" t="s">
        <v>10</v>
      </c>
    </row>
    <row r="189" spans="1:30" x14ac:dyDescent="0.2">
      <c r="A189" s="676"/>
      <c r="B189" s="258" t="s">
        <v>10</v>
      </c>
      <c r="C189" s="489">
        <v>76.099999999999994</v>
      </c>
      <c r="D189" s="490">
        <f>VLOOKUP(C189,table_DI,2)</f>
        <v>2.2000000000000002</v>
      </c>
      <c r="E189" s="490" t="s">
        <v>10</v>
      </c>
      <c r="F189" s="491">
        <f>VLOOKUP(C189,table_DI,5)</f>
        <v>0.52</v>
      </c>
      <c r="G189" s="490">
        <f>VLOOKUP(C189,table_DI,3)</f>
        <v>1.1440000000000001</v>
      </c>
      <c r="H189" s="490" t="s">
        <v>10</v>
      </c>
      <c r="I189" s="490">
        <f>VLOOKUP(C189,table_DI,4)</f>
        <v>1.1440000000000001</v>
      </c>
      <c r="J189" s="490" t="s">
        <v>10</v>
      </c>
      <c r="K189" s="492">
        <f>VLOOKUP(C189,table_DI,9)</f>
        <v>4.1452991452991406E-3</v>
      </c>
      <c r="L189" s="493">
        <f>VLOOKUP(C189,table_DI,8)</f>
        <v>468</v>
      </c>
      <c r="M189" s="491">
        <f>(0.84*(K189^0.5)*(cell_GUTDEP^0.6666)/cell_NRD)</f>
        <v>1.895811785670902</v>
      </c>
      <c r="N189" s="493">
        <f>VLOOKUP(C189,table_DI,10)</f>
        <v>20</v>
      </c>
      <c r="O189" s="493">
        <f>(L189/(M189*60))</f>
        <v>4.1143324769656315</v>
      </c>
      <c r="P189" s="493">
        <f>N189+O189</f>
        <v>24.114332476965632</v>
      </c>
      <c r="Q189" s="491">
        <f>cell_P*(P189^cell_E)</f>
        <v>0.75513233530550239</v>
      </c>
      <c r="R189" s="490">
        <f>Q189*I189</f>
        <v>0.86387139158949477</v>
      </c>
      <c r="S189" s="493" t="s">
        <v>10</v>
      </c>
      <c r="T189" s="491" t="s">
        <v>10</v>
      </c>
      <c r="U189" s="492" t="s">
        <v>10</v>
      </c>
      <c r="V189" s="493" t="s">
        <v>10</v>
      </c>
      <c r="W189" s="493" t="s">
        <v>10</v>
      </c>
      <c r="X189" s="493" t="s">
        <v>10</v>
      </c>
      <c r="Y189" s="491" t="s">
        <v>10</v>
      </c>
      <c r="Z189" s="491" t="s">
        <v>10</v>
      </c>
      <c r="AA189" s="491" t="s">
        <v>10</v>
      </c>
      <c r="AB189" s="491" t="s">
        <v>10</v>
      </c>
      <c r="AC189" s="494" t="s">
        <v>10</v>
      </c>
      <c r="AD189" t="s">
        <v>10</v>
      </c>
    </row>
    <row r="190" spans="1:30" ht="15.75" x14ac:dyDescent="0.25">
      <c r="A190" s="676"/>
      <c r="B190" s="258">
        <v>70.010000000000005</v>
      </c>
      <c r="C190" s="259" t="s">
        <v>10</v>
      </c>
      <c r="D190" s="490" t="s">
        <v>10</v>
      </c>
      <c r="E190" s="490">
        <f>VLOOKUP(70,table_CIA_JCTS,4,FALSE)+VLOOKUP(76.1,table_CIA_INLETS,2,FALSE)</f>
        <v>7.9700000000000006</v>
      </c>
      <c r="F190" s="491" t="s">
        <v>10</v>
      </c>
      <c r="G190" s="490" t="s">
        <v>10</v>
      </c>
      <c r="H190" s="490">
        <f>VLOOKUP(70,table_CIA_JCTS,7,FALSE)+VLOOKUP(76.1,table_CIA_INLETS,5,FALSE)</f>
        <v>4.2203999999999997</v>
      </c>
      <c r="I190" s="490" t="s">
        <v>10</v>
      </c>
      <c r="J190" s="490">
        <f>VLOOKUP(70,table_CIA_JCTS,9,FALSE)+VLOOKUP(76.1,table_CIA_INLETS,7,FALSE)</f>
        <v>4.2203999999999997</v>
      </c>
      <c r="K190" s="492" t="s">
        <v>10</v>
      </c>
      <c r="L190" s="493" t="s">
        <v>10</v>
      </c>
      <c r="M190" s="491" t="s">
        <v>10</v>
      </c>
      <c r="N190" s="493" t="s">
        <v>10</v>
      </c>
      <c r="O190" s="493" t="s">
        <v>10</v>
      </c>
      <c r="P190" s="493">
        <f>VLOOKUP(70,table_CIA_JCTS,23,FALSE)</f>
        <v>27.225439082941513</v>
      </c>
      <c r="Q190" s="491">
        <f>cell_P*(P190^cell_E)</f>
        <v>0.69987833146246636</v>
      </c>
      <c r="R190" s="490">
        <f>J190*Q190</f>
        <v>2.953766510104193</v>
      </c>
      <c r="S190" s="493">
        <v>18</v>
      </c>
      <c r="T190" s="491">
        <f>(4*R190)/(3.14159*(S190/12)^2)</f>
        <v>1.6714913347723459</v>
      </c>
      <c r="U190" s="492">
        <f>((R190/((0.463135/cell_NP)*((S190/12)^(8/3))))^2)*cell_FF</f>
        <v>9.0942791797358439E-4</v>
      </c>
      <c r="V190" s="493">
        <v>309</v>
      </c>
      <c r="W190" s="493">
        <f>V190/(T190*60)</f>
        <v>3.081080884395623</v>
      </c>
      <c r="X190" s="493">
        <f>W190+P190</f>
        <v>30.306519967337135</v>
      </c>
      <c r="Y190" s="491">
        <f>U190*V190</f>
        <v>0.2810132266538376</v>
      </c>
      <c r="Z190" s="491">
        <f>IF(VLOOKUP(70.2,table_CIA_JCTS,25,FALSE)+VLOOKUP(70.01,table_CIA_JCTS,24,FALSE)&lt;VLOOKUP(70.01,table_CIA_JCTS,28,FALSE),VLOOKUP(70.01,table_CIA_JCTS,28,FALSE),VLOOKUP(70.2,table_CIA_JCTS,25,FALSE)+VLOOKUP(70.01,table_CIA_JCTS,24,FALSE))</f>
        <v>390.97</v>
      </c>
      <c r="AA190" s="491">
        <v>398.33</v>
      </c>
      <c r="AB190" s="491">
        <f>(AA190-0.5)-Z190</f>
        <v>6.8599999999999568</v>
      </c>
      <c r="AC190" s="495">
        <v>390.97</v>
      </c>
      <c r="AD190" t="s">
        <v>10</v>
      </c>
    </row>
    <row r="191" spans="1:30" x14ac:dyDescent="0.2">
      <c r="A191" s="676"/>
      <c r="B191" s="258" t="s">
        <v>10</v>
      </c>
      <c r="C191" s="259" t="s">
        <v>10</v>
      </c>
      <c r="D191" s="490" t="s">
        <v>10</v>
      </c>
      <c r="E191" s="490" t="s">
        <v>10</v>
      </c>
      <c r="F191" s="491" t="s">
        <v>10</v>
      </c>
      <c r="G191" s="490" t="s">
        <v>10</v>
      </c>
      <c r="H191" s="490" t="s">
        <v>10</v>
      </c>
      <c r="I191" s="490" t="s">
        <v>10</v>
      </c>
      <c r="J191" s="490" t="s">
        <v>10</v>
      </c>
      <c r="K191" s="492" t="s">
        <v>10</v>
      </c>
      <c r="L191" s="493" t="s">
        <v>10</v>
      </c>
      <c r="M191" s="491" t="s">
        <v>10</v>
      </c>
      <c r="N191" s="493" t="s">
        <v>10</v>
      </c>
      <c r="O191" s="493" t="s">
        <v>10</v>
      </c>
      <c r="P191" s="493" t="s">
        <v>10</v>
      </c>
      <c r="Q191" s="491" t="s">
        <v>10</v>
      </c>
      <c r="R191" s="490" t="s">
        <v>10</v>
      </c>
      <c r="S191" s="493" t="s">
        <v>10</v>
      </c>
      <c r="T191" s="491" t="s">
        <v>10</v>
      </c>
      <c r="U191" s="492" t="s">
        <v>10</v>
      </c>
      <c r="V191" s="493" t="s">
        <v>10</v>
      </c>
      <c r="W191" s="493" t="s">
        <v>10</v>
      </c>
      <c r="X191" s="493" t="s">
        <v>10</v>
      </c>
      <c r="Y191" s="491" t="s">
        <v>10</v>
      </c>
      <c r="Z191" s="491" t="s">
        <v>10</v>
      </c>
      <c r="AA191" s="491" t="s">
        <v>10</v>
      </c>
      <c r="AB191" s="491" t="s">
        <v>10</v>
      </c>
      <c r="AC191" s="494" t="s">
        <v>10</v>
      </c>
      <c r="AD191" t="s">
        <v>10</v>
      </c>
    </row>
    <row r="192" spans="1:30" x14ac:dyDescent="0.2">
      <c r="A192" s="676"/>
      <c r="B192" s="258" t="s">
        <v>10</v>
      </c>
      <c r="C192" s="489">
        <v>76.3</v>
      </c>
      <c r="D192" s="490">
        <f>VLOOKUP(C192,table_DI,2)</f>
        <v>1.74</v>
      </c>
      <c r="E192" s="490" t="s">
        <v>10</v>
      </c>
      <c r="F192" s="491">
        <f>VLOOKUP(C192,table_DI,5)</f>
        <v>0.52</v>
      </c>
      <c r="G192" s="490">
        <f>VLOOKUP(C192,table_DI,3)</f>
        <v>0.90480000000000005</v>
      </c>
      <c r="H192" s="490" t="s">
        <v>10</v>
      </c>
      <c r="I192" s="490">
        <f>VLOOKUP(C192,table_DI,4)</f>
        <v>0.90480000000000005</v>
      </c>
      <c r="J192" s="490" t="s">
        <v>10</v>
      </c>
      <c r="K192" s="492">
        <f>VLOOKUP(C192,table_DI,9)</f>
        <v>6.2337662337662242E-3</v>
      </c>
      <c r="L192" s="493">
        <f>VLOOKUP(C192,table_DI,8)</f>
        <v>231</v>
      </c>
      <c r="M192" s="491">
        <f>(0.84*(K192^0.5)*(cell_GUTDEP^0.6666)/cell_NRD)</f>
        <v>2.324837147961643</v>
      </c>
      <c r="N192" s="493">
        <f>VLOOKUP(C192,table_DI,10)</f>
        <v>20</v>
      </c>
      <c r="O192" s="493">
        <f>(L192/(M192*60))</f>
        <v>1.656029973271711</v>
      </c>
      <c r="P192" s="493">
        <f>N192+O192</f>
        <v>21.656029973271711</v>
      </c>
      <c r="Q192" s="491">
        <f t="shared" ref="Q192:Q198" si="13">cell_P*(P192^cell_E)</f>
        <v>0.80772654095562768</v>
      </c>
      <c r="R192" s="490">
        <f>Q192*I192</f>
        <v>0.730830974256652</v>
      </c>
      <c r="S192" s="493" t="s">
        <v>10</v>
      </c>
      <c r="T192" s="491" t="s">
        <v>10</v>
      </c>
      <c r="U192" s="492" t="s">
        <v>10</v>
      </c>
      <c r="V192" s="493" t="s">
        <v>10</v>
      </c>
      <c r="W192" s="493" t="s">
        <v>10</v>
      </c>
      <c r="X192" s="493" t="s">
        <v>10</v>
      </c>
      <c r="Y192" s="491" t="s">
        <v>10</v>
      </c>
      <c r="Z192" s="491" t="s">
        <v>10</v>
      </c>
      <c r="AA192" s="491" t="s">
        <v>10</v>
      </c>
      <c r="AB192" s="491" t="s">
        <v>10</v>
      </c>
      <c r="AC192" s="494" t="s">
        <v>10</v>
      </c>
      <c r="AD192" t="s">
        <v>10</v>
      </c>
    </row>
    <row r="193" spans="1:30" ht="15.75" x14ac:dyDescent="0.25">
      <c r="A193" s="676"/>
      <c r="B193" s="258">
        <v>70.099999999999994</v>
      </c>
      <c r="C193" s="259" t="s">
        <v>10</v>
      </c>
      <c r="D193" s="490" t="s">
        <v>10</v>
      </c>
      <c r="E193" s="490">
        <f>VLOOKUP(76.3,table_CIA_INLETS,2,FALSE)</f>
        <v>1.74</v>
      </c>
      <c r="F193" s="491" t="s">
        <v>10</v>
      </c>
      <c r="G193" s="490" t="s">
        <v>10</v>
      </c>
      <c r="H193" s="490">
        <f>VLOOKUP(76.3,table_CIA_INLETS,5,FALSE)</f>
        <v>0.90480000000000005</v>
      </c>
      <c r="I193" s="490" t="s">
        <v>10</v>
      </c>
      <c r="J193" s="490">
        <f>VLOOKUP(76.3,table_CIA_INLETS,7,FALSE)</f>
        <v>0.90480000000000005</v>
      </c>
      <c r="K193" s="492" t="s">
        <v>10</v>
      </c>
      <c r="L193" s="493" t="s">
        <v>10</v>
      </c>
      <c r="M193" s="491" t="s">
        <v>10</v>
      </c>
      <c r="N193" s="493" t="s">
        <v>10</v>
      </c>
      <c r="O193" s="493" t="s">
        <v>10</v>
      </c>
      <c r="P193" s="493">
        <f>VLOOKUP(76.3,table_CIA_INLETS,14,FALSE)</f>
        <v>21.656029973271711</v>
      </c>
      <c r="Q193" s="491">
        <f t="shared" si="13"/>
        <v>0.80772654095562768</v>
      </c>
      <c r="R193" s="490">
        <f>J193*Q193</f>
        <v>0.730830974256652</v>
      </c>
      <c r="S193" s="493">
        <v>18</v>
      </c>
      <c r="T193" s="491">
        <f>(4*R193)/(3.14159*(S193/12)^2)</f>
        <v>0.41356608129805578</v>
      </c>
      <c r="U193" s="492">
        <f>((R193/((0.463135/cell_NP)*((S193/12)^(8/3))))^2)*cell_FF</f>
        <v>5.5673669736934701E-5</v>
      </c>
      <c r="V193" s="493">
        <v>194</v>
      </c>
      <c r="W193" s="493">
        <f>V193/(T193*60)</f>
        <v>7.8181782296674376</v>
      </c>
      <c r="X193" s="493">
        <f>W193+P193</f>
        <v>29.474208202939149</v>
      </c>
      <c r="Y193" s="491">
        <f>U193*V193</f>
        <v>1.0800691928965331E-2</v>
      </c>
      <c r="Z193" s="491">
        <f>IF(VLOOKUP(70.2,table_CIA_JCTS,25,FALSE)+VLOOKUP(70.1,table_CIA_JCTS,24,FALSE)&lt;VLOOKUP(70.1,table_CIA_JCTS,28,FALSE),VLOOKUP(70.1,table_CIA_JCTS,28,FALSE),VLOOKUP(70.2,table_CIA_JCTS,25,FALSE)+VLOOKUP(70.1,table_CIA_JCTS,24,FALSE))</f>
        <v>392.91</v>
      </c>
      <c r="AA193" s="491">
        <v>397.57</v>
      </c>
      <c r="AB193" s="491">
        <f>(AA193-0.5)-Z193</f>
        <v>4.1599999999999682</v>
      </c>
      <c r="AC193" s="495">
        <v>392.91</v>
      </c>
      <c r="AD193" t="s">
        <v>10</v>
      </c>
    </row>
    <row r="194" spans="1:30" ht="15.75" x14ac:dyDescent="0.25">
      <c r="A194" s="676"/>
      <c r="B194" s="258">
        <v>70.2</v>
      </c>
      <c r="C194" s="259" t="s">
        <v>10</v>
      </c>
      <c r="D194" s="490" t="s">
        <v>10</v>
      </c>
      <c r="E194" s="490">
        <f>VLOOKUP(70,table_CIA_JCTS,4,FALSE)+VLOOKUP(70.1,table_CIA_JCTS,4,FALSE)</f>
        <v>7.5100000000000007</v>
      </c>
      <c r="F194" s="491" t="s">
        <v>10</v>
      </c>
      <c r="G194" s="490" t="s">
        <v>10</v>
      </c>
      <c r="H194" s="490">
        <f>VLOOKUP(70,table_CIA_JCTS,7,FALSE)+VLOOKUP(70.1,table_CIA_JCTS,7,FALSE)</f>
        <v>3.9812000000000003</v>
      </c>
      <c r="I194" s="490" t="s">
        <v>10</v>
      </c>
      <c r="J194" s="490">
        <f>VLOOKUP(70,table_CIA_JCTS,9,FALSE)+VLOOKUP(70.1,table_CIA_JCTS,9,FALSE)</f>
        <v>3.9812000000000003</v>
      </c>
      <c r="K194" s="492" t="s">
        <v>10</v>
      </c>
      <c r="L194" s="493" t="s">
        <v>10</v>
      </c>
      <c r="M194" s="491" t="s">
        <v>10</v>
      </c>
      <c r="N194" s="493" t="s">
        <v>10</v>
      </c>
      <c r="O194" s="493" t="s">
        <v>10</v>
      </c>
      <c r="P194" s="493">
        <f>VLOOKUP(70,table_CIA_JCTS,23,FALSE)</f>
        <v>27.225439082941513</v>
      </c>
      <c r="Q194" s="491">
        <f t="shared" si="13"/>
        <v>0.69987833146246636</v>
      </c>
      <c r="R194" s="490">
        <f>J194*Q194</f>
        <v>2.7863556132183711</v>
      </c>
      <c r="S194" s="493">
        <v>18</v>
      </c>
      <c r="T194" s="491">
        <f>(4*R194)/(3.14159*(S194/12)^2)</f>
        <v>1.5767560662486171</v>
      </c>
      <c r="U194" s="492">
        <f>((R194/((0.463135/cell_NP)*((S194/12)^(8/3))))^2)*cell_FF</f>
        <v>8.0926180676399494E-4</v>
      </c>
      <c r="V194" s="493">
        <v>418</v>
      </c>
      <c r="W194" s="493">
        <f>V194/(T194*60)</f>
        <v>4.4183541232485029</v>
      </c>
      <c r="X194" s="493">
        <f>W194+P194</f>
        <v>31.643793206190015</v>
      </c>
      <c r="Y194" s="491">
        <f>U194*V194</f>
        <v>0.33827143522734987</v>
      </c>
      <c r="Z194" s="491">
        <f>IF(VLOOKUP(70.3,table_CIA_JCTS,25,FALSE)+VLOOKUP(70.2,table_CIA_JCTS,24,FALSE)&lt;VLOOKUP(70.2,table_CIA_JCTS,28,FALSE),VLOOKUP(70.2,table_CIA_JCTS,28,FALSE),VLOOKUP(70.3,table_CIA_JCTS,25,FALSE)+VLOOKUP(70.2,table_CIA_JCTS,24,FALSE))</f>
        <v>390.47</v>
      </c>
      <c r="AA194" s="491">
        <v>399.07</v>
      </c>
      <c r="AB194" s="491">
        <f>(AA194-0.5)-Z194</f>
        <v>8.0999999999999659</v>
      </c>
      <c r="AC194" s="495">
        <v>390.47</v>
      </c>
      <c r="AD194" t="s">
        <v>10</v>
      </c>
    </row>
    <row r="195" spans="1:30" x14ac:dyDescent="0.2">
      <c r="A195" s="676"/>
      <c r="B195" s="258" t="s">
        <v>10</v>
      </c>
      <c r="C195" s="489">
        <v>76.41</v>
      </c>
      <c r="D195" s="490">
        <f>VLOOKUP(C195,table_DI,2)</f>
        <v>2.2999999999999998</v>
      </c>
      <c r="E195" s="490" t="s">
        <v>10</v>
      </c>
      <c r="F195" s="491">
        <f>VLOOKUP(C195,table_DI,5)</f>
        <v>0.38400000000000001</v>
      </c>
      <c r="G195" s="490">
        <f>VLOOKUP(C195,table_DI,3)</f>
        <v>0.73599999999999999</v>
      </c>
      <c r="H195" s="490" t="s">
        <v>10</v>
      </c>
      <c r="I195" s="490">
        <f>VLOOKUP(C195,table_DI,4)</f>
        <v>0.88319999999999999</v>
      </c>
      <c r="J195" s="490" t="s">
        <v>10</v>
      </c>
      <c r="K195" s="492">
        <f>VLOOKUP(C195,table_DI,9)</f>
        <v>2.3793103448275783E-3</v>
      </c>
      <c r="L195" s="493">
        <f>VLOOKUP(C195,table_DI,8)</f>
        <v>290</v>
      </c>
      <c r="M195" s="491">
        <f>(0.84*(K195^0.5)*(cell_GUTDEP^0.6666)/cell_NRD)</f>
        <v>1.4362922820975765</v>
      </c>
      <c r="N195" s="493">
        <f>VLOOKUP(C195,table_DI,10)</f>
        <v>25</v>
      </c>
      <c r="O195" s="493">
        <f>(L195/(M195*60))</f>
        <v>3.365146073384647</v>
      </c>
      <c r="P195" s="493">
        <f>N195+O195</f>
        <v>28.365146073384647</v>
      </c>
      <c r="Q195" s="491">
        <f t="shared" si="13"/>
        <v>0.68213422994400597</v>
      </c>
      <c r="R195" s="490">
        <f>Q195*I195</f>
        <v>0.60246095188654603</v>
      </c>
      <c r="S195" s="493" t="s">
        <v>10</v>
      </c>
      <c r="T195" s="491" t="s">
        <v>10</v>
      </c>
      <c r="U195" s="492" t="s">
        <v>10</v>
      </c>
      <c r="V195" s="493" t="s">
        <v>10</v>
      </c>
      <c r="W195" s="493" t="s">
        <v>10</v>
      </c>
      <c r="X195" s="493" t="s">
        <v>10</v>
      </c>
      <c r="Y195" s="491" t="s">
        <v>10</v>
      </c>
      <c r="Z195" s="491" t="s">
        <v>10</v>
      </c>
      <c r="AA195" s="491" t="s">
        <v>10</v>
      </c>
      <c r="AB195" s="491" t="s">
        <v>10</v>
      </c>
      <c r="AC195" s="494" t="s">
        <v>10</v>
      </c>
      <c r="AD195" t="s">
        <v>10</v>
      </c>
    </row>
    <row r="196" spans="1:30" x14ac:dyDescent="0.2">
      <c r="A196" s="676"/>
      <c r="B196" s="258" t="s">
        <v>10</v>
      </c>
      <c r="C196" s="489">
        <v>76.42</v>
      </c>
      <c r="D196" s="490">
        <f>VLOOKUP(C196,table_DI,2)</f>
        <v>8.27</v>
      </c>
      <c r="E196" s="490" t="s">
        <v>10</v>
      </c>
      <c r="F196" s="491">
        <f>VLOOKUP(C196,table_DI,5)</f>
        <v>0.38400241837968563</v>
      </c>
      <c r="G196" s="490">
        <f>VLOOKUP(C196,table_DI,3)</f>
        <v>2.6463999999999999</v>
      </c>
      <c r="H196" s="490" t="s">
        <v>10</v>
      </c>
      <c r="I196" s="490">
        <f>VLOOKUP(C196,table_DI,4)</f>
        <v>3.1757</v>
      </c>
      <c r="J196" s="490" t="s">
        <v>10</v>
      </c>
      <c r="K196" s="492">
        <f>VLOOKUP(C196,table_DI,9)</f>
        <v>3.9030023094688169E-3</v>
      </c>
      <c r="L196" s="493">
        <f>VLOOKUP(C196,table_DI,8)</f>
        <v>433</v>
      </c>
      <c r="M196" s="491">
        <f>(0.84*(K196^0.5)*(cell_GUTDEP^0.6666)/cell_NRD)</f>
        <v>1.8395715507107373</v>
      </c>
      <c r="N196" s="493">
        <f>VLOOKUP(C196,table_DI,10)</f>
        <v>25</v>
      </c>
      <c r="O196" s="493">
        <f>(L196/(M196*60))</f>
        <v>3.923014934579975</v>
      </c>
      <c r="P196" s="493">
        <f>N196+O196</f>
        <v>28.923014934579975</v>
      </c>
      <c r="Q196" s="491">
        <f t="shared" si="13"/>
        <v>0.67386532130323784</v>
      </c>
      <c r="R196" s="490">
        <f>Q196*I196</f>
        <v>2.1399941008626926</v>
      </c>
      <c r="S196" s="493" t="s">
        <v>10</v>
      </c>
      <c r="T196" s="491" t="s">
        <v>10</v>
      </c>
      <c r="U196" s="492" t="s">
        <v>10</v>
      </c>
      <c r="V196" s="493" t="s">
        <v>10</v>
      </c>
      <c r="W196" s="493" t="s">
        <v>10</v>
      </c>
      <c r="X196" s="493" t="s">
        <v>10</v>
      </c>
      <c r="Y196" s="491" t="s">
        <v>10</v>
      </c>
      <c r="Z196" s="491" t="s">
        <v>10</v>
      </c>
      <c r="AA196" s="491" t="s">
        <v>10</v>
      </c>
      <c r="AB196" s="491" t="s">
        <v>10</v>
      </c>
      <c r="AC196" s="494" t="s">
        <v>10</v>
      </c>
      <c r="AD196" t="s">
        <v>10</v>
      </c>
    </row>
    <row r="197" spans="1:30" ht="15.75" x14ac:dyDescent="0.25">
      <c r="A197" s="676"/>
      <c r="B197" s="258">
        <v>70.3</v>
      </c>
      <c r="C197" s="259" t="s">
        <v>10</v>
      </c>
      <c r="D197" s="490" t="s">
        <v>10</v>
      </c>
      <c r="E197" s="490">
        <f>VLOOKUP(70.2,table_CIA_JCTS,4,FALSE)+VLOOKUP(76.41,table_CIA_INLETS,2,FALSE)+VLOOKUP(76.42,table_CIA_INLETS,2,FALSE)</f>
        <v>18.079999999999998</v>
      </c>
      <c r="F197" s="491" t="s">
        <v>10</v>
      </c>
      <c r="G197" s="490" t="s">
        <v>10</v>
      </c>
      <c r="H197" s="490">
        <f>VLOOKUP(70.2,table_CIA_JCTS,7,FALSE)+VLOOKUP(76.41,table_CIA_INLETS,5,FALSE)+VLOOKUP(76.42,table_CIA_INLETS,5,FALSE)</f>
        <v>7.3635999999999999</v>
      </c>
      <c r="I197" s="490" t="s">
        <v>10</v>
      </c>
      <c r="J197" s="490">
        <f>VLOOKUP(70.2,table_CIA_JCTS,9,FALSE)+VLOOKUP(76.41,table_CIA_INLETS,7,FALSE)+VLOOKUP(76.42,table_CIA_INLETS,7,FALSE)</f>
        <v>8.0400999999999989</v>
      </c>
      <c r="K197" s="492" t="s">
        <v>10</v>
      </c>
      <c r="L197" s="493" t="s">
        <v>10</v>
      </c>
      <c r="M197" s="491" t="s">
        <v>10</v>
      </c>
      <c r="N197" s="493" t="s">
        <v>10</v>
      </c>
      <c r="O197" s="493" t="s">
        <v>10</v>
      </c>
      <c r="P197" s="493">
        <f>VLOOKUP(70.2,table_CIA_JCTS,23,FALSE)</f>
        <v>31.643793206190015</v>
      </c>
      <c r="Q197" s="491">
        <f t="shared" si="13"/>
        <v>0.6369761084598885</v>
      </c>
      <c r="R197" s="490">
        <f>J197*Q197</f>
        <v>5.1213516096283485</v>
      </c>
      <c r="S197" s="493">
        <v>18</v>
      </c>
      <c r="T197" s="491">
        <f>(4*R197)/(3.14159*(S197/12)^2)</f>
        <v>2.8980946220810897</v>
      </c>
      <c r="U197" s="492">
        <f>((R197/((0.463135/cell_NP)*((S197/12)^(8/3))))^2)*cell_FF</f>
        <v>2.733915864684828E-3</v>
      </c>
      <c r="V197" s="493">
        <v>125</v>
      </c>
      <c r="W197" s="493">
        <f>V197/(T197*60)</f>
        <v>0.7188631169803954</v>
      </c>
      <c r="X197" s="493">
        <f>W197+P197</f>
        <v>32.362656323170413</v>
      </c>
      <c r="Y197" s="491">
        <f>U197*V197</f>
        <v>0.34173948308560348</v>
      </c>
      <c r="Z197" s="491">
        <f>IF(VLOOKUP(70.4,table_CIA_JCTS,25,FALSE)+VLOOKUP(70.3,table_CIA_JCTS,24,FALSE)&lt;VLOOKUP(70.3,table_CIA_JCTS,28,FALSE),VLOOKUP(70.3,table_CIA_JCTS,28,FALSE),VLOOKUP(70.4,table_CIA_JCTS,25,FALSE)+VLOOKUP(70.3,table_CIA_JCTS,24,FALSE))</f>
        <v>389.58891212113156</v>
      </c>
      <c r="AA197" s="491">
        <v>397.5</v>
      </c>
      <c r="AB197" s="491">
        <f>(AA197-0.5)-Z197</f>
        <v>7.4110878788684431</v>
      </c>
      <c r="AC197" s="495">
        <v>389.25</v>
      </c>
      <c r="AD197" t="s">
        <v>10</v>
      </c>
    </row>
    <row r="198" spans="1:30" x14ac:dyDescent="0.2">
      <c r="A198" s="676"/>
      <c r="B198" s="258" t="s">
        <v>10</v>
      </c>
      <c r="C198" s="489">
        <v>76.430000000000007</v>
      </c>
      <c r="D198" s="490">
        <f>VLOOKUP(C198,table_DI,2)</f>
        <v>0.59</v>
      </c>
      <c r="E198" s="490" t="s">
        <v>10</v>
      </c>
      <c r="F198" s="491">
        <f>VLOOKUP(C198,table_DI,5)</f>
        <v>0.89830508474576276</v>
      </c>
      <c r="G198" s="490">
        <f>VLOOKUP(C198,table_DI,3)</f>
        <v>0.53</v>
      </c>
      <c r="H198" s="490" t="s">
        <v>10</v>
      </c>
      <c r="I198" s="490">
        <f>VLOOKUP(C198,table_DI,4)</f>
        <v>0.53</v>
      </c>
      <c r="J198" s="490" t="s">
        <v>10</v>
      </c>
      <c r="K198" s="492">
        <f>VLOOKUP(C198,table_DI,9)</f>
        <v>4.2424242424242593E-3</v>
      </c>
      <c r="L198" s="493">
        <f>VLOOKUP(C198,table_DI,8)</f>
        <v>528</v>
      </c>
      <c r="M198" s="491">
        <f>(0.84*(K198^0.5)*(cell_GUTDEP^0.6666)/cell_NRD)</f>
        <v>1.9178927978910878</v>
      </c>
      <c r="N198" s="493">
        <f>VLOOKUP(C198,table_DI,10)</f>
        <v>5</v>
      </c>
      <c r="O198" s="493">
        <f>(L198/(M198*60))</f>
        <v>4.5883690734312514</v>
      </c>
      <c r="P198" s="493">
        <f>N198+O198</f>
        <v>9.5883690734312523</v>
      </c>
      <c r="Q198" s="491">
        <f t="shared" si="13"/>
        <v>1.3453499527716029</v>
      </c>
      <c r="R198" s="490">
        <f>Q198*I198</f>
        <v>0.71303547496894959</v>
      </c>
      <c r="S198" s="493" t="s">
        <v>10</v>
      </c>
      <c r="T198" s="491" t="s">
        <v>10</v>
      </c>
      <c r="U198" s="492" t="s">
        <v>10</v>
      </c>
      <c r="V198" s="493" t="s">
        <v>10</v>
      </c>
      <c r="W198" s="493" t="s">
        <v>10</v>
      </c>
      <c r="X198" s="493" t="s">
        <v>10</v>
      </c>
      <c r="Y198" s="491" t="s">
        <v>10</v>
      </c>
      <c r="Z198" s="491" t="s">
        <v>10</v>
      </c>
      <c r="AA198" s="491" t="s">
        <v>10</v>
      </c>
      <c r="AB198" s="491" t="s">
        <v>10</v>
      </c>
      <c r="AC198" s="494" t="s">
        <v>10</v>
      </c>
      <c r="AD198" t="s">
        <v>10</v>
      </c>
    </row>
    <row r="199" spans="1:30" ht="15.75" x14ac:dyDescent="0.25">
      <c r="A199" s="677"/>
      <c r="B199" s="258">
        <v>70.400000000000006</v>
      </c>
      <c r="C199" s="259" t="s">
        <v>10</v>
      </c>
      <c r="D199" s="490" t="s">
        <v>10</v>
      </c>
      <c r="E199" s="490">
        <f>VLOOKUP(70.3,table_CIA_JCTS,4,FALSE)+VLOOKUP(76.43,table_CIA_INLETS,2,FALSE)</f>
        <v>18.669999999999998</v>
      </c>
      <c r="F199" s="491" t="s">
        <v>10</v>
      </c>
      <c r="G199" s="490" t="s">
        <v>10</v>
      </c>
      <c r="H199" s="490">
        <f>VLOOKUP(70.3,table_CIA_JCTS,7,FALSE)+VLOOKUP(76.43,table_CIA_INLETS,5,FALSE)</f>
        <v>7.8936000000000002</v>
      </c>
      <c r="I199" s="490" t="s">
        <v>10</v>
      </c>
      <c r="J199" s="490">
        <f>VLOOKUP(70.3,table_CIA_JCTS,9,FALSE)+VLOOKUP(76.43,table_CIA_INLETS,7,FALSE)</f>
        <v>8.5700999999999983</v>
      </c>
      <c r="K199" s="492" t="s">
        <v>10</v>
      </c>
      <c r="L199" s="493" t="s">
        <v>10</v>
      </c>
      <c r="M199" s="491" t="s">
        <v>10</v>
      </c>
      <c r="N199" s="493" t="s">
        <v>10</v>
      </c>
      <c r="O199" s="493" t="s">
        <v>10</v>
      </c>
      <c r="P199" s="493">
        <f>VLOOKUP(70.3,table_CIA_JCTS,23,FALSE)</f>
        <v>32.362656323170413</v>
      </c>
      <c r="Q199" s="491">
        <f t="shared" ref="Q199:Q226" si="14">cell_P*(P199^cell_E)</f>
        <v>0.6280788537735682</v>
      </c>
      <c r="R199" s="490">
        <f>J199*Q199</f>
        <v>5.3826985847248556</v>
      </c>
      <c r="S199" s="493">
        <v>30</v>
      </c>
      <c r="T199" s="491">
        <f>(4*R199)/(3.14159*(S199/12)^2)</f>
        <v>1.0965552774944878</v>
      </c>
      <c r="U199" s="492">
        <f>((R199/((0.463135/cell_NP)*((S199/12)^(8/3))))^2)*cell_FF</f>
        <v>1.9807184602606089E-4</v>
      </c>
      <c r="V199" s="493">
        <v>844</v>
      </c>
      <c r="W199" s="493">
        <f>V199/(T199*60)</f>
        <v>12.828050674114218</v>
      </c>
      <c r="X199" s="493">
        <f>W199+P199</f>
        <v>45.190706997284629</v>
      </c>
      <c r="Y199" s="491">
        <f>U199*V199</f>
        <v>0.16717263804599539</v>
      </c>
      <c r="Z199" s="491">
        <f>IF(VLOOKUP(71,table_CIA_JCTS,25,FALSE)+VLOOKUP(70.4,table_CIA_JCTS,24,FALSE)&lt;VLOOKUP(70.4,table_CIA_JCTS,28,FALSE),VLOOKUP(70.4,table_CIA_JCTS,28,FALSE),VLOOKUP(71,table_CIA_JCTS,25,FALSE)+VLOOKUP(70.4,table_CIA_JCTS,24,FALSE))</f>
        <v>389.24717263804598</v>
      </c>
      <c r="AA199" s="491">
        <v>397.81</v>
      </c>
      <c r="AB199" s="491">
        <f>(AA199-0.5)-Z199</f>
        <v>8.0628273619540209</v>
      </c>
      <c r="AC199" s="495">
        <v>388.25</v>
      </c>
      <c r="AD199" t="s">
        <v>10</v>
      </c>
    </row>
    <row r="200" spans="1:30" ht="15.75" x14ac:dyDescent="0.25">
      <c r="B200" s="216">
        <v>71</v>
      </c>
      <c r="C200" s="217" t="s">
        <v>10</v>
      </c>
      <c r="D200" s="54" t="s">
        <v>10</v>
      </c>
      <c r="E200" s="54">
        <f>VLOOKUP(69,table_CIA_JCTS,4,FALSE)+VLOOKUP(70.4,table_CIA_JCTS,4,FALSE)</f>
        <v>470.67000000000013</v>
      </c>
      <c r="F200" s="55" t="s">
        <v>10</v>
      </c>
      <c r="G200" s="54" t="s">
        <v>10</v>
      </c>
      <c r="H200" s="54">
        <f>VLOOKUP(69,table_CIA_JCTS,7,FALSE)+VLOOKUP(70.4,table_CIA_JCTS,7,FALSE)</f>
        <v>221.01349999999994</v>
      </c>
      <c r="I200" s="54" t="s">
        <v>10</v>
      </c>
      <c r="J200" s="54">
        <f>VLOOKUP(69,table_CIA_JCTS,9,FALSE)+VLOOKUP(70.4,table_CIA_JCTS,9,FALSE)</f>
        <v>240.05127999999999</v>
      </c>
      <c r="K200" s="56" t="s">
        <v>10</v>
      </c>
      <c r="L200" s="53" t="s">
        <v>10</v>
      </c>
      <c r="M200" s="55" t="s">
        <v>10</v>
      </c>
      <c r="N200" s="53" t="s">
        <v>10</v>
      </c>
      <c r="O200" s="53" t="s">
        <v>10</v>
      </c>
      <c r="P200" s="53">
        <f>VLOOKUP(69,table_CIA_JCTS,23,FALSE)</f>
        <v>88.77671871362385</v>
      </c>
      <c r="Q200" s="55">
        <f t="shared" si="14"/>
        <v>0.33387118305169783</v>
      </c>
      <c r="R200" s="54">
        <f>J200*Q200</f>
        <v>80.146204846674365</v>
      </c>
      <c r="S200" s="53">
        <v>54</v>
      </c>
      <c r="T200" s="55">
        <f>(4*R200)/(3.14159*(S200/12)^2)</f>
        <v>5.039279188409667</v>
      </c>
      <c r="U200" s="56">
        <f>((R200/((0.463135/cell_NP)*((S200/12)^(8/3))))^2)*cell_FF</f>
        <v>1.9104478637708077E-3</v>
      </c>
      <c r="V200" s="53">
        <v>960</v>
      </c>
      <c r="W200" s="53">
        <f>V200/(T200*60)</f>
        <v>3.1750572654914557</v>
      </c>
      <c r="X200" s="53">
        <f>W200+P200</f>
        <v>91.951775979115311</v>
      </c>
      <c r="Y200" s="55">
        <f>U200*V200</f>
        <v>1.8340299492199754</v>
      </c>
      <c r="Z200" s="55">
        <f>IF(VLOOKUP(71.1,table_CIA_JCTS,25,FALSE)+VLOOKUP(71,table_CIA_JCTS,24,FALSE)&lt;VLOOKUP(71,table_CIA_JCTS,28,FALSE),VLOOKUP(71,table_CIA_JCTS,28,FALSE),VLOOKUP(71.1,table_CIA_JCTS,25,FALSE)+VLOOKUP(71,table_CIA_JCTS,24,FALSE))</f>
        <v>389.08</v>
      </c>
      <c r="AA200" s="55">
        <v>397.2</v>
      </c>
      <c r="AB200" s="55">
        <f>(AA200-0.5)-Z200</f>
        <v>7.6200000000000045</v>
      </c>
      <c r="AC200" s="364">
        <v>389.08</v>
      </c>
      <c r="AD200" t="s">
        <v>10</v>
      </c>
    </row>
    <row r="201" spans="1:30" x14ac:dyDescent="0.2">
      <c r="B201" s="216" t="s">
        <v>10</v>
      </c>
      <c r="C201" s="215">
        <v>76.5</v>
      </c>
      <c r="D201" s="54">
        <f>VLOOKUP(C201,table_DI,2)</f>
        <v>19.64</v>
      </c>
      <c r="E201" s="54" t="s">
        <v>10</v>
      </c>
      <c r="F201" s="55">
        <f>VLOOKUP(C201,table_DI,5)</f>
        <v>0.3479989816700611</v>
      </c>
      <c r="G201" s="54">
        <f>VLOOKUP(C201,table_DI,3)</f>
        <v>5.6955999999999998</v>
      </c>
      <c r="H201" s="54" t="s">
        <v>10</v>
      </c>
      <c r="I201" s="54">
        <f>VLOOKUP(C201,table_DI,4)</f>
        <v>6.8346999999999998</v>
      </c>
      <c r="J201" s="54" t="s">
        <v>10</v>
      </c>
      <c r="K201" s="56">
        <f>VLOOKUP(C201,table_DI,9)</f>
        <v>1.4600550964187099E-3</v>
      </c>
      <c r="L201" s="53">
        <f>VLOOKUP(C201,table_DI,8)</f>
        <v>1089</v>
      </c>
      <c r="M201" s="55">
        <f>(0.84*(K201^0.5)*(cell_GUTDEP^0.6666)/cell_NRD)</f>
        <v>1.1251279222010366</v>
      </c>
      <c r="N201" s="53">
        <f>VLOOKUP(C201,table_DI,10)</f>
        <v>25</v>
      </c>
      <c r="O201" s="53">
        <f>(L201/(M201*60))</f>
        <v>16.131499042787937</v>
      </c>
      <c r="P201" s="53">
        <f>N201+O201</f>
        <v>41.131499042787937</v>
      </c>
      <c r="Q201" s="55">
        <f t="shared" si="14"/>
        <v>0.54051497427815332</v>
      </c>
      <c r="R201" s="54">
        <f>Q201*I201</f>
        <v>3.6942576946988943</v>
      </c>
      <c r="S201" s="53" t="s">
        <v>10</v>
      </c>
      <c r="T201" s="55" t="s">
        <v>10</v>
      </c>
      <c r="U201" s="56" t="s">
        <v>10</v>
      </c>
      <c r="V201" s="53" t="s">
        <v>10</v>
      </c>
      <c r="W201" s="53" t="s">
        <v>10</v>
      </c>
      <c r="X201" s="53" t="s">
        <v>10</v>
      </c>
      <c r="Y201" s="55" t="s">
        <v>10</v>
      </c>
      <c r="Z201" s="55" t="s">
        <v>10</v>
      </c>
      <c r="AA201" s="55" t="s">
        <v>10</v>
      </c>
      <c r="AB201" s="55" t="s">
        <v>10</v>
      </c>
      <c r="AC201" s="57" t="s">
        <v>10</v>
      </c>
      <c r="AD201" t="s">
        <v>10</v>
      </c>
    </row>
    <row r="202" spans="1:30" ht="15.75" x14ac:dyDescent="0.25">
      <c r="B202" s="216">
        <v>71.099999999999994</v>
      </c>
      <c r="C202" s="217" t="s">
        <v>10</v>
      </c>
      <c r="D202" s="54" t="s">
        <v>10</v>
      </c>
      <c r="E202" s="54">
        <f>VLOOKUP(71,table_CIA_JCTS,4,FALSE)+VLOOKUP(76.5,table_CIA_INLETS,2,FALSE)</f>
        <v>490.31000000000012</v>
      </c>
      <c r="F202" s="55" t="s">
        <v>10</v>
      </c>
      <c r="G202" s="54" t="s">
        <v>10</v>
      </c>
      <c r="H202" s="54">
        <f>VLOOKUP(71,table_CIA_JCTS,7,FALSE)+VLOOKUP(76.5,table_CIA_INLETS,5,FALSE)</f>
        <v>226.70909999999995</v>
      </c>
      <c r="I202" s="54" t="s">
        <v>10</v>
      </c>
      <c r="J202" s="54">
        <f>VLOOKUP(71,table_CIA_JCTS,9,FALSE)+VLOOKUP(76.5,table_CIA_INLETS,7,FALSE)</f>
        <v>246.88597999999999</v>
      </c>
      <c r="K202" s="56" t="s">
        <v>10</v>
      </c>
      <c r="L202" s="53" t="s">
        <v>10</v>
      </c>
      <c r="M202" s="55" t="s">
        <v>10</v>
      </c>
      <c r="N202" s="53" t="s">
        <v>10</v>
      </c>
      <c r="O202" s="53" t="s">
        <v>10</v>
      </c>
      <c r="P202" s="53">
        <f>VLOOKUP(71,table_CIA_JCTS,23,FALSE)</f>
        <v>91.951775979115311</v>
      </c>
      <c r="Q202" s="55">
        <f t="shared" si="14"/>
        <v>0.32660473547393837</v>
      </c>
      <c r="R202" s="54">
        <f>J202*Q202</f>
        <v>80.63413019012404</v>
      </c>
      <c r="S202" s="53">
        <v>54</v>
      </c>
      <c r="T202" s="55">
        <f>(4*R202)/(3.14159*(S202/12)^2)</f>
        <v>5.0699580213431465</v>
      </c>
      <c r="U202" s="56">
        <f>((R202/((0.463135/cell_NP)*((S202/12)^(8/3))))^2)*cell_FF</f>
        <v>1.9337800574006964E-3</v>
      </c>
      <c r="V202" s="53">
        <v>317</v>
      </c>
      <c r="W202" s="53">
        <f>V202/(T202*60)</f>
        <v>1.0420862088190739</v>
      </c>
      <c r="X202" s="53">
        <f>W202+P202</f>
        <v>92.993862187934383</v>
      </c>
      <c r="Y202" s="55">
        <f>U202*V202</f>
        <v>0.61300827819602077</v>
      </c>
      <c r="Z202" s="353">
        <f>IF(VLOOKUP(72,table_CIA_JCTS,25,FALSE)+VLOOKUP(71.1,table_CIA_JCTS,24,FALSE)&lt;VLOOKUP(71.1,table_CIA_JCTS,28,FALSE),VLOOKUP(71.1,table_CIA_JCTS,28,FALSE),VLOOKUP(72,table_CIA_JCTS,25,FALSE)+VLOOKUP(71.1,table_CIA_JCTS,24,FALSE))</f>
        <v>386.74909099934052</v>
      </c>
      <c r="AA202" s="55">
        <v>397.2</v>
      </c>
      <c r="AB202" s="55">
        <f>(AA202-0.5)-Z202</f>
        <v>9.9509090006594647</v>
      </c>
      <c r="AC202" s="364">
        <v>385.73</v>
      </c>
      <c r="AD202" t="s">
        <v>10</v>
      </c>
    </row>
    <row r="203" spans="1:30" x14ac:dyDescent="0.2">
      <c r="B203" s="216" t="s">
        <v>10</v>
      </c>
      <c r="C203" s="217" t="s">
        <v>10</v>
      </c>
      <c r="D203" s="54" t="s">
        <v>10</v>
      </c>
      <c r="E203" s="54" t="s">
        <v>10</v>
      </c>
      <c r="F203" s="55" t="s">
        <v>10</v>
      </c>
      <c r="G203" s="54" t="s">
        <v>10</v>
      </c>
      <c r="H203" s="54" t="s">
        <v>10</v>
      </c>
      <c r="I203" s="54" t="s">
        <v>10</v>
      </c>
      <c r="J203" s="54" t="s">
        <v>10</v>
      </c>
      <c r="K203" s="56" t="s">
        <v>10</v>
      </c>
      <c r="L203" s="53" t="s">
        <v>10</v>
      </c>
      <c r="M203" s="55" t="s">
        <v>10</v>
      </c>
      <c r="N203" s="53" t="s">
        <v>10</v>
      </c>
      <c r="O203" s="53" t="s">
        <v>10</v>
      </c>
      <c r="P203" s="53" t="s">
        <v>10</v>
      </c>
      <c r="Q203" s="55" t="s">
        <v>10</v>
      </c>
      <c r="R203" s="54" t="s">
        <v>10</v>
      </c>
      <c r="S203" s="53" t="s">
        <v>10</v>
      </c>
      <c r="T203" s="55" t="s">
        <v>10</v>
      </c>
      <c r="U203" s="56" t="s">
        <v>10</v>
      </c>
      <c r="V203" s="53" t="s">
        <v>10</v>
      </c>
      <c r="W203" s="53" t="s">
        <v>10</v>
      </c>
      <c r="X203" s="53" t="s">
        <v>10</v>
      </c>
      <c r="Y203" s="55" t="s">
        <v>10</v>
      </c>
      <c r="Z203" s="55" t="s">
        <v>10</v>
      </c>
      <c r="AA203" s="55" t="s">
        <v>10</v>
      </c>
      <c r="AB203" s="55" t="s">
        <v>10</v>
      </c>
      <c r="AC203" s="57" t="s">
        <v>10</v>
      </c>
      <c r="AD203" t="s">
        <v>10</v>
      </c>
    </row>
    <row r="204" spans="1:30" x14ac:dyDescent="0.2">
      <c r="A204" s="682" t="s">
        <v>555</v>
      </c>
      <c r="B204" s="278" t="s">
        <v>10</v>
      </c>
      <c r="C204" s="279">
        <v>77</v>
      </c>
      <c r="D204" s="280">
        <f>VLOOKUP(C204,table_DI,2)</f>
        <v>2.8</v>
      </c>
      <c r="E204" s="280" t="s">
        <v>10</v>
      </c>
      <c r="F204" s="281">
        <f>VLOOKUP(C204,table_DI,5)</f>
        <v>0.5</v>
      </c>
      <c r="G204" s="280">
        <f>VLOOKUP(C204,table_DI,3)</f>
        <v>1.4</v>
      </c>
      <c r="H204" s="280" t="s">
        <v>10</v>
      </c>
      <c r="I204" s="280">
        <f>VLOOKUP(C204,table_DI,4)</f>
        <v>1.4</v>
      </c>
      <c r="J204" s="280" t="s">
        <v>10</v>
      </c>
      <c r="K204" s="282">
        <f>VLOOKUP(C204,table_DI,9)</f>
        <v>8.8219895287958237E-3</v>
      </c>
      <c r="L204" s="283">
        <f>VLOOKUP(C204,table_DI,8)</f>
        <v>382</v>
      </c>
      <c r="M204" s="281">
        <f>(0.84*(K204^0.5)*(cell_GUTDEP^0.6666)/cell_NRD)</f>
        <v>2.7656712135105344</v>
      </c>
      <c r="N204" s="283">
        <f>VLOOKUP(C204,table_DI,10)</f>
        <v>20</v>
      </c>
      <c r="O204" s="283">
        <f>(L204/(M204*60))</f>
        <v>2.3020330961847417</v>
      </c>
      <c r="P204" s="283">
        <f>N204+O204</f>
        <v>22.302033096184743</v>
      </c>
      <c r="Q204" s="281">
        <f>cell_P*(P204^cell_E)</f>
        <v>0.79299514280753192</v>
      </c>
      <c r="R204" s="280">
        <f>Q204*I204</f>
        <v>1.1101931999305445</v>
      </c>
      <c r="S204" s="283" t="s">
        <v>10</v>
      </c>
      <c r="T204" s="281" t="s">
        <v>10</v>
      </c>
      <c r="U204" s="282" t="s">
        <v>10</v>
      </c>
      <c r="V204" s="283" t="s">
        <v>10</v>
      </c>
      <c r="W204" s="283" t="s">
        <v>10</v>
      </c>
      <c r="X204" s="283" t="s">
        <v>10</v>
      </c>
      <c r="Y204" s="281" t="s">
        <v>10</v>
      </c>
      <c r="Z204" s="281" t="s">
        <v>10</v>
      </c>
      <c r="AA204" s="281" t="s">
        <v>10</v>
      </c>
      <c r="AB204" s="281" t="s">
        <v>10</v>
      </c>
      <c r="AC204" s="284" t="s">
        <v>10</v>
      </c>
      <c r="AD204" t="s">
        <v>10</v>
      </c>
    </row>
    <row r="205" spans="1:30" x14ac:dyDescent="0.2">
      <c r="A205" s="683"/>
      <c r="B205" s="278" t="s">
        <v>10</v>
      </c>
      <c r="C205" s="279">
        <v>77.099999999999994</v>
      </c>
      <c r="D205" s="280">
        <f>VLOOKUP(C205,table_DI,2)</f>
        <v>2.2999999999999998</v>
      </c>
      <c r="E205" s="280" t="s">
        <v>10</v>
      </c>
      <c r="F205" s="281">
        <f>VLOOKUP(C205,table_DI,5)</f>
        <v>0.5</v>
      </c>
      <c r="G205" s="280">
        <f>VLOOKUP(C205,table_DI,3)</f>
        <v>1.1499999999999999</v>
      </c>
      <c r="H205" s="280" t="s">
        <v>10</v>
      </c>
      <c r="I205" s="280">
        <f>VLOOKUP(C205,table_DI,4)</f>
        <v>1.1499999999999999</v>
      </c>
      <c r="J205" s="280" t="s">
        <v>10</v>
      </c>
      <c r="K205" s="282">
        <f>VLOOKUP(C205,table_DI,9)</f>
        <v>6.7670682730923788E-3</v>
      </c>
      <c r="L205" s="283">
        <f>VLOOKUP(C205,table_DI,8)</f>
        <v>498</v>
      </c>
      <c r="M205" s="281">
        <f>(0.84*(K205^0.5)*(cell_GUTDEP^0.6666)/cell_NRD)</f>
        <v>2.4222421629498316</v>
      </c>
      <c r="N205" s="283">
        <f>VLOOKUP(C205,table_DI,10)</f>
        <v>20</v>
      </c>
      <c r="O205" s="283">
        <f>(L205/(M205*60))</f>
        <v>3.4265772955963136</v>
      </c>
      <c r="P205" s="283">
        <f>N205+O205</f>
        <v>23.426577295596314</v>
      </c>
      <c r="Q205" s="281">
        <f>cell_P*(P205^cell_E)</f>
        <v>0.76893946136992086</v>
      </c>
      <c r="R205" s="280">
        <f>Q205*I205</f>
        <v>0.88428038057540892</v>
      </c>
      <c r="S205" s="283" t="s">
        <v>10</v>
      </c>
      <c r="T205" s="281" t="s">
        <v>10</v>
      </c>
      <c r="U205" s="282" t="s">
        <v>10</v>
      </c>
      <c r="V205" s="283" t="s">
        <v>10</v>
      </c>
      <c r="W205" s="283" t="s">
        <v>10</v>
      </c>
      <c r="X205" s="283" t="s">
        <v>10</v>
      </c>
      <c r="Y205" s="281" t="s">
        <v>10</v>
      </c>
      <c r="Z205" s="281" t="s">
        <v>10</v>
      </c>
      <c r="AA205" s="281" t="s">
        <v>10</v>
      </c>
      <c r="AB205" s="281" t="s">
        <v>10</v>
      </c>
      <c r="AC205" s="284" t="s">
        <v>10</v>
      </c>
      <c r="AD205" t="s">
        <v>10</v>
      </c>
    </row>
    <row r="206" spans="1:30" ht="15.75" x14ac:dyDescent="0.25">
      <c r="A206" s="683"/>
      <c r="B206" s="278">
        <v>71.2</v>
      </c>
      <c r="C206" s="285" t="s">
        <v>10</v>
      </c>
      <c r="D206" s="280" t="s">
        <v>10</v>
      </c>
      <c r="E206" s="280">
        <f>VLOOKUP(77,table_CIA_INLETS,2,FALSE)+VLOOKUP(77.1,table_CIA_INLETS,2,FALSE)</f>
        <v>5.0999999999999996</v>
      </c>
      <c r="F206" s="281" t="s">
        <v>10</v>
      </c>
      <c r="G206" s="280" t="s">
        <v>10</v>
      </c>
      <c r="H206" s="280">
        <f>VLOOKUP(77,table_CIA_INLETS,5,FALSE)+VLOOKUP(77.1,table_CIA_INLETS,5,FALSE)</f>
        <v>2.5499999999999998</v>
      </c>
      <c r="I206" s="280" t="s">
        <v>10</v>
      </c>
      <c r="J206" s="280">
        <f>VLOOKUP(77,table_CIA_INLETS,7,FALSE)+VLOOKUP(77.1,table_CIA_INLETS,7,FALSE)</f>
        <v>2.5499999999999998</v>
      </c>
      <c r="K206" s="282" t="s">
        <v>10</v>
      </c>
      <c r="L206" s="283" t="s">
        <v>10</v>
      </c>
      <c r="M206" s="281" t="s">
        <v>10</v>
      </c>
      <c r="N206" s="283" t="s">
        <v>10</v>
      </c>
      <c r="O206" s="283" t="s">
        <v>10</v>
      </c>
      <c r="P206" s="283">
        <f>VLOOKUP(77.1,table_CIA_INLETS,14,FALSE)</f>
        <v>23.426577295596314</v>
      </c>
      <c r="Q206" s="281">
        <f>cell_P*(P206^cell_E)</f>
        <v>0.76893946136992086</v>
      </c>
      <c r="R206" s="280">
        <f>J206*Q206</f>
        <v>1.960795626493298</v>
      </c>
      <c r="S206" s="283">
        <v>18</v>
      </c>
      <c r="T206" s="281">
        <f>(4*R206)/(3.14159*(S206/12)^2)</f>
        <v>1.1095842842457613</v>
      </c>
      <c r="U206" s="282">
        <f>((R206/((0.463135/cell_NP)*((S206/12)^(8/3))))^2)*cell_FF</f>
        <v>4.0075653876793272E-4</v>
      </c>
      <c r="V206" s="302">
        <v>229</v>
      </c>
      <c r="W206" s="283">
        <f>V206/(T206*60)</f>
        <v>3.4397266803945787</v>
      </c>
      <c r="X206" s="283">
        <f>W206+P206</f>
        <v>26.866303975990892</v>
      </c>
      <c r="Y206" s="281">
        <f>U206*V206</f>
        <v>9.1773247377856595E-2</v>
      </c>
      <c r="Z206" s="281">
        <f>IF(VLOOKUP(71.4,table_CIA_JCTS,25,FALSE)+VLOOKUP(71.2,table_CIA_JCTS,24,FALSE)&lt;VLOOKUP(71.2,table_CIA_JCTS,28,FALSE),VLOOKUP(71.2,table_CIA_JCTS,28,FALSE),VLOOKUP(71.4,table_CIA_JCTS,25,FALSE)+VLOOKUP(71.2,table_CIA_JCTS,24,FALSE))</f>
        <v>387.47617127719758</v>
      </c>
      <c r="AA206" s="303">
        <v>393.07</v>
      </c>
      <c r="AB206" s="281">
        <f>(AA206-0.5)-Z206</f>
        <v>5.0938287228024137</v>
      </c>
      <c r="AC206" s="284" t="s">
        <v>10</v>
      </c>
      <c r="AD206" t="s">
        <v>10</v>
      </c>
    </row>
    <row r="207" spans="1:30" x14ac:dyDescent="0.2">
      <c r="A207" s="683"/>
      <c r="B207" s="278" t="s">
        <v>10</v>
      </c>
      <c r="C207" s="285" t="s">
        <v>10</v>
      </c>
      <c r="D207" s="280" t="s">
        <v>10</v>
      </c>
      <c r="E207" s="280" t="s">
        <v>10</v>
      </c>
      <c r="F207" s="281" t="s">
        <v>10</v>
      </c>
      <c r="G207" s="280" t="s">
        <v>10</v>
      </c>
      <c r="H207" s="280" t="s">
        <v>10</v>
      </c>
      <c r="I207" s="280" t="s">
        <v>10</v>
      </c>
      <c r="J207" s="280" t="s">
        <v>10</v>
      </c>
      <c r="K207" s="282" t="s">
        <v>10</v>
      </c>
      <c r="L207" s="283" t="s">
        <v>10</v>
      </c>
      <c r="M207" s="281" t="s">
        <v>10</v>
      </c>
      <c r="N207" s="283" t="s">
        <v>10</v>
      </c>
      <c r="O207" s="283" t="s">
        <v>10</v>
      </c>
      <c r="P207" s="283" t="s">
        <v>10</v>
      </c>
      <c r="Q207" s="281" t="s">
        <v>10</v>
      </c>
      <c r="R207" s="280" t="s">
        <v>10</v>
      </c>
      <c r="S207" s="283" t="s">
        <v>10</v>
      </c>
      <c r="T207" s="281" t="s">
        <v>10</v>
      </c>
      <c r="U207" s="282" t="s">
        <v>10</v>
      </c>
      <c r="V207" s="283" t="s">
        <v>10</v>
      </c>
      <c r="W207" s="283" t="s">
        <v>10</v>
      </c>
      <c r="X207" s="283" t="s">
        <v>10</v>
      </c>
      <c r="Y207" s="281" t="s">
        <v>10</v>
      </c>
      <c r="Z207" s="281" t="s">
        <v>10</v>
      </c>
      <c r="AA207" s="281" t="s">
        <v>10</v>
      </c>
      <c r="AB207" s="281" t="s">
        <v>10</v>
      </c>
      <c r="AC207" s="284" t="s">
        <v>10</v>
      </c>
      <c r="AD207" t="s">
        <v>10</v>
      </c>
    </row>
    <row r="208" spans="1:30" x14ac:dyDescent="0.2">
      <c r="A208" s="683"/>
      <c r="B208" s="278" t="s">
        <v>10</v>
      </c>
      <c r="C208" s="279">
        <v>77.2</v>
      </c>
      <c r="D208" s="280">
        <f>VLOOKUP(C208,table_DI,2)</f>
        <v>3</v>
      </c>
      <c r="E208" s="280" t="s">
        <v>10</v>
      </c>
      <c r="F208" s="281">
        <f>VLOOKUP(C208,table_DI,5)</f>
        <v>0.5</v>
      </c>
      <c r="G208" s="280">
        <f>VLOOKUP(C208,table_DI,3)</f>
        <v>1.5</v>
      </c>
      <c r="H208" s="280" t="s">
        <v>10</v>
      </c>
      <c r="I208" s="280">
        <f>VLOOKUP(C208,table_DI,4)</f>
        <v>1.5</v>
      </c>
      <c r="J208" s="280" t="s">
        <v>10</v>
      </c>
      <c r="K208" s="282">
        <f>VLOOKUP(C208,table_DI,9)</f>
        <v>2.3208722741433164E-3</v>
      </c>
      <c r="L208" s="283">
        <f>VLOOKUP(C208,table_DI,8)</f>
        <v>642</v>
      </c>
      <c r="M208" s="281">
        <f>(0.84*(K208^0.5)*(cell_GUTDEP^0.6666)/cell_NRD)</f>
        <v>1.4185442919816513</v>
      </c>
      <c r="N208" s="283">
        <f>VLOOKUP(C208,table_DI,10)</f>
        <v>20</v>
      </c>
      <c r="O208" s="283">
        <f>(L208/(M208*60))</f>
        <v>7.5429438900723467</v>
      </c>
      <c r="P208" s="283">
        <f>N208+O208</f>
        <v>27.542943890072348</v>
      </c>
      <c r="Q208" s="281">
        <f>cell_P*(P208^cell_E)</f>
        <v>0.69481524658062832</v>
      </c>
      <c r="R208" s="280">
        <f>Q208*I208</f>
        <v>1.0422228698709426</v>
      </c>
      <c r="S208" s="283" t="s">
        <v>10</v>
      </c>
      <c r="T208" s="281" t="s">
        <v>10</v>
      </c>
      <c r="U208" s="282" t="s">
        <v>10</v>
      </c>
      <c r="V208" s="283" t="s">
        <v>10</v>
      </c>
      <c r="W208" s="283" t="s">
        <v>10</v>
      </c>
      <c r="X208" s="283" t="s">
        <v>10</v>
      </c>
      <c r="Y208" s="281" t="s">
        <v>10</v>
      </c>
      <c r="Z208" s="281" t="s">
        <v>10</v>
      </c>
      <c r="AA208" s="281" t="s">
        <v>10</v>
      </c>
      <c r="AB208" s="281" t="s">
        <v>10</v>
      </c>
      <c r="AC208" s="284" t="s">
        <v>10</v>
      </c>
      <c r="AD208" t="s">
        <v>10</v>
      </c>
    </row>
    <row r="209" spans="1:30" ht="15.75" x14ac:dyDescent="0.25">
      <c r="A209" s="683"/>
      <c r="B209" s="278">
        <v>71.3</v>
      </c>
      <c r="C209" s="285" t="s">
        <v>10</v>
      </c>
      <c r="D209" s="280" t="s">
        <v>10</v>
      </c>
      <c r="E209" s="280">
        <f>VLOOKUP(77.2,table_CIA_INLETS,2,FALSE)</f>
        <v>3</v>
      </c>
      <c r="F209" s="281" t="s">
        <v>10</v>
      </c>
      <c r="G209" s="280" t="s">
        <v>10</v>
      </c>
      <c r="H209" s="280">
        <f>VLOOKUP(77.2,table_CIA_INLETS,5,FALSE)</f>
        <v>1.5</v>
      </c>
      <c r="I209" s="280" t="s">
        <v>10</v>
      </c>
      <c r="J209" s="280">
        <f>VLOOKUP(77.2,table_CIA_INLETS,7,FALSE)</f>
        <v>1.5</v>
      </c>
      <c r="K209" s="282" t="s">
        <v>10</v>
      </c>
      <c r="L209" s="283" t="s">
        <v>10</v>
      </c>
      <c r="M209" s="281" t="s">
        <v>10</v>
      </c>
      <c r="N209" s="283" t="s">
        <v>10</v>
      </c>
      <c r="O209" s="283" t="s">
        <v>10</v>
      </c>
      <c r="P209" s="283">
        <f>VLOOKUP(77.2,table_CIA_INLETS,14,FALSE)</f>
        <v>27.542943890072348</v>
      </c>
      <c r="Q209" s="281">
        <f>cell_P*(P209^cell_E)</f>
        <v>0.69481524658062832</v>
      </c>
      <c r="R209" s="280">
        <f>J209*Q209</f>
        <v>1.0422228698709426</v>
      </c>
      <c r="S209" s="283">
        <v>18</v>
      </c>
      <c r="T209" s="281">
        <f>(4*R209)/(3.14159*(S209/12)^2)</f>
        <v>0.58977799698507516</v>
      </c>
      <c r="U209" s="282">
        <f>((R209/((0.463135/cell_NP)*((S209/12)^(8/3))))^2)*cell_FF</f>
        <v>1.1322365114838891E-4</v>
      </c>
      <c r="V209" s="302">
        <v>294</v>
      </c>
      <c r="W209" s="283">
        <f>V209/(T209*60)</f>
        <v>8.3082109286013246</v>
      </c>
      <c r="X209" s="283">
        <f>W209+P209</f>
        <v>35.85115481867367</v>
      </c>
      <c r="Y209" s="281">
        <f>U209*V209</f>
        <v>3.3287753437626341E-2</v>
      </c>
      <c r="Z209" s="281">
        <f>IF(VLOOKUP(71.4,table_CIA_JCTS,25,FALSE)+VLOOKUP(71.3,table_CIA_JCTS,24,FALSE)&lt;VLOOKUP(71.3,table_CIA_JCTS,28,FALSE),VLOOKUP(71.3,table_CIA_JCTS,28,FALSE),VLOOKUP(71.4,table_CIA_JCTS,25,FALSE)+VLOOKUP(71.3,table_CIA_JCTS,24,FALSE))</f>
        <v>387.41768578325735</v>
      </c>
      <c r="AA209" s="303">
        <v>393.75</v>
      </c>
      <c r="AB209" s="281">
        <f>(AA209-0.5)-Z209</f>
        <v>5.8323142167426454</v>
      </c>
      <c r="AC209" s="284" t="s">
        <v>10</v>
      </c>
      <c r="AD209" t="s">
        <v>10</v>
      </c>
    </row>
    <row r="210" spans="1:30" ht="15.75" x14ac:dyDescent="0.25">
      <c r="A210" s="683"/>
      <c r="B210" s="278">
        <v>71.400000000000006</v>
      </c>
      <c r="C210" s="285" t="s">
        <v>10</v>
      </c>
      <c r="D210" s="280" t="s">
        <v>10</v>
      </c>
      <c r="E210" s="280">
        <f>VLOOKUP(71.2,table_CIA_JCTS,4,FALSE)+VLOOKUP(71.3,table_CIA_JCTS,4,FALSE)</f>
        <v>8.1</v>
      </c>
      <c r="F210" s="281" t="s">
        <v>10</v>
      </c>
      <c r="G210" s="280" t="s">
        <v>10</v>
      </c>
      <c r="H210" s="280">
        <f>VLOOKUP(71.2,table_CIA_JCTS,7,FALSE)+VLOOKUP(71.3,table_CIA_JCTS,7,FALSE)</f>
        <v>4.05</v>
      </c>
      <c r="I210" s="280" t="s">
        <v>10</v>
      </c>
      <c r="J210" s="280">
        <f>VLOOKUP(71.2,table_CIA_JCTS,9,FALSE)+VLOOKUP(71.3,table_CIA_JCTS,9,FALSE)</f>
        <v>4.05</v>
      </c>
      <c r="K210" s="282" t="s">
        <v>10</v>
      </c>
      <c r="L210" s="283" t="s">
        <v>10</v>
      </c>
      <c r="M210" s="281" t="s">
        <v>10</v>
      </c>
      <c r="N210" s="283" t="s">
        <v>10</v>
      </c>
      <c r="O210" s="283" t="s">
        <v>10</v>
      </c>
      <c r="P210" s="283">
        <f>VLOOKUP(71.2,table_CIA_JCTS,23,FALSE)</f>
        <v>26.866303975990892</v>
      </c>
      <c r="Q210" s="281">
        <f>cell_P*(P210^cell_E)</f>
        <v>0.70572227164772894</v>
      </c>
      <c r="R210" s="280">
        <f>J210*Q210</f>
        <v>2.8581752001733021</v>
      </c>
      <c r="S210" s="283">
        <v>18</v>
      </c>
      <c r="T210" s="281">
        <f>(4*R210)/(3.14159*(S210/12)^2)</f>
        <v>1.6173976731093644</v>
      </c>
      <c r="U210" s="282">
        <f>((R210/((0.463135/cell_NP)*((S210/12)^(8/3))))^2)*cell_FF</f>
        <v>8.5151764382567082E-4</v>
      </c>
      <c r="V210" s="302">
        <v>630</v>
      </c>
      <c r="W210" s="283">
        <f>V210/(T210*60)</f>
        <v>6.4919099208386317</v>
      </c>
      <c r="X210" s="283">
        <f>W210+P210</f>
        <v>33.358213896829525</v>
      </c>
      <c r="Y210" s="281">
        <f>U210*V210</f>
        <v>0.53645611561017259</v>
      </c>
      <c r="Z210" s="281">
        <f>IF(VLOOKUP(71.7,table_CIA_JCTS,25,FALSE)+VLOOKUP(71.4,table_CIA_JCTS,24,FALSE)&lt;VLOOKUP(71.4,table_CIA_JCTS,28,FALSE),VLOOKUP(71.4,table_CIA_JCTS,28,FALSE),VLOOKUP(71.7,table_CIA_JCTS,25,FALSE)+VLOOKUP(71.4,table_CIA_JCTS,24,FALSE))</f>
        <v>387.38439802981975</v>
      </c>
      <c r="AA210" s="281">
        <v>393.71</v>
      </c>
      <c r="AB210" s="281">
        <f>(AA210-0.5)-Z210</f>
        <v>5.8256019701802302</v>
      </c>
      <c r="AC210" s="284" t="s">
        <v>10</v>
      </c>
      <c r="AD210" t="s">
        <v>10</v>
      </c>
    </row>
    <row r="211" spans="1:30" x14ac:dyDescent="0.2">
      <c r="A211" s="683"/>
      <c r="B211" s="278" t="s">
        <v>10</v>
      </c>
      <c r="C211" s="285" t="s">
        <v>10</v>
      </c>
      <c r="D211" s="280" t="s">
        <v>10</v>
      </c>
      <c r="E211" s="280" t="s">
        <v>10</v>
      </c>
      <c r="F211" s="281" t="s">
        <v>10</v>
      </c>
      <c r="G211" s="280" t="s">
        <v>10</v>
      </c>
      <c r="H211" s="280" t="s">
        <v>10</v>
      </c>
      <c r="I211" s="280" t="s">
        <v>10</v>
      </c>
      <c r="J211" s="280" t="s">
        <v>10</v>
      </c>
      <c r="K211" s="282" t="s">
        <v>10</v>
      </c>
      <c r="L211" s="283" t="s">
        <v>10</v>
      </c>
      <c r="M211" s="281" t="s">
        <v>10</v>
      </c>
      <c r="N211" s="283" t="s">
        <v>10</v>
      </c>
      <c r="O211" s="283" t="s">
        <v>10</v>
      </c>
      <c r="P211" s="283" t="s">
        <v>10</v>
      </c>
      <c r="Q211" s="281" t="s">
        <v>10</v>
      </c>
      <c r="R211" s="280" t="s">
        <v>10</v>
      </c>
      <c r="S211" s="283" t="s">
        <v>10</v>
      </c>
      <c r="T211" s="281" t="s">
        <v>10</v>
      </c>
      <c r="U211" s="282" t="s">
        <v>10</v>
      </c>
      <c r="V211" s="283" t="s">
        <v>10</v>
      </c>
      <c r="W211" s="283" t="s">
        <v>10</v>
      </c>
      <c r="X211" s="283" t="s">
        <v>10</v>
      </c>
      <c r="Y211" s="281" t="s">
        <v>10</v>
      </c>
      <c r="Z211" s="281" t="s">
        <v>10</v>
      </c>
      <c r="AA211" s="281" t="s">
        <v>10</v>
      </c>
      <c r="AB211" s="281" t="s">
        <v>10</v>
      </c>
      <c r="AC211" s="284" t="s">
        <v>10</v>
      </c>
      <c r="AD211" t="s">
        <v>10</v>
      </c>
    </row>
    <row r="212" spans="1:30" x14ac:dyDescent="0.2">
      <c r="A212" s="683"/>
      <c r="B212" s="278" t="s">
        <v>10</v>
      </c>
      <c r="C212" s="279">
        <v>77.3</v>
      </c>
      <c r="D212" s="280">
        <f>VLOOKUP(C212,table_DI,2)</f>
        <v>2.2000000000000002</v>
      </c>
      <c r="E212" s="280" t="s">
        <v>10</v>
      </c>
      <c r="F212" s="281">
        <f>VLOOKUP(C212,table_DI,5)</f>
        <v>0.5</v>
      </c>
      <c r="G212" s="280">
        <f>VLOOKUP(C212,table_DI,3)</f>
        <v>1.1000000000000001</v>
      </c>
      <c r="H212" s="280" t="s">
        <v>10</v>
      </c>
      <c r="I212" s="280">
        <f>VLOOKUP(C212,table_DI,4)</f>
        <v>1.1000000000000001</v>
      </c>
      <c r="J212" s="280" t="s">
        <v>10</v>
      </c>
      <c r="K212" s="282">
        <f>VLOOKUP(C212,table_DI,9)</f>
        <v>2.5269978401728206E-3</v>
      </c>
      <c r="L212" s="283">
        <f>VLOOKUP(C212,table_DI,8)</f>
        <v>463</v>
      </c>
      <c r="M212" s="281">
        <f>(0.84*(K212^0.5)*(cell_GUTDEP^0.6666)/cell_NRD)</f>
        <v>1.4801976683110178</v>
      </c>
      <c r="N212" s="283">
        <f>VLOOKUP(C212,table_DI,10)</f>
        <v>20</v>
      </c>
      <c r="O212" s="283">
        <f>(L212/(M212*60))</f>
        <v>5.2132676816548313</v>
      </c>
      <c r="P212" s="283">
        <f>N212+O212</f>
        <v>25.21326768165483</v>
      </c>
      <c r="Q212" s="281">
        <f t="shared" ref="Q212:Q220" si="15">cell_P*(P212^cell_E)</f>
        <v>0.73435095070325496</v>
      </c>
      <c r="R212" s="280">
        <f>Q212*I212</f>
        <v>0.80778604577358049</v>
      </c>
      <c r="S212" s="283" t="s">
        <v>10</v>
      </c>
      <c r="T212" s="281" t="s">
        <v>10</v>
      </c>
      <c r="U212" s="282" t="s">
        <v>10</v>
      </c>
      <c r="V212" s="283" t="s">
        <v>10</v>
      </c>
      <c r="W212" s="283" t="s">
        <v>10</v>
      </c>
      <c r="X212" s="283" t="s">
        <v>10</v>
      </c>
      <c r="Y212" s="281" t="s">
        <v>10</v>
      </c>
      <c r="Z212" s="281" t="s">
        <v>10</v>
      </c>
      <c r="AA212" s="281" t="s">
        <v>10</v>
      </c>
      <c r="AB212" s="281" t="s">
        <v>10</v>
      </c>
      <c r="AC212" s="284" t="s">
        <v>10</v>
      </c>
      <c r="AD212" t="s">
        <v>10</v>
      </c>
    </row>
    <row r="213" spans="1:30" x14ac:dyDescent="0.2">
      <c r="A213" s="683"/>
      <c r="B213" s="278" t="s">
        <v>10</v>
      </c>
      <c r="C213" s="279">
        <v>77.400000000000006</v>
      </c>
      <c r="D213" s="280">
        <f>VLOOKUP(C213,table_DI,2)</f>
        <v>5.27</v>
      </c>
      <c r="E213" s="280" t="s">
        <v>10</v>
      </c>
      <c r="F213" s="281">
        <f>VLOOKUP(C213,table_DI,5)</f>
        <v>0.5</v>
      </c>
      <c r="G213" s="280">
        <f>VLOOKUP(C213,table_DI,3)</f>
        <v>2.6349999999999998</v>
      </c>
      <c r="H213" s="280" t="s">
        <v>10</v>
      </c>
      <c r="I213" s="280">
        <f>VLOOKUP(C213,table_DI,4)</f>
        <v>2.6349999999999998</v>
      </c>
      <c r="J213" s="280" t="s">
        <v>10</v>
      </c>
      <c r="K213" s="282">
        <f>VLOOKUP(C213,table_DI,9)</f>
        <v>3.3254994124559821E-3</v>
      </c>
      <c r="L213" s="283">
        <f>VLOOKUP(C213,table_DI,8)</f>
        <v>851</v>
      </c>
      <c r="M213" s="281">
        <f>(0.84*(K213^0.5)*(cell_GUTDEP^0.6666)/cell_NRD)</f>
        <v>1.6980314044902649</v>
      </c>
      <c r="N213" s="283">
        <f>VLOOKUP(C213,table_DI,10)</f>
        <v>20</v>
      </c>
      <c r="O213" s="283">
        <f>(L213/(M213*60))</f>
        <v>8.3528097865722657</v>
      </c>
      <c r="P213" s="283">
        <f>N213+O213</f>
        <v>28.352809786572266</v>
      </c>
      <c r="Q213" s="281">
        <f t="shared" si="15"/>
        <v>0.68232006855421545</v>
      </c>
      <c r="R213" s="280">
        <f>Q213*I213</f>
        <v>1.7979133806403576</v>
      </c>
      <c r="S213" s="283" t="s">
        <v>10</v>
      </c>
      <c r="T213" s="281" t="s">
        <v>10</v>
      </c>
      <c r="U213" s="282" t="s">
        <v>10</v>
      </c>
      <c r="V213" s="283" t="s">
        <v>10</v>
      </c>
      <c r="W213" s="283" t="s">
        <v>10</v>
      </c>
      <c r="X213" s="283" t="s">
        <v>10</v>
      </c>
      <c r="Y213" s="281" t="s">
        <v>10</v>
      </c>
      <c r="Z213" s="281" t="s">
        <v>10</v>
      </c>
      <c r="AA213" s="281" t="s">
        <v>10</v>
      </c>
      <c r="AB213" s="281" t="s">
        <v>10</v>
      </c>
      <c r="AC213" s="284" t="s">
        <v>10</v>
      </c>
      <c r="AD213" t="s">
        <v>10</v>
      </c>
    </row>
    <row r="214" spans="1:30" ht="15.75" x14ac:dyDescent="0.25">
      <c r="A214" s="683"/>
      <c r="B214" s="278">
        <v>71.5</v>
      </c>
      <c r="C214" s="285" t="s">
        <v>10</v>
      </c>
      <c r="D214" s="280" t="s">
        <v>10</v>
      </c>
      <c r="E214" s="280">
        <f>VLOOKUP(77.3,table_CIA_INLETS,2,FALSE)+VLOOKUP(77.4,table_CIA_INLETS,2,FALSE)</f>
        <v>7.47</v>
      </c>
      <c r="F214" s="281" t="s">
        <v>10</v>
      </c>
      <c r="G214" s="280" t="s">
        <v>10</v>
      </c>
      <c r="H214" s="280">
        <f>VLOOKUP(77.3,table_CIA_INLETS,5,FALSE)+VLOOKUP(77.4,table_CIA_INLETS,5,FALSE)</f>
        <v>3.7349999999999999</v>
      </c>
      <c r="I214" s="280" t="s">
        <v>10</v>
      </c>
      <c r="J214" s="280">
        <f>VLOOKUP(77.3,table_CIA_INLETS,7,FALSE)+VLOOKUP(77.4,table_CIA_INLETS,7,FALSE)</f>
        <v>3.7349999999999999</v>
      </c>
      <c r="K214" s="282" t="s">
        <v>10</v>
      </c>
      <c r="L214" s="283" t="s">
        <v>10</v>
      </c>
      <c r="M214" s="281" t="s">
        <v>10</v>
      </c>
      <c r="N214" s="283" t="s">
        <v>10</v>
      </c>
      <c r="O214" s="283" t="s">
        <v>10</v>
      </c>
      <c r="P214" s="283">
        <f>VLOOKUP(77.4,table_CIA_INLETS,14,FALSE)</f>
        <v>28.352809786572266</v>
      </c>
      <c r="Q214" s="281">
        <f t="shared" si="15"/>
        <v>0.68232006855421545</v>
      </c>
      <c r="R214" s="280">
        <f>J214*Q214</f>
        <v>2.5484654560499944</v>
      </c>
      <c r="S214" s="283">
        <v>18</v>
      </c>
      <c r="T214" s="281">
        <f>(4*R214)/(3.14159*(S214/12)^2)</f>
        <v>1.4421376612479637</v>
      </c>
      <c r="U214" s="282">
        <f>((R214/((0.463135/cell_NP)*((S214/12)^(8/3))))^2)*cell_FF</f>
        <v>6.7697629283985244E-4</v>
      </c>
      <c r="V214" s="346">
        <v>501</v>
      </c>
      <c r="W214" s="283">
        <f>V214/(T214*60)</f>
        <v>5.7900159078948601</v>
      </c>
      <c r="X214" s="283">
        <f>W214+P214</f>
        <v>34.142825694467128</v>
      </c>
      <c r="Y214" s="281">
        <f>U214*V214</f>
        <v>0.33916512271276605</v>
      </c>
      <c r="Z214" s="281">
        <f>IF(VLOOKUP(71.6,table_CIA_JCTS,25,FALSE)+VLOOKUP(71.5,table_CIA_JCTS,24,FALSE)&lt;VLOOKUP(71.5,table_CIA_JCTS,28,FALSE),VLOOKUP(71.5,table_CIA_JCTS,28,FALSE),VLOOKUP(71.6,table_CIA_JCTS,25,FALSE)+VLOOKUP(71.5,table_CIA_JCTS,24,FALSE))</f>
        <v>391.37</v>
      </c>
      <c r="AA214" s="402">
        <v>397.77</v>
      </c>
      <c r="AB214" s="281">
        <f>(AA214-0.5)-Z214</f>
        <v>5.8999999999999773</v>
      </c>
      <c r="AC214" s="401">
        <v>391.37</v>
      </c>
      <c r="AD214" s="403" t="s">
        <v>444</v>
      </c>
    </row>
    <row r="215" spans="1:30" x14ac:dyDescent="0.2">
      <c r="A215" s="683"/>
      <c r="B215" s="278" t="s">
        <v>10</v>
      </c>
      <c r="C215" s="279">
        <v>77.5</v>
      </c>
      <c r="D215" s="280">
        <f>VLOOKUP(C215,table_DI,2)</f>
        <v>1.4</v>
      </c>
      <c r="E215" s="280" t="s">
        <v>10</v>
      </c>
      <c r="F215" s="281">
        <f>VLOOKUP(C215,table_DI,5)</f>
        <v>0.5</v>
      </c>
      <c r="G215" s="280">
        <f>VLOOKUP(C215,table_DI,3)</f>
        <v>0.7</v>
      </c>
      <c r="H215" s="280" t="s">
        <v>10</v>
      </c>
      <c r="I215" s="280">
        <f>VLOOKUP(C215,table_DI,4)</f>
        <v>0.7</v>
      </c>
      <c r="J215" s="280" t="s">
        <v>10</v>
      </c>
      <c r="K215" s="282">
        <f>VLOOKUP(C215,table_DI,9)</f>
        <v>1.8356164383562081E-3</v>
      </c>
      <c r="L215" s="283">
        <f>VLOOKUP(C215,table_DI,8)</f>
        <v>365</v>
      </c>
      <c r="M215" s="281">
        <f>(0.84*(K215^0.5)*(cell_GUTDEP^0.6666)/cell_NRD)</f>
        <v>1.2615609848778337</v>
      </c>
      <c r="N215" s="283">
        <f>VLOOKUP(C215,table_DI,10)</f>
        <v>20</v>
      </c>
      <c r="O215" s="283">
        <f>(L215/(M215*60))</f>
        <v>4.8220683789792584</v>
      </c>
      <c r="P215" s="283">
        <f>N215+O215</f>
        <v>24.82206837897926</v>
      </c>
      <c r="Q215" s="281">
        <f t="shared" si="15"/>
        <v>0.74157706572601145</v>
      </c>
      <c r="R215" s="280">
        <f>Q215*I215</f>
        <v>0.51910394600820797</v>
      </c>
      <c r="S215" s="283" t="s">
        <v>10</v>
      </c>
      <c r="T215" s="281" t="s">
        <v>10</v>
      </c>
      <c r="U215" s="282" t="s">
        <v>10</v>
      </c>
      <c r="V215" s="283" t="s">
        <v>10</v>
      </c>
      <c r="W215" s="283" t="s">
        <v>10</v>
      </c>
      <c r="X215" s="283" t="s">
        <v>10</v>
      </c>
      <c r="Y215" s="281" t="s">
        <v>10</v>
      </c>
      <c r="Z215" s="281" t="s">
        <v>10</v>
      </c>
      <c r="AA215" s="281" t="s">
        <v>10</v>
      </c>
      <c r="AB215" s="281" t="s">
        <v>10</v>
      </c>
      <c r="AC215" s="284" t="s">
        <v>10</v>
      </c>
      <c r="AD215" t="s">
        <v>10</v>
      </c>
    </row>
    <row r="216" spans="1:30" ht="15.75" x14ac:dyDescent="0.25">
      <c r="A216" s="683"/>
      <c r="B216" s="278">
        <v>71.599999999999994</v>
      </c>
      <c r="C216" s="285" t="s">
        <v>10</v>
      </c>
      <c r="D216" s="280" t="s">
        <v>10</v>
      </c>
      <c r="E216" s="280">
        <f>VLOOKUP(71.5,table_CIA_JCTS,4,FALSE)+VLOOKUP(77.5,table_CIA_INLETS,2,FALSE)</f>
        <v>8.8699999999999992</v>
      </c>
      <c r="F216" s="281" t="s">
        <v>10</v>
      </c>
      <c r="G216" s="280" t="s">
        <v>10</v>
      </c>
      <c r="H216" s="280">
        <f>VLOOKUP(71.5,table_CIA_JCTS,7,FALSE)+VLOOKUP(77.5,table_CIA_INLETS,5,FALSE)</f>
        <v>4.4349999999999996</v>
      </c>
      <c r="I216" s="280" t="s">
        <v>10</v>
      </c>
      <c r="J216" s="280">
        <f>VLOOKUP(71.5,table_CIA_JCTS,9,FALSE)+VLOOKUP(77.5,table_CIA_INLETS,7,FALSE)</f>
        <v>4.4349999999999996</v>
      </c>
      <c r="K216" s="282" t="s">
        <v>10</v>
      </c>
      <c r="L216" s="283" t="s">
        <v>10</v>
      </c>
      <c r="M216" s="281" t="s">
        <v>10</v>
      </c>
      <c r="N216" s="283" t="s">
        <v>10</v>
      </c>
      <c r="O216" s="283" t="s">
        <v>10</v>
      </c>
      <c r="P216" s="283">
        <f>VLOOKUP(71.5,table_CIA_JCTS,23,FALSE)</f>
        <v>34.142825694467128</v>
      </c>
      <c r="Q216" s="281">
        <f t="shared" si="15"/>
        <v>0.60736771516287846</v>
      </c>
      <c r="R216" s="280">
        <f>J216*Q216</f>
        <v>2.6936758167473656</v>
      </c>
      <c r="S216" s="283">
        <v>18</v>
      </c>
      <c r="T216" s="281">
        <f>(4*R216)/(3.14159*(S216/12)^2)</f>
        <v>1.524309985564912</v>
      </c>
      <c r="U216" s="282">
        <f>((R216/((0.463135/cell_NP)*((S216/12)^(8/3))))^2)*cell_FF</f>
        <v>7.563217894925743E-4</v>
      </c>
      <c r="V216" s="346">
        <v>36</v>
      </c>
      <c r="W216" s="283">
        <f>V216/(T216*60)</f>
        <v>0.39362072392226632</v>
      </c>
      <c r="X216" s="283">
        <f>W216+P216</f>
        <v>34.536446418389396</v>
      </c>
      <c r="Y216" s="281">
        <f>U216*V216</f>
        <v>2.7227584421732676E-2</v>
      </c>
      <c r="Z216" s="281">
        <f>IF(VLOOKUP(71.7,table_CIA_JCTS,25,FALSE)+VLOOKUP(71.6,table_CIA_JCTS,24,FALSE)&lt;VLOOKUP(71.6,table_CIA_JCTS,28,FALSE),VLOOKUP(71.6,table_CIA_JCTS,28,FALSE),VLOOKUP(71.7,table_CIA_JCTS,25,FALSE)+VLOOKUP(71.6,table_CIA_JCTS,24,FALSE))</f>
        <v>388.27</v>
      </c>
      <c r="AA216" s="402">
        <v>395.07</v>
      </c>
      <c r="AB216" s="281">
        <f>(AA216-0.5)-Z216</f>
        <v>6.3000000000000114</v>
      </c>
      <c r="AC216" s="401">
        <v>388.27</v>
      </c>
      <c r="AD216" s="403" t="s">
        <v>522</v>
      </c>
    </row>
    <row r="217" spans="1:30" ht="15.75" x14ac:dyDescent="0.25">
      <c r="A217" s="683"/>
      <c r="B217" s="278">
        <v>71.7</v>
      </c>
      <c r="C217" s="285" t="s">
        <v>10</v>
      </c>
      <c r="D217" s="280" t="s">
        <v>10</v>
      </c>
      <c r="E217" s="280">
        <f>VLOOKUP(71.4,table_CIA_JCTS,4,FALSE)+VLOOKUP(71.6,table_CIA_JCTS,4,FALSE)</f>
        <v>16.97</v>
      </c>
      <c r="F217" s="281" t="s">
        <v>10</v>
      </c>
      <c r="G217" s="280" t="s">
        <v>10</v>
      </c>
      <c r="H217" s="280">
        <f>VLOOKUP(71.4,table_CIA_JCTS,7,FALSE)+VLOOKUP(71.6,table_CIA_JCTS,7,FALSE)</f>
        <v>8.4849999999999994</v>
      </c>
      <c r="I217" s="280" t="s">
        <v>10</v>
      </c>
      <c r="J217" s="280">
        <f>VLOOKUP(71.4,table_CIA_JCTS,9,FALSE)+VLOOKUP(71.6,table_CIA_JCTS,9,FALSE)</f>
        <v>8.4849999999999994</v>
      </c>
      <c r="K217" s="282" t="s">
        <v>10</v>
      </c>
      <c r="L217" s="283" t="s">
        <v>10</v>
      </c>
      <c r="M217" s="281" t="s">
        <v>10</v>
      </c>
      <c r="N217" s="283" t="s">
        <v>10</v>
      </c>
      <c r="O217" s="283" t="s">
        <v>10</v>
      </c>
      <c r="P217" s="283">
        <f>VLOOKUP(71.6,table_CIA_JCTS,23,FALSE)</f>
        <v>34.536446418389396</v>
      </c>
      <c r="Q217" s="281">
        <f t="shared" si="15"/>
        <v>0.60302367280937808</v>
      </c>
      <c r="R217" s="280">
        <f>J217*Q217</f>
        <v>5.1166558637875728</v>
      </c>
      <c r="S217" s="283">
        <v>18</v>
      </c>
      <c r="T217" s="281">
        <f>(4*R217)/(3.14159*(S217/12)^2)</f>
        <v>2.8954373712603831</v>
      </c>
      <c r="U217" s="282">
        <f>((R217/((0.463135/cell_NP)*((S217/12)^(8/3))))^2)*cell_FF</f>
        <v>2.7289047310708535E-3</v>
      </c>
      <c r="V217" s="346">
        <v>40</v>
      </c>
      <c r="W217" s="283">
        <f>V217/(T217*60)</f>
        <v>0.23024731022811482</v>
      </c>
      <c r="X217" s="283">
        <f>W217+P217</f>
        <v>34.766693728617511</v>
      </c>
      <c r="Y217" s="281">
        <f>U217*V217</f>
        <v>0.10915618924283414</v>
      </c>
      <c r="Z217" s="281">
        <f>IF(VLOOKUP(71.8,table_CIA_JCTS,25,FALSE)+VLOOKUP(71.7,table_CIA_JCTS,24,FALSE)&lt;VLOOKUP(71.7,table_CIA_JCTS,28,FALSE),VLOOKUP(71.7,table_CIA_JCTS,28,FALSE),VLOOKUP(71.8,table_CIA_JCTS,25,FALSE)+VLOOKUP(71.7,table_CIA_JCTS,24,FALSE))</f>
        <v>386.84794191420957</v>
      </c>
      <c r="AA217" s="402">
        <v>395</v>
      </c>
      <c r="AB217" s="281">
        <f>(AA217-0.5)-Z217</f>
        <v>7.6520580857904292</v>
      </c>
      <c r="AC217" s="401">
        <v>386.38</v>
      </c>
      <c r="AD217" s="403" t="s">
        <v>523</v>
      </c>
    </row>
    <row r="218" spans="1:30" ht="15.75" x14ac:dyDescent="0.25">
      <c r="A218" s="683"/>
      <c r="B218" s="278" t="s">
        <v>10</v>
      </c>
      <c r="C218" s="279">
        <v>77.599999999999994</v>
      </c>
      <c r="D218" s="280">
        <f>VLOOKUP(C218,table_DI,2)</f>
        <v>2.6</v>
      </c>
      <c r="E218" s="280" t="s">
        <v>10</v>
      </c>
      <c r="F218" s="281">
        <f>VLOOKUP(C218,table_DI,5)</f>
        <v>0.5</v>
      </c>
      <c r="G218" s="280">
        <f>VLOOKUP(C218,table_DI,3)</f>
        <v>1.3</v>
      </c>
      <c r="H218" s="280" t="s">
        <v>10</v>
      </c>
      <c r="I218" s="280">
        <f>VLOOKUP(C218,table_DI,4)</f>
        <v>1.3</v>
      </c>
      <c r="J218" s="280" t="s">
        <v>10</v>
      </c>
      <c r="K218" s="282">
        <f>VLOOKUP(C218,table_DI,9)</f>
        <v>1.8453865336658581E-3</v>
      </c>
      <c r="L218" s="283">
        <f>VLOOKUP(C218,table_DI,8)</f>
        <v>401</v>
      </c>
      <c r="M218" s="281">
        <f>(0.84*(K218^0.5)*(cell_GUTDEP^0.6666)/cell_NRD)</f>
        <v>1.2649138677426734</v>
      </c>
      <c r="N218" s="283">
        <f>VLOOKUP(C218,table_DI,10)</f>
        <v>20</v>
      </c>
      <c r="O218" s="283">
        <f>(L218/(M218*60))</f>
        <v>5.2836272127051664</v>
      </c>
      <c r="P218" s="283">
        <f>N218+O218</f>
        <v>25.283627212705166</v>
      </c>
      <c r="Q218" s="281">
        <f t="shared" si="15"/>
        <v>0.73307060752550224</v>
      </c>
      <c r="R218" s="280">
        <f>Q218*I218</f>
        <v>0.95299178978315291</v>
      </c>
      <c r="S218" s="283" t="s">
        <v>10</v>
      </c>
      <c r="T218" s="281" t="s">
        <v>10</v>
      </c>
      <c r="U218" s="282" t="s">
        <v>10</v>
      </c>
      <c r="V218" s="283" t="s">
        <v>10</v>
      </c>
      <c r="W218" s="283" t="s">
        <v>10</v>
      </c>
      <c r="X218" s="283" t="s">
        <v>10</v>
      </c>
      <c r="Y218" s="281" t="s">
        <v>10</v>
      </c>
      <c r="Z218" s="281" t="s">
        <v>10</v>
      </c>
      <c r="AA218" s="281" t="s">
        <v>10</v>
      </c>
      <c r="AB218" s="281" t="s">
        <v>10</v>
      </c>
      <c r="AC218" s="401">
        <v>387.88</v>
      </c>
      <c r="AD218" s="403" t="s">
        <v>463</v>
      </c>
    </row>
    <row r="219" spans="1:30" ht="15.75" x14ac:dyDescent="0.25">
      <c r="A219" s="683"/>
      <c r="B219" s="278">
        <v>71.8</v>
      </c>
      <c r="C219" s="285" t="s">
        <v>10</v>
      </c>
      <c r="D219" s="280" t="s">
        <v>10</v>
      </c>
      <c r="E219" s="280">
        <f>VLOOKUP(71.7,table_CIA_JCTS,4,FALSE)+VLOOKUP(77.6,table_CIA_INLETS,2,FALSE)</f>
        <v>19.57</v>
      </c>
      <c r="F219" s="281" t="s">
        <v>10</v>
      </c>
      <c r="G219" s="280" t="s">
        <v>10</v>
      </c>
      <c r="H219" s="280">
        <f>VLOOKUP(71.7,table_CIA_JCTS,7,FALSE)+VLOOKUP(77.6,table_CIA_INLETS,5,FALSE)</f>
        <v>9.7850000000000001</v>
      </c>
      <c r="I219" s="280" t="s">
        <v>10</v>
      </c>
      <c r="J219" s="280">
        <f>VLOOKUP(71.7,table_CIA_JCTS,9,FALSE)+VLOOKUP(77.6,table_CIA_INLETS,7,FALSE)</f>
        <v>9.7850000000000001</v>
      </c>
      <c r="K219" s="282" t="s">
        <v>10</v>
      </c>
      <c r="L219" s="283" t="s">
        <v>10</v>
      </c>
      <c r="M219" s="281" t="s">
        <v>10</v>
      </c>
      <c r="N219" s="283" t="s">
        <v>10</v>
      </c>
      <c r="O219" s="283" t="s">
        <v>10</v>
      </c>
      <c r="P219" s="283">
        <f>VLOOKUP(71.7,table_CIA_JCTS,23,FALSE)</f>
        <v>34.766693728617511</v>
      </c>
      <c r="Q219" s="281">
        <f t="shared" si="15"/>
        <v>0.60051977005414858</v>
      </c>
      <c r="R219" s="280">
        <f>J219*Q219</f>
        <v>5.8760859499798439</v>
      </c>
      <c r="S219" s="283">
        <v>18</v>
      </c>
      <c r="T219" s="281">
        <f>(4*R219)/(3.14159*(S219/12)^2)</f>
        <v>3.3251872530108604</v>
      </c>
      <c r="U219" s="282">
        <f>((R219/((0.463135/cell_NP)*((S219/12)^(8/3))))^2)*cell_FF</f>
        <v>3.5990861074082425E-3</v>
      </c>
      <c r="V219" s="346">
        <v>152</v>
      </c>
      <c r="W219" s="283">
        <f>V219/(T219*60)</f>
        <v>0.76186185636296833</v>
      </c>
      <c r="X219" s="283">
        <f>W219+P219</f>
        <v>35.528555584980481</v>
      </c>
      <c r="Y219" s="281">
        <f>U219*V219</f>
        <v>0.54706108832605282</v>
      </c>
      <c r="Z219" s="281">
        <f>IF(VLOOKUP(71.9,table_CIA_JCTS,25,FALSE)+VLOOKUP(71.8,table_CIA_JCTS,24,FALSE)&lt;VLOOKUP(71.8,table_CIA_JCTS,28,FALSE),VLOOKUP(71.8,table_CIA_JCTS,28,FALSE),VLOOKUP(71.9,table_CIA_JCTS,25,FALSE)+VLOOKUP(71.8,table_CIA_JCTS,24,FALSE))</f>
        <v>386.73878572496676</v>
      </c>
      <c r="AA219" s="402">
        <v>395</v>
      </c>
      <c r="AB219" s="281">
        <f>(AA219-0.5)-Z219</f>
        <v>7.7612142750332396</v>
      </c>
      <c r="AC219" s="401">
        <v>386.32</v>
      </c>
      <c r="AD219" s="403" t="s">
        <v>524</v>
      </c>
    </row>
    <row r="220" spans="1:30" ht="15.75" x14ac:dyDescent="0.25">
      <c r="A220" s="683"/>
      <c r="B220" s="278">
        <v>71.900000000000006</v>
      </c>
      <c r="C220" s="285" t="s">
        <v>10</v>
      </c>
      <c r="D220" s="280" t="s">
        <v>10</v>
      </c>
      <c r="E220" s="280">
        <f>VLOOKUP(71.8,table_CIA_JCTS,4,FALSE)+VLOOKUP(71.1,table_CIA_JCTS,4,FALSE)</f>
        <v>509.88000000000011</v>
      </c>
      <c r="F220" s="281" t="s">
        <v>10</v>
      </c>
      <c r="G220" s="280" t="s">
        <v>10</v>
      </c>
      <c r="H220" s="280">
        <f>VLOOKUP(71.8,table_CIA_JCTS,7,FALSE)+VLOOKUP(71.1,table_CIA_JCTS,7,FALSE)</f>
        <v>236.49409999999995</v>
      </c>
      <c r="I220" s="280" t="s">
        <v>10</v>
      </c>
      <c r="J220" s="280">
        <f>VLOOKUP(71.8,table_CIA_JCTS,9,FALSE)+VLOOKUP(71.1,table_CIA_JCTS,9,FALSE)</f>
        <v>256.67097999999999</v>
      </c>
      <c r="K220" s="282" t="s">
        <v>10</v>
      </c>
      <c r="L220" s="283" t="s">
        <v>10</v>
      </c>
      <c r="M220" s="281" t="s">
        <v>10</v>
      </c>
      <c r="N220" s="283" t="s">
        <v>10</v>
      </c>
      <c r="O220" s="283" t="s">
        <v>10</v>
      </c>
      <c r="P220" s="283">
        <f>VLOOKUP(71.1,table_CIA_JCTS,23,FALSE)</f>
        <v>92.993862187934383</v>
      </c>
      <c r="Q220" s="281">
        <f t="shared" si="15"/>
        <v>0.32430806743783047</v>
      </c>
      <c r="R220" s="280">
        <f>IF(J220*Q220&gt;J219*Q219,J220*Q220,J219*Q219)</f>
        <v>83.240469491174025</v>
      </c>
      <c r="S220" s="283">
        <v>54</v>
      </c>
      <c r="T220" s="281">
        <f>(4*R220)/(3.14159*(S220/12)^2)</f>
        <v>5.2338344197682725</v>
      </c>
      <c r="U220" s="282">
        <f>((R220/((0.463135/cell_NP)*((S220/12)^(8/3))))^2)*cell_FF</f>
        <v>2.0608116850450308E-3</v>
      </c>
      <c r="V220" s="346">
        <v>27</v>
      </c>
      <c r="W220" s="283">
        <f>V220/(T220*60)</f>
        <v>8.5979028740447563E-2</v>
      </c>
      <c r="X220" s="283">
        <f>W220+P220</f>
        <v>93.079841216674836</v>
      </c>
      <c r="Y220" s="281">
        <f>U220*V220</f>
        <v>5.5641915496215832E-2</v>
      </c>
      <c r="Z220" s="281">
        <f>IF(VLOOKUP(72,table_CIA_JCTS,25,FALSE)+VLOOKUP(71.9,table_CIA_JCTS,24,FALSE)&lt;VLOOKUP(71.9,table_CIA_JCTS,28,FALSE),VLOOKUP(71.9,table_CIA_JCTS,28,FALSE),VLOOKUP(72,table_CIA_JCTS,25,FALSE)+VLOOKUP(71.9,table_CIA_JCTS,24,FALSE))</f>
        <v>386.19172463664069</v>
      </c>
      <c r="AA220" s="281">
        <v>397</v>
      </c>
      <c r="AB220" s="281">
        <f>(AA220-0.5)-Z220</f>
        <v>10.308275363359314</v>
      </c>
      <c r="AC220" s="401">
        <v>384.96</v>
      </c>
      <c r="AD220" s="403" t="s">
        <v>525</v>
      </c>
    </row>
    <row r="221" spans="1:30" x14ac:dyDescent="0.2">
      <c r="A221" s="684"/>
      <c r="B221" s="278">
        <v>72</v>
      </c>
      <c r="C221" s="285" t="s">
        <v>10</v>
      </c>
      <c r="D221" s="280" t="s">
        <v>10</v>
      </c>
      <c r="E221" s="280">
        <f>VLOOKUP(71.9,table_CIA_JCTS,4,FALSE)</f>
        <v>509.88000000000011</v>
      </c>
      <c r="F221" s="281" t="s">
        <v>10</v>
      </c>
      <c r="G221" s="280" t="s">
        <v>10</v>
      </c>
      <c r="H221" s="280">
        <f>VLOOKUP(71.9,table_CIA_JCTS,7,FALSE)</f>
        <v>236.49409999999995</v>
      </c>
      <c r="I221" s="280" t="s">
        <v>10</v>
      </c>
      <c r="J221" s="280">
        <f>VLOOKUP(71.9,table_CIA_JCTS,9,FALSE)</f>
        <v>256.67097999999999</v>
      </c>
      <c r="K221" s="282" t="s">
        <v>10</v>
      </c>
      <c r="L221" s="283" t="s">
        <v>10</v>
      </c>
      <c r="M221" s="281" t="s">
        <v>10</v>
      </c>
      <c r="N221" s="283" t="s">
        <v>10</v>
      </c>
      <c r="O221" s="283" t="s">
        <v>10</v>
      </c>
      <c r="P221" s="283">
        <f>VLOOKUP(71.9,table_CIA_JCTS,23,FALSE)</f>
        <v>93.079841216674836</v>
      </c>
      <c r="Q221" s="281">
        <f t="shared" si="14"/>
        <v>0.32412044588792466</v>
      </c>
      <c r="R221" s="280">
        <f>R220</f>
        <v>83.240469491174025</v>
      </c>
      <c r="S221" s="283">
        <v>54</v>
      </c>
      <c r="T221" s="281">
        <f>(4*R221)/(3.14159*(S221/12)^2)</f>
        <v>5.2338344197682725</v>
      </c>
      <c r="U221" s="282">
        <f>((R221/((0.463135/cell_NP)*((S221/12)^(8/3))))^2)*cell_FF</f>
        <v>2.0608116850450308E-3</v>
      </c>
      <c r="V221" s="283">
        <v>460</v>
      </c>
      <c r="W221" s="283">
        <f>V221/(T221*60)</f>
        <v>1.464827897059477</v>
      </c>
      <c r="X221" s="283">
        <f>W221+P221</f>
        <v>94.544669113734315</v>
      </c>
      <c r="Y221" s="281">
        <f>U221*V221</f>
        <v>0.94797337512071411</v>
      </c>
      <c r="Z221" s="281">
        <f>IF(VLOOKUP(74,table_CIA_JCTS,25,FALSE)+VLOOKUP(72,table_CIA_JCTS,24,FALSE)&lt;VLOOKUP(72,table_CIA_JCTS,28,FALSE),VLOOKUP(72,table_CIA_JCTS,28,FALSE),VLOOKUP(74,table_CIA_JCTS,25,FALSE)+VLOOKUP(72,table_CIA_JCTS,24,FALSE))</f>
        <v>386.13608272114448</v>
      </c>
      <c r="AA221" s="281">
        <v>397.2</v>
      </c>
      <c r="AB221" s="281">
        <f>(AA221-0.5)-Z221</f>
        <v>10.563917278855513</v>
      </c>
      <c r="AC221" s="284">
        <v>384.92</v>
      </c>
      <c r="AD221" t="s">
        <v>10</v>
      </c>
    </row>
    <row r="222" spans="1:30" x14ac:dyDescent="0.2">
      <c r="B222" s="216">
        <v>74</v>
      </c>
      <c r="C222" s="217" t="s">
        <v>10</v>
      </c>
      <c r="D222" s="54" t="s">
        <v>10</v>
      </c>
      <c r="E222" s="54">
        <f>VLOOKUP(72,table_CIA_JCTS,4,FALSE)</f>
        <v>509.88000000000011</v>
      </c>
      <c r="F222" s="55" t="s">
        <v>10</v>
      </c>
      <c r="G222" s="54" t="s">
        <v>10</v>
      </c>
      <c r="H222" s="54">
        <f>VLOOKUP(72,table_CIA_JCTS,7,FALSE)</f>
        <v>236.49409999999995</v>
      </c>
      <c r="I222" s="54" t="s">
        <v>10</v>
      </c>
      <c r="J222" s="54">
        <f>VLOOKUP(72,table_CIA_JCTS,9,FALSE)</f>
        <v>256.67097999999999</v>
      </c>
      <c r="K222" s="56" t="s">
        <v>10</v>
      </c>
      <c r="L222" s="53" t="s">
        <v>10</v>
      </c>
      <c r="M222" s="55" t="s">
        <v>10</v>
      </c>
      <c r="N222" s="53" t="s">
        <v>10</v>
      </c>
      <c r="O222" s="53" t="s">
        <v>10</v>
      </c>
      <c r="P222" s="53">
        <f>VLOOKUP(72,table_CIA_JCTS,23,FALSE)</f>
        <v>94.544669113734315</v>
      </c>
      <c r="Q222" s="55">
        <f t="shared" si="14"/>
        <v>0.3209666483407832</v>
      </c>
      <c r="R222" s="54">
        <f>R220</f>
        <v>83.240469491174025</v>
      </c>
      <c r="S222" s="53">
        <v>54</v>
      </c>
      <c r="T222" s="55">
        <f>(4*R222)/(3.14159*(S222/12)^2)</f>
        <v>5.2338344197682725</v>
      </c>
      <c r="U222" s="56">
        <f>((R222/((0.463135/cell_NP)*((S222/12)^(8/3))))^2)*cell_FF</f>
        <v>2.0608116850450308E-3</v>
      </c>
      <c r="V222" s="53">
        <v>1008</v>
      </c>
      <c r="W222" s="53">
        <f>V222/(T222*60)</f>
        <v>3.2098837396433759</v>
      </c>
      <c r="X222" s="53">
        <f>W222+P222</f>
        <v>97.754552853377689</v>
      </c>
      <c r="Y222" s="55">
        <f>U222*V222</f>
        <v>2.0772981785253908</v>
      </c>
      <c r="Z222" s="55">
        <f>IF(VLOOKUP(75,table_CIA_JCTS,25,FALSE)+VLOOKUP(74,table_CIA_JCTS,24,FALSE)&lt;VLOOKUP(74,table_CIA_JCTS,28,FALSE),VLOOKUP(74,table_CIA_JCTS,28,FALSE),VLOOKUP(75,table_CIA_JCTS,25,FALSE)+VLOOKUP(74,table_CIA_JCTS,24,FALSE))</f>
        <v>385.18810934602374</v>
      </c>
      <c r="AA222" s="55">
        <v>395.18</v>
      </c>
      <c r="AB222" s="55">
        <f>(AA222-0.5)-Z222</f>
        <v>9.4918906539762702</v>
      </c>
      <c r="AC222" s="57">
        <v>384.11</v>
      </c>
      <c r="AD222" t="s">
        <v>10</v>
      </c>
    </row>
    <row r="223" spans="1:30" x14ac:dyDescent="0.2">
      <c r="B223" s="216" t="s">
        <v>10</v>
      </c>
      <c r="C223" s="215">
        <v>79</v>
      </c>
      <c r="D223" s="54">
        <f>VLOOKUP(C223,table_DI,2)</f>
        <v>9.57</v>
      </c>
      <c r="E223" s="54" t="s">
        <v>10</v>
      </c>
      <c r="F223" s="55">
        <f>VLOOKUP(C223,table_DI,5)</f>
        <v>0.31899686520376175</v>
      </c>
      <c r="G223" s="54">
        <f>VLOOKUP(C223,table_DI,3)</f>
        <v>2.7753000000000001</v>
      </c>
      <c r="H223" s="54" t="s">
        <v>10</v>
      </c>
      <c r="I223" s="54">
        <f>VLOOKUP(C223,table_DI,4)</f>
        <v>3.0528</v>
      </c>
      <c r="J223" s="54" t="s">
        <v>10</v>
      </c>
      <c r="K223" s="56">
        <f>VLOOKUP(C223,table_DI,9)</f>
        <v>1.9952352590828009E-3</v>
      </c>
      <c r="L223" s="53">
        <f>VLOOKUP(C223,table_DI,8)</f>
        <v>1679</v>
      </c>
      <c r="M223" s="55">
        <f>(0.84*(K223^0.5)*(cell_GUTDEP^0.6666)/cell_NRD)</f>
        <v>1.3152682477953268</v>
      </c>
      <c r="N223" s="53">
        <f>VLOOKUP(C223,table_DI,10)</f>
        <v>25</v>
      </c>
      <c r="O223" s="53">
        <f>(L223/(M223*60))</f>
        <v>21.275761336320127</v>
      </c>
      <c r="P223" s="53">
        <f>N223+O223</f>
        <v>46.27576133632013</v>
      </c>
      <c r="Q223" s="55">
        <f t="shared" si="14"/>
        <v>0.50206438909090223</v>
      </c>
      <c r="R223" s="54">
        <f>Q223*I223</f>
        <v>1.5327021670167063</v>
      </c>
      <c r="S223" s="53" t="s">
        <v>10</v>
      </c>
      <c r="T223" s="55" t="s">
        <v>10</v>
      </c>
      <c r="U223" s="56" t="s">
        <v>10</v>
      </c>
      <c r="V223" s="53" t="s">
        <v>10</v>
      </c>
      <c r="W223" s="53" t="s">
        <v>10</v>
      </c>
      <c r="X223" s="53" t="s">
        <v>10</v>
      </c>
      <c r="Y223" s="55" t="s">
        <v>10</v>
      </c>
      <c r="Z223" s="55" t="s">
        <v>10</v>
      </c>
      <c r="AA223" s="55" t="s">
        <v>10</v>
      </c>
      <c r="AB223" s="55" t="s">
        <v>10</v>
      </c>
      <c r="AC223" s="57" t="s">
        <v>10</v>
      </c>
      <c r="AD223" t="s">
        <v>10</v>
      </c>
    </row>
    <row r="224" spans="1:30" x14ac:dyDescent="0.2">
      <c r="B224" s="216" t="s">
        <v>10</v>
      </c>
      <c r="C224" s="215">
        <v>80</v>
      </c>
      <c r="D224" s="54">
        <f>VLOOKUP(C224,table_DI,2)</f>
        <v>8.02</v>
      </c>
      <c r="E224" s="54" t="s">
        <v>10</v>
      </c>
      <c r="F224" s="55">
        <f>VLOOKUP(C224,table_DI,5)</f>
        <v>0.31920199501246888</v>
      </c>
      <c r="G224" s="54">
        <f>VLOOKUP(C224,table_DI,3)</f>
        <v>2.33</v>
      </c>
      <c r="H224" s="54" t="s">
        <v>10</v>
      </c>
      <c r="I224" s="54">
        <f>VLOOKUP(C224,table_DI,4)</f>
        <v>2.56</v>
      </c>
      <c r="J224" s="54" t="s">
        <v>10</v>
      </c>
      <c r="K224" s="56">
        <f>VLOOKUP(C224,table_DI,9)</f>
        <v>1.8453608247422891E-3</v>
      </c>
      <c r="L224" s="53">
        <f>VLOOKUP(C224,table_DI,8)</f>
        <v>1940</v>
      </c>
      <c r="M224" s="55">
        <f>(0.84*(K224^0.5)*(cell_GUTDEP^0.6666)/cell_NRD)</f>
        <v>1.2649050566652607</v>
      </c>
      <c r="N224" s="53">
        <f>VLOOKUP(C224,table_DI,10)</f>
        <v>25</v>
      </c>
      <c r="O224" s="53">
        <f>(L224/(M224*60))</f>
        <v>25.561865819854884</v>
      </c>
      <c r="P224" s="53">
        <f>N224+O224</f>
        <v>50.561865819854887</v>
      </c>
      <c r="Q224" s="55">
        <f t="shared" si="14"/>
        <v>0.47497396544870391</v>
      </c>
      <c r="R224" s="54">
        <f>Q224*I224</f>
        <v>1.2159333515486821</v>
      </c>
      <c r="S224" s="53" t="s">
        <v>10</v>
      </c>
      <c r="T224" s="55" t="s">
        <v>10</v>
      </c>
      <c r="U224" s="56" t="s">
        <v>10</v>
      </c>
      <c r="V224" s="53" t="s">
        <v>10</v>
      </c>
      <c r="W224" s="53" t="s">
        <v>10</v>
      </c>
      <c r="X224" s="53" t="s">
        <v>10</v>
      </c>
      <c r="Y224" s="55" t="s">
        <v>10</v>
      </c>
      <c r="Z224" s="55" t="s">
        <v>10</v>
      </c>
      <c r="AA224" s="55" t="s">
        <v>10</v>
      </c>
      <c r="AB224" s="55" t="s">
        <v>10</v>
      </c>
      <c r="AC224" s="57" t="s">
        <v>10</v>
      </c>
      <c r="AD224" t="s">
        <v>10</v>
      </c>
    </row>
    <row r="225" spans="2:30" x14ac:dyDescent="0.2">
      <c r="B225" s="216" t="s">
        <v>10</v>
      </c>
      <c r="C225" s="215">
        <v>81</v>
      </c>
      <c r="D225" s="54">
        <f>VLOOKUP(C225,table_DI,2)</f>
        <v>4.33</v>
      </c>
      <c r="E225" s="54" t="s">
        <v>10</v>
      </c>
      <c r="F225" s="55">
        <f>VLOOKUP(C225,table_DI,5)</f>
        <v>0.37046189376443422</v>
      </c>
      <c r="G225" s="54">
        <f>VLOOKUP(C225,table_DI,3)</f>
        <v>1.4910000000000001</v>
      </c>
      <c r="H225" s="54" t="s">
        <v>10</v>
      </c>
      <c r="I225" s="54">
        <f>VLOOKUP(C225,table_DI,4)</f>
        <v>1.6041000000000003</v>
      </c>
      <c r="J225" s="54" t="s">
        <v>10</v>
      </c>
      <c r="K225" s="56">
        <f>VLOOKUP(C225,table_DI,9)</f>
        <v>2.8371710526315696E-3</v>
      </c>
      <c r="L225" s="53">
        <f>VLOOKUP(C225,table_DI,8)</f>
        <v>1216</v>
      </c>
      <c r="M225" s="55">
        <f>(0.84*(K225^0.5)*(cell_GUTDEP^0.6666)/cell_NRD)</f>
        <v>1.5684115810897661</v>
      </c>
      <c r="N225" s="53">
        <f>VLOOKUP(C225,table_DI,10)</f>
        <v>25</v>
      </c>
      <c r="O225" s="53">
        <f>(L225/(M225*60))</f>
        <v>12.921778257072644</v>
      </c>
      <c r="P225" s="53">
        <f>N225+O225</f>
        <v>37.921778257072646</v>
      </c>
      <c r="Q225" s="55">
        <f t="shared" si="14"/>
        <v>0.56872684085799419</v>
      </c>
      <c r="R225" s="54">
        <f>Q225*I225</f>
        <v>0.91229472542030865</v>
      </c>
      <c r="S225" s="53" t="s">
        <v>10</v>
      </c>
      <c r="T225" s="55" t="s">
        <v>10</v>
      </c>
      <c r="U225" s="56" t="s">
        <v>10</v>
      </c>
      <c r="V225" s="53" t="s">
        <v>10</v>
      </c>
      <c r="W225" s="53" t="s">
        <v>10</v>
      </c>
      <c r="X225" s="53" t="s">
        <v>10</v>
      </c>
      <c r="Y225" s="55" t="s">
        <v>10</v>
      </c>
      <c r="Z225" s="55" t="s">
        <v>10</v>
      </c>
      <c r="AA225" s="55" t="s">
        <v>10</v>
      </c>
      <c r="AB225" s="55" t="s">
        <v>10</v>
      </c>
      <c r="AC225" s="57" t="s">
        <v>10</v>
      </c>
      <c r="AD225" t="s">
        <v>10</v>
      </c>
    </row>
    <row r="226" spans="2:30" x14ac:dyDescent="0.2">
      <c r="B226" s="216">
        <v>75</v>
      </c>
      <c r="C226" s="217" t="s">
        <v>10</v>
      </c>
      <c r="D226" s="54" t="s">
        <v>10</v>
      </c>
      <c r="E226" s="54">
        <f>VLOOKUP(74,table_CIA_JCTS,4,FALSE)+VLOOKUP(79,table_CIA_INLETS,2,FALSE)+VLOOKUP(80,table_CIA_INLETS,2,FALSE)+VLOOKUP(81,table_CIA_INLETS,2,FALSE)</f>
        <v>531.80000000000018</v>
      </c>
      <c r="F226" s="55" t="s">
        <v>10</v>
      </c>
      <c r="G226" s="54" t="s">
        <v>10</v>
      </c>
      <c r="H226" s="54">
        <f>VLOOKUP(74,table_CIA_JCTS,7,FALSE)+VLOOKUP(79,table_CIA_INLETS,5,FALSE)+VLOOKUP(80,table_CIA_INLETS,5,FALSE)+VLOOKUP(81,table_CIA_INLETS,5,FALSE)</f>
        <v>243.09039999999996</v>
      </c>
      <c r="I226" s="54" t="s">
        <v>10</v>
      </c>
      <c r="J226" s="54">
        <f>VLOOKUP(74,table_CIA_JCTS,9,FALSE)+VLOOKUP(79,table_CIA_INLETS,7,FALSE)+VLOOKUP(80,table_CIA_INLETS,7,FALSE)+VLOOKUP(81,table_CIA_INLETS,7,FALSE)</f>
        <v>263.88788</v>
      </c>
      <c r="K226" s="56" t="s">
        <v>10</v>
      </c>
      <c r="L226" s="53" t="s">
        <v>10</v>
      </c>
      <c r="M226" s="55" t="s">
        <v>10</v>
      </c>
      <c r="N226" s="53" t="s">
        <v>10</v>
      </c>
      <c r="O226" s="53" t="s">
        <v>10</v>
      </c>
      <c r="P226" s="53">
        <f>VLOOKUP(74,table_CIA_JCTS,23,FALSE)</f>
        <v>97.754552853377689</v>
      </c>
      <c r="Q226" s="55">
        <f t="shared" si="14"/>
        <v>0.31432580770520752</v>
      </c>
      <c r="R226" s="54">
        <f>IF(R222&gt;J226*Q226,R222,J226*Q226)</f>
        <v>83.240469491174025</v>
      </c>
      <c r="S226" s="53">
        <v>54</v>
      </c>
      <c r="T226" s="55">
        <f>(4*R226)/(3.14159*(S226/12)^2)</f>
        <v>5.2338344197682725</v>
      </c>
      <c r="U226" s="56">
        <f>((R226/((0.463135/cell_NP)*((S226/12)^(8/3))))^2)*cell_FF</f>
        <v>2.0608116850450308E-3</v>
      </c>
      <c r="V226" s="53">
        <v>408</v>
      </c>
      <c r="W226" s="53">
        <f>V226/(T226*60)</f>
        <v>1.2992386565223188</v>
      </c>
      <c r="X226" s="53">
        <f>W226+P226</f>
        <v>99.053791509900009</v>
      </c>
      <c r="Y226" s="55">
        <f>U226*V226</f>
        <v>0.84081116749837259</v>
      </c>
      <c r="Z226" s="55">
        <f>IF(VLOOKUP(cell_BASIN,table_CIA_JCTS,25,FALSE)+VLOOKUP(75,table_CIA_JCTS,24,FALSE)&lt;VLOOKUP(75,table_CIA_JCTS,28,FALSE),VLOOKUP(75,table_CIA_JCTS,28,FALSE),VLOOKUP(cell_BASIN,table_CIA_JCTS,25,FALSE)+VLOOKUP(75,table_CIA_JCTS,24,FALSE))</f>
        <v>383.11081116749835</v>
      </c>
      <c r="AA226" s="55">
        <v>392.24</v>
      </c>
      <c r="AB226" s="55">
        <f>(AA226-0.5)-Z226</f>
        <v>8.6291888325016544</v>
      </c>
      <c r="AC226" s="57">
        <v>382.48</v>
      </c>
      <c r="AD226" t="s">
        <v>10</v>
      </c>
    </row>
    <row r="227" spans="2:30" x14ac:dyDescent="0.2">
      <c r="B227" s="216" t="s">
        <v>10</v>
      </c>
      <c r="C227" s="217" t="s">
        <v>10</v>
      </c>
      <c r="D227" s="54" t="s">
        <v>10</v>
      </c>
      <c r="E227" s="54" t="s">
        <v>10</v>
      </c>
      <c r="F227" s="55" t="s">
        <v>10</v>
      </c>
      <c r="G227" s="54" t="s">
        <v>10</v>
      </c>
      <c r="H227" s="54" t="s">
        <v>10</v>
      </c>
      <c r="I227" s="54" t="s">
        <v>10</v>
      </c>
      <c r="J227" s="54" t="s">
        <v>10</v>
      </c>
      <c r="K227" s="56" t="s">
        <v>10</v>
      </c>
      <c r="L227" s="53" t="s">
        <v>10</v>
      </c>
      <c r="M227" s="55" t="s">
        <v>10</v>
      </c>
      <c r="N227" s="53" t="s">
        <v>10</v>
      </c>
      <c r="O227" s="53" t="s">
        <v>10</v>
      </c>
      <c r="P227" s="53" t="s">
        <v>10</v>
      </c>
      <c r="Q227" s="55" t="s">
        <v>10</v>
      </c>
      <c r="R227" s="54" t="s">
        <v>10</v>
      </c>
      <c r="S227" s="53" t="s">
        <v>10</v>
      </c>
      <c r="T227" s="55" t="s">
        <v>10</v>
      </c>
      <c r="U227" s="56" t="s">
        <v>10</v>
      </c>
      <c r="V227" s="53" t="s">
        <v>10</v>
      </c>
      <c r="W227" s="53" t="s">
        <v>10</v>
      </c>
      <c r="X227" s="53" t="s">
        <v>10</v>
      </c>
      <c r="Y227" s="55" t="s">
        <v>10</v>
      </c>
      <c r="Z227" s="55" t="s">
        <v>10</v>
      </c>
      <c r="AA227" s="55" t="s">
        <v>10</v>
      </c>
      <c r="AB227" s="55" t="s">
        <v>10</v>
      </c>
      <c r="AC227" s="57" t="s">
        <v>10</v>
      </c>
      <c r="AD227" t="s">
        <v>10</v>
      </c>
    </row>
    <row r="228" spans="2:30" x14ac:dyDescent="0.2">
      <c r="B228" s="216" t="s">
        <v>10</v>
      </c>
      <c r="C228" s="215">
        <v>82</v>
      </c>
      <c r="D228" s="54">
        <f>VLOOKUP(C228,table_DI,2)</f>
        <v>0.57999999999999996</v>
      </c>
      <c r="E228" s="54" t="s">
        <v>10</v>
      </c>
      <c r="F228" s="55">
        <f>VLOOKUP(C228,table_DI,5)</f>
        <v>0.90000000000000013</v>
      </c>
      <c r="G228" s="54">
        <f>VLOOKUP(C228,table_DI,3)</f>
        <v>0.52200000000000002</v>
      </c>
      <c r="H228" s="54" t="s">
        <v>10</v>
      </c>
      <c r="I228" s="54">
        <f>VLOOKUP(C228,table_DI,4)</f>
        <v>0.52200000000000002</v>
      </c>
      <c r="J228" s="54" t="s">
        <v>10</v>
      </c>
      <c r="K228" s="56">
        <f>VLOOKUP(C228,table_DI,9)</f>
        <v>3.3668341708543515E-3</v>
      </c>
      <c r="L228" s="53">
        <f>VLOOKUP(C228,table_DI,8)</f>
        <v>398</v>
      </c>
      <c r="M228" s="55">
        <f>(0.84*(K228^0.5)*(cell_GUTDEP^0.6666)/cell_NRD)</f>
        <v>1.7085517733430819</v>
      </c>
      <c r="N228" s="53">
        <f>VLOOKUP(C228,table_DI,10)</f>
        <v>5</v>
      </c>
      <c r="O228" s="53">
        <f>(L228/(M228*60))</f>
        <v>3.8824303932880246</v>
      </c>
      <c r="P228" s="53">
        <f>N228+O228</f>
        <v>8.8824303932880255</v>
      </c>
      <c r="Q228" s="55">
        <f>cell_P*(P228^cell_E)</f>
        <v>1.4113450498376743</v>
      </c>
      <c r="R228" s="54">
        <f>Q228*I228</f>
        <v>0.73672211601526605</v>
      </c>
      <c r="S228" s="53" t="s">
        <v>10</v>
      </c>
      <c r="T228" s="55" t="s">
        <v>10</v>
      </c>
      <c r="U228" s="56" t="s">
        <v>10</v>
      </c>
      <c r="V228" s="53" t="s">
        <v>10</v>
      </c>
      <c r="W228" s="53" t="s">
        <v>10</v>
      </c>
      <c r="X228" s="53" t="s">
        <v>10</v>
      </c>
      <c r="Y228" s="55" t="s">
        <v>10</v>
      </c>
      <c r="Z228" s="55" t="s">
        <v>10</v>
      </c>
      <c r="AA228" s="55" t="s">
        <v>10</v>
      </c>
      <c r="AB228" s="55" t="s">
        <v>10</v>
      </c>
      <c r="AC228" s="57" t="s">
        <v>10</v>
      </c>
      <c r="AD228" t="s">
        <v>10</v>
      </c>
    </row>
    <row r="229" spans="2:30" x14ac:dyDescent="0.2">
      <c r="B229" s="216">
        <v>76</v>
      </c>
      <c r="C229" s="217" t="s">
        <v>10</v>
      </c>
      <c r="D229" s="54" t="s">
        <v>10</v>
      </c>
      <c r="E229" s="54">
        <f>VLOOKUP(82,table_CIA_INLETS,2,FALSE)</f>
        <v>0.57999999999999996</v>
      </c>
      <c r="F229" s="55" t="s">
        <v>10</v>
      </c>
      <c r="G229" s="54" t="s">
        <v>10</v>
      </c>
      <c r="H229" s="54">
        <f>VLOOKUP(82,table_CIA_INLETS,5,FALSE)</f>
        <v>0.52200000000000002</v>
      </c>
      <c r="I229" s="54" t="s">
        <v>10</v>
      </c>
      <c r="J229" s="54">
        <f>VLOOKUP(82,table_CIA_INLETS,7,FALSE)</f>
        <v>0.52200000000000002</v>
      </c>
      <c r="K229" s="56" t="s">
        <v>10</v>
      </c>
      <c r="L229" s="53" t="s">
        <v>10</v>
      </c>
      <c r="M229" s="55" t="s">
        <v>10</v>
      </c>
      <c r="N229" s="53" t="s">
        <v>10</v>
      </c>
      <c r="O229" s="53" t="s">
        <v>10</v>
      </c>
      <c r="P229" s="53">
        <f>VLOOKUP(82,table_CIA_INLETS,14,FALSE)</f>
        <v>8.8824303932880255</v>
      </c>
      <c r="Q229" s="55">
        <f>cell_P*(P229^cell_E)</f>
        <v>1.4113450498376743</v>
      </c>
      <c r="R229" s="54">
        <f>J229*Q229</f>
        <v>0.73672211601526605</v>
      </c>
      <c r="S229" s="53">
        <v>15</v>
      </c>
      <c r="T229" s="55">
        <f>(4*R229)/(3.14159*(S229/12)^2)</f>
        <v>0.60033569530049469</v>
      </c>
      <c r="U229" s="56">
        <f>((R229/((0.463135/cell_NP)*((S229/12)^(8/3))))^2)*cell_FF</f>
        <v>1.495971609384182E-4</v>
      </c>
      <c r="V229" s="53">
        <v>155</v>
      </c>
      <c r="W229" s="53">
        <f>V229/(T229*60)</f>
        <v>4.3031479779663275</v>
      </c>
      <c r="X229" s="53">
        <f>W229+P229</f>
        <v>13.185578371254353</v>
      </c>
      <c r="Y229" s="55">
        <f>U229*V229</f>
        <v>2.3187559945454822E-2</v>
      </c>
      <c r="Z229" s="55">
        <f>IF(VLOOKUP(77,table_CIA_JCTS,25,FALSE)+VLOOKUP(76,table_CIA_JCTS,24,FALSE)&lt;VLOOKUP(76,table_CIA_JCTS,28,FALSE),VLOOKUP(76,table_CIA_JCTS,28,FALSE),VLOOKUP(77,table_CIA_JCTS,25,FALSE)+VLOOKUP(76,table_CIA_JCTS,24,FALSE))</f>
        <v>385.56</v>
      </c>
      <c r="AA229" s="55">
        <v>391.26</v>
      </c>
      <c r="AB229" s="55">
        <f>(AA229-0.5)-Z229</f>
        <v>5.1999999999999886</v>
      </c>
      <c r="AC229" s="57">
        <v>385.56</v>
      </c>
      <c r="AD229" t="s">
        <v>10</v>
      </c>
    </row>
    <row r="230" spans="2:30" x14ac:dyDescent="0.2">
      <c r="B230" s="216">
        <v>77</v>
      </c>
      <c r="C230" s="217" t="s">
        <v>10</v>
      </c>
      <c r="D230" s="54" t="s">
        <v>10</v>
      </c>
      <c r="E230" s="54">
        <f>VLOOKUP(75,table_CIA_JCTS,4,FALSE)+VLOOKUP(76,table_CIA_JCTS,4,FALSE)</f>
        <v>532.38000000000022</v>
      </c>
      <c r="F230" s="55" t="s">
        <v>10</v>
      </c>
      <c r="G230" s="54" t="s">
        <v>10</v>
      </c>
      <c r="H230" s="54">
        <f>VLOOKUP(75,table_CIA_JCTS,7,FALSE)+VLOOKUP(76,table_CIA_JCTS,7,FALSE)</f>
        <v>243.61239999999995</v>
      </c>
      <c r="I230" s="54" t="s">
        <v>10</v>
      </c>
      <c r="J230" s="54">
        <f>VLOOKUP(75,table_CIA_JCTS,9,FALSE)+VLOOKUP(76,table_CIA_JCTS,9,FALSE)</f>
        <v>264.40987999999999</v>
      </c>
      <c r="K230" s="56" t="s">
        <v>10</v>
      </c>
      <c r="L230" s="53" t="s">
        <v>10</v>
      </c>
      <c r="M230" s="55" t="s">
        <v>10</v>
      </c>
      <c r="N230" s="53" t="s">
        <v>10</v>
      </c>
      <c r="O230" s="53" t="s">
        <v>10</v>
      </c>
      <c r="P230" s="53">
        <f>VLOOKUP(75,table_CIA_JCTS,23,FALSE)</f>
        <v>99.053791509900009</v>
      </c>
      <c r="Q230" s="55">
        <f>cell_P*(P230^cell_E)</f>
        <v>0.31173770968176262</v>
      </c>
      <c r="R230" s="54">
        <f>J230*Q230</f>
        <v>82.426530408429684</v>
      </c>
      <c r="S230" s="53">
        <v>54</v>
      </c>
      <c r="T230" s="55">
        <f>(4*R230)/(3.14159*(S230/12)^2)</f>
        <v>5.1826571208786545</v>
      </c>
      <c r="U230" s="56">
        <f>((R230/((0.463135/cell_NP)*((S230/12)^(8/3))))^2)*cell_FF</f>
        <v>2.0207068092109931E-3</v>
      </c>
      <c r="V230" s="53">
        <v>236</v>
      </c>
      <c r="W230" s="53">
        <f>V230/(T230*60)</f>
        <v>0.75894145446891659</v>
      </c>
      <c r="X230" s="53">
        <f>W230+P230</f>
        <v>99.812732964368919</v>
      </c>
      <c r="Y230" s="55">
        <f>U230*V230</f>
        <v>0.47688680697379437</v>
      </c>
      <c r="Z230" s="55">
        <f>IF(VLOOKUP(cell_BASIN,table_CIA_JCTS,25,FALSE)+VLOOKUP(77,table_CIA_JCTS,24,FALSE)&lt;VLOOKUP(77,table_CIA_JCTS,28,FALSE),VLOOKUP(77,table_CIA_JCTS,28,FALSE),VLOOKUP(cell_BASIN,table_CIA_JCTS,25,FALSE)+VLOOKUP(77,table_CIA_JCTS,24,FALSE))</f>
        <v>382.74688680697375</v>
      </c>
      <c r="AA230" s="55">
        <v>392</v>
      </c>
      <c r="AB230" s="55">
        <f>(AA230-0.5)-Z230</f>
        <v>8.7531131930262518</v>
      </c>
      <c r="AC230" s="57">
        <v>382.08</v>
      </c>
      <c r="AD230" t="s">
        <v>10</v>
      </c>
    </row>
    <row r="231" spans="2:30" x14ac:dyDescent="0.2">
      <c r="B231" s="216" t="s">
        <v>10</v>
      </c>
      <c r="C231" s="217" t="s">
        <v>10</v>
      </c>
      <c r="D231" s="54" t="s">
        <v>10</v>
      </c>
      <c r="E231" s="54" t="s">
        <v>10</v>
      </c>
      <c r="F231" s="55" t="s">
        <v>10</v>
      </c>
      <c r="G231" s="54" t="s">
        <v>10</v>
      </c>
      <c r="H231" s="54" t="s">
        <v>10</v>
      </c>
      <c r="I231" s="54" t="s">
        <v>10</v>
      </c>
      <c r="J231" s="54" t="s">
        <v>10</v>
      </c>
      <c r="K231" s="56" t="s">
        <v>10</v>
      </c>
      <c r="L231" s="53" t="s">
        <v>10</v>
      </c>
      <c r="M231" s="55" t="s">
        <v>10</v>
      </c>
      <c r="N231" s="53" t="s">
        <v>10</v>
      </c>
      <c r="O231" s="53" t="s">
        <v>10</v>
      </c>
      <c r="P231" s="53" t="s">
        <v>10</v>
      </c>
      <c r="Q231" s="55" t="s">
        <v>10</v>
      </c>
      <c r="R231" s="54" t="s">
        <v>10</v>
      </c>
      <c r="S231" s="53" t="s">
        <v>10</v>
      </c>
      <c r="T231" s="55" t="s">
        <v>10</v>
      </c>
      <c r="U231" s="56" t="s">
        <v>10</v>
      </c>
      <c r="V231" s="53" t="s">
        <v>10</v>
      </c>
      <c r="W231" s="53" t="s">
        <v>10</v>
      </c>
      <c r="X231" s="53" t="s">
        <v>10</v>
      </c>
      <c r="Y231" s="55" t="s">
        <v>10</v>
      </c>
      <c r="Z231" s="55" t="s">
        <v>10</v>
      </c>
      <c r="AA231" s="55" t="s">
        <v>10</v>
      </c>
      <c r="AB231" s="55" t="s">
        <v>10</v>
      </c>
      <c r="AC231" s="57" t="s">
        <v>10</v>
      </c>
      <c r="AD231" t="s">
        <v>10</v>
      </c>
    </row>
    <row r="232" spans="2:30" x14ac:dyDescent="0.2">
      <c r="B232" s="216" t="s">
        <v>260</v>
      </c>
      <c r="C232" s="217" t="s">
        <v>10</v>
      </c>
      <c r="D232" s="54" t="s">
        <v>10</v>
      </c>
      <c r="E232" s="54" t="s">
        <v>10</v>
      </c>
      <c r="F232" s="55" t="s">
        <v>10</v>
      </c>
      <c r="G232" s="54" t="s">
        <v>10</v>
      </c>
      <c r="H232" s="54" t="s">
        <v>10</v>
      </c>
      <c r="I232" s="54" t="s">
        <v>10</v>
      </c>
      <c r="J232" s="54" t="s">
        <v>10</v>
      </c>
      <c r="K232" s="56" t="s">
        <v>10</v>
      </c>
      <c r="L232" s="53" t="s">
        <v>10</v>
      </c>
      <c r="M232" s="55" t="s">
        <v>10</v>
      </c>
      <c r="N232" s="53" t="s">
        <v>10</v>
      </c>
      <c r="O232" s="53" t="s">
        <v>10</v>
      </c>
      <c r="P232" s="53" t="s">
        <v>10</v>
      </c>
      <c r="Q232" s="55" t="s">
        <v>10</v>
      </c>
      <c r="R232" s="54" t="s">
        <v>10</v>
      </c>
      <c r="S232" s="53" t="s">
        <v>10</v>
      </c>
      <c r="T232" s="55" t="s">
        <v>10</v>
      </c>
      <c r="U232" s="56" t="s">
        <v>10</v>
      </c>
      <c r="V232" s="53" t="s">
        <v>10</v>
      </c>
      <c r="W232" s="53" t="s">
        <v>10</v>
      </c>
      <c r="X232" s="53" t="s">
        <v>10</v>
      </c>
      <c r="Y232" s="55" t="s">
        <v>10</v>
      </c>
      <c r="Z232" s="55">
        <f>(cell_HGL)</f>
        <v>382.27</v>
      </c>
      <c r="AA232" s="55" t="s">
        <v>10</v>
      </c>
      <c r="AB232" s="55" t="s">
        <v>10</v>
      </c>
      <c r="AC232" s="57" t="s">
        <v>10</v>
      </c>
      <c r="AD232" t="s">
        <v>10</v>
      </c>
    </row>
    <row r="233" spans="2:30" x14ac:dyDescent="0.2">
      <c r="B233" s="216" t="s">
        <v>10</v>
      </c>
      <c r="C233" s="217" t="s">
        <v>10</v>
      </c>
      <c r="D233" s="54" t="s">
        <v>10</v>
      </c>
      <c r="E233" s="54" t="s">
        <v>10</v>
      </c>
      <c r="F233" s="55" t="s">
        <v>10</v>
      </c>
      <c r="G233" s="54" t="s">
        <v>10</v>
      </c>
      <c r="H233" s="54" t="s">
        <v>10</v>
      </c>
      <c r="I233" s="54" t="s">
        <v>10</v>
      </c>
      <c r="J233" s="54" t="s">
        <v>10</v>
      </c>
      <c r="K233" s="56" t="s">
        <v>10</v>
      </c>
      <c r="L233" s="53" t="s">
        <v>10</v>
      </c>
      <c r="M233" s="55" t="s">
        <v>10</v>
      </c>
      <c r="N233" s="53" t="s">
        <v>10</v>
      </c>
      <c r="O233" s="53" t="s">
        <v>10</v>
      </c>
      <c r="P233" s="53" t="s">
        <v>10</v>
      </c>
      <c r="Q233" s="55" t="s">
        <v>10</v>
      </c>
      <c r="R233" s="54" t="s">
        <v>10</v>
      </c>
      <c r="S233" s="53" t="s">
        <v>10</v>
      </c>
      <c r="T233" s="55" t="s">
        <v>10</v>
      </c>
      <c r="U233" s="56" t="s">
        <v>10</v>
      </c>
      <c r="V233" s="53" t="s">
        <v>10</v>
      </c>
      <c r="W233" s="53" t="s">
        <v>10</v>
      </c>
      <c r="X233" s="53" t="s">
        <v>10</v>
      </c>
      <c r="Y233" s="55" t="s">
        <v>10</v>
      </c>
      <c r="Z233" s="55" t="s">
        <v>10</v>
      </c>
      <c r="AA233" s="55" t="s">
        <v>10</v>
      </c>
      <c r="AB233" s="55" t="s">
        <v>10</v>
      </c>
      <c r="AC233" s="57" t="s">
        <v>10</v>
      </c>
      <c r="AD233" t="s">
        <v>10</v>
      </c>
    </row>
    <row r="234" spans="2:30" x14ac:dyDescent="0.2">
      <c r="B234" s="216" t="s">
        <v>10</v>
      </c>
      <c r="C234" s="215">
        <v>83</v>
      </c>
      <c r="D234" s="54">
        <f>VLOOKUP(C234,table_DI,2)</f>
        <v>17.22</v>
      </c>
      <c r="E234" s="54" t="s">
        <v>10</v>
      </c>
      <c r="F234" s="55">
        <f>VLOOKUP(C234,table_DI,5)</f>
        <v>0.35000000000000003</v>
      </c>
      <c r="G234" s="54">
        <f>VLOOKUP(C234,table_DI,3)</f>
        <v>5.5103999999999997</v>
      </c>
      <c r="H234" s="54" t="s">
        <v>10</v>
      </c>
      <c r="I234" s="54">
        <f>VLOOKUP(C234,table_DI,4)</f>
        <v>6.0270000000000001</v>
      </c>
      <c r="J234" s="54" t="s">
        <v>10</v>
      </c>
      <c r="K234" s="56">
        <f>VLOOKUP(C234,table_DI,9)</f>
        <v>2.9530516431924979E-3</v>
      </c>
      <c r="L234" s="53">
        <f>VLOOKUP(C234,table_DI,8)</f>
        <v>2130</v>
      </c>
      <c r="M234" s="55">
        <f>(0.84*(K234^0.5)*(cell_GUTDEP^0.6666)/cell_NRD)</f>
        <v>1.6001209132474277</v>
      </c>
      <c r="N234" s="53">
        <f>VLOOKUP(C234,table_DI,10)</f>
        <v>25</v>
      </c>
      <c r="O234" s="53">
        <f>(L234/(M234*60))</f>
        <v>22.185823400028653</v>
      </c>
      <c r="P234" s="53">
        <f>N234+O234</f>
        <v>47.185823400028653</v>
      </c>
      <c r="Q234" s="55">
        <f>cell_P*(P234^cell_E)</f>
        <v>0.49597871660051729</v>
      </c>
      <c r="R234" s="54">
        <f>Q234*I234</f>
        <v>2.9892637249513179</v>
      </c>
      <c r="S234" s="53" t="s">
        <v>10</v>
      </c>
      <c r="T234" s="55" t="s">
        <v>10</v>
      </c>
      <c r="U234" s="56" t="s">
        <v>10</v>
      </c>
      <c r="V234" s="53" t="s">
        <v>10</v>
      </c>
      <c r="W234" s="53" t="s">
        <v>10</v>
      </c>
      <c r="X234" s="53" t="s">
        <v>10</v>
      </c>
      <c r="Y234" s="55" t="s">
        <v>10</v>
      </c>
      <c r="Z234" s="55" t="s">
        <v>10</v>
      </c>
      <c r="AA234" s="55" t="s">
        <v>10</v>
      </c>
      <c r="AB234" s="55" t="s">
        <v>10</v>
      </c>
      <c r="AC234" s="57" t="s">
        <v>10</v>
      </c>
      <c r="AD234" t="s">
        <v>10</v>
      </c>
    </row>
    <row r="235" spans="2:30" x14ac:dyDescent="0.2">
      <c r="B235" s="216">
        <v>78</v>
      </c>
      <c r="C235" s="217" t="s">
        <v>10</v>
      </c>
      <c r="D235" s="54" t="s">
        <v>10</v>
      </c>
      <c r="E235" s="54">
        <f>VLOOKUP(83,table_CIA_INLETS,2,FALSE)</f>
        <v>17.22</v>
      </c>
      <c r="F235" s="55" t="s">
        <v>10</v>
      </c>
      <c r="G235" s="54" t="s">
        <v>10</v>
      </c>
      <c r="H235" s="54">
        <f>VLOOKUP(83,table_CIA_INLETS,5,FALSE)</f>
        <v>5.5103999999999997</v>
      </c>
      <c r="I235" s="54" t="s">
        <v>10</v>
      </c>
      <c r="J235" s="54">
        <f>VLOOKUP(83,table_CIA_INLETS,7,FALSE)</f>
        <v>6.0270000000000001</v>
      </c>
      <c r="K235" s="56" t="s">
        <v>10</v>
      </c>
      <c r="L235" s="53" t="s">
        <v>10</v>
      </c>
      <c r="M235" s="55" t="s">
        <v>10</v>
      </c>
      <c r="N235" s="53" t="s">
        <v>10</v>
      </c>
      <c r="O235" s="53" t="s">
        <v>10</v>
      </c>
      <c r="P235" s="53">
        <f>VLOOKUP(83,table_CIA_INLETS,14,FALSE)</f>
        <v>47.185823400028653</v>
      </c>
      <c r="Q235" s="55">
        <f>cell_P*(P235^cell_E)</f>
        <v>0.49597871660051729</v>
      </c>
      <c r="R235" s="54">
        <f>J235*Q235</f>
        <v>2.9892637249513179</v>
      </c>
      <c r="S235" s="53">
        <v>18</v>
      </c>
      <c r="T235" s="55">
        <f>(4*R235)/(3.14159*(S235/12)^2)</f>
        <v>1.6915786662599754</v>
      </c>
      <c r="U235" s="56">
        <f>((R235/((0.463135/cell_NP)*((S235/12)^(8/3))))^2)*cell_FF</f>
        <v>9.3141756087843129E-4</v>
      </c>
      <c r="V235" s="53">
        <v>37</v>
      </c>
      <c r="W235" s="53">
        <f>V235/(T235*60)</f>
        <v>0.36455098362649385</v>
      </c>
      <c r="X235" s="53">
        <f>W235+P235</f>
        <v>47.550374383655146</v>
      </c>
      <c r="Y235" s="55">
        <f>U235*V235</f>
        <v>3.4462449752501956E-2</v>
      </c>
      <c r="Z235" s="55">
        <f>IF(VLOOKUP(78.1,table_CIA_JCTS,25,FALSE)+VLOOKUP(78,table_CIA_JCTS,24,FALSE)&lt;VLOOKUP(78,table_CIA_JCTS,28,FALSE),VLOOKUP(78,table_CIA_JCTS,28,FALSE),VLOOKUP(78.1,table_CIA_JCTS,25,FALSE)+VLOOKUP(78,table_CIA_JCTS,24,FALSE))</f>
        <v>407.21446244975249</v>
      </c>
      <c r="AA235" s="55">
        <v>411.37</v>
      </c>
      <c r="AB235" s="55">
        <f>(AA235-0.5)-Z235</f>
        <v>3.6555375502475158</v>
      </c>
      <c r="AC235" s="57">
        <v>406.73</v>
      </c>
      <c r="AD235" t="s">
        <v>444</v>
      </c>
    </row>
    <row r="236" spans="2:30" x14ac:dyDescent="0.2">
      <c r="B236" s="216" t="s">
        <v>10</v>
      </c>
      <c r="C236" s="215">
        <v>84</v>
      </c>
      <c r="D236" s="54">
        <f>VLOOKUP(C236,table_DI,2)</f>
        <v>12.49</v>
      </c>
      <c r="E236" s="54" t="s">
        <v>10</v>
      </c>
      <c r="F236" s="55">
        <f>VLOOKUP(C236,table_DI,5)</f>
        <v>0.35000000000000003</v>
      </c>
      <c r="G236" s="54">
        <f>VLOOKUP(C236,table_DI,3)</f>
        <v>3.9967999999999999</v>
      </c>
      <c r="H236" s="54" t="s">
        <v>10</v>
      </c>
      <c r="I236" s="54">
        <f>VLOOKUP(C236,table_DI,4)</f>
        <v>4.3715000000000002</v>
      </c>
      <c r="J236" s="54" t="s">
        <v>10</v>
      </c>
      <c r="K236" s="56">
        <f>VLOOKUP(C236,table_DI,9)</f>
        <v>2.8803611738149222E-3</v>
      </c>
      <c r="L236" s="53">
        <f>VLOOKUP(C236,table_DI,8)</f>
        <v>2215</v>
      </c>
      <c r="M236" s="55">
        <f>(0.84*(K236^0.5)*(cell_GUTDEP^0.6666)/cell_NRD)</f>
        <v>1.580304418795879</v>
      </c>
      <c r="N236" s="53">
        <f>VLOOKUP(C236,table_DI,10)</f>
        <v>25</v>
      </c>
      <c r="O236" s="53">
        <f>(L236/(M236*60))</f>
        <v>23.360478036754152</v>
      </c>
      <c r="P236" s="53">
        <f>N236+O236</f>
        <v>48.360478036754152</v>
      </c>
      <c r="Q236" s="55">
        <f>cell_P*(P236^cell_E)</f>
        <v>0.4884001865161634</v>
      </c>
      <c r="R236" s="54">
        <f>Q236*I236</f>
        <v>2.1350414153554085</v>
      </c>
      <c r="S236" s="53" t="s">
        <v>10</v>
      </c>
      <c r="T236" s="55" t="s">
        <v>10</v>
      </c>
      <c r="U236" s="56" t="s">
        <v>10</v>
      </c>
      <c r="V236" s="53" t="s">
        <v>10</v>
      </c>
      <c r="W236" s="53" t="s">
        <v>10</v>
      </c>
      <c r="X236" s="53" t="s">
        <v>10</v>
      </c>
      <c r="Y236" s="55" t="s">
        <v>10</v>
      </c>
      <c r="Z236" s="55" t="s">
        <v>10</v>
      </c>
      <c r="AA236" s="55" t="s">
        <v>10</v>
      </c>
      <c r="AB236" s="55" t="s">
        <v>10</v>
      </c>
      <c r="AC236" s="57" t="s">
        <v>10</v>
      </c>
      <c r="AD236" t="s">
        <v>10</v>
      </c>
    </row>
    <row r="237" spans="2:30" ht="15.75" customHeight="1" x14ac:dyDescent="0.2">
      <c r="B237" s="216">
        <v>78.099999999999994</v>
      </c>
      <c r="C237" s="217" t="s">
        <v>10</v>
      </c>
      <c r="D237" s="54" t="s">
        <v>10</v>
      </c>
      <c r="E237" s="54">
        <f>VLOOKUP(78,table_CIA_JCTS,4,FALSE)+VLOOKUP(84,table_CIA_INLETS,2,FALSE)</f>
        <v>29.71</v>
      </c>
      <c r="F237" s="55" t="s">
        <v>10</v>
      </c>
      <c r="G237" s="54" t="s">
        <v>10</v>
      </c>
      <c r="H237" s="54">
        <f>VLOOKUP(78,table_CIA_JCTS,7,FALSE)+VLOOKUP(84,table_CIA_INLETS,5,FALSE)</f>
        <v>9.5071999999999992</v>
      </c>
      <c r="I237" s="54" t="s">
        <v>10</v>
      </c>
      <c r="J237" s="54">
        <f>VLOOKUP(78,table_CIA_JCTS,9,FALSE)+VLOOKUP(84,table_CIA_INLETS,7,FALSE)</f>
        <v>10.3985</v>
      </c>
      <c r="K237" s="56" t="s">
        <v>10</v>
      </c>
      <c r="L237" s="53" t="s">
        <v>10</v>
      </c>
      <c r="M237" s="55" t="s">
        <v>10</v>
      </c>
      <c r="N237" s="53" t="s">
        <v>10</v>
      </c>
      <c r="O237" s="53" t="s">
        <v>10</v>
      </c>
      <c r="P237" s="53">
        <f>VLOOKUP(78,table_CIA_JCTS,23,FALSE)</f>
        <v>47.550374383655146</v>
      </c>
      <c r="Q237" s="55">
        <f>cell_P*(P237^cell_E)</f>
        <v>0.49359417731973548</v>
      </c>
      <c r="R237" s="54">
        <f>J237*Q237</f>
        <v>5.1326390528592691</v>
      </c>
      <c r="S237" s="53">
        <v>24</v>
      </c>
      <c r="T237" s="55">
        <f>(4*R237)/(3.14159*(S237/12)^2)</f>
        <v>1.6337711327255529</v>
      </c>
      <c r="U237" s="56">
        <f>((R237/((0.463135/cell_NP)*((S237/12)^(8/3))))^2)*cell_FF</f>
        <v>5.9204876220371266E-4</v>
      </c>
      <c r="V237" s="53">
        <v>293</v>
      </c>
      <c r="W237" s="53">
        <f>V237/(T237*60)</f>
        <v>2.9889947468876317</v>
      </c>
      <c r="X237" s="53">
        <f>W237+P237</f>
        <v>50.539369130542781</v>
      </c>
      <c r="Y237" s="55">
        <f>U237*V237</f>
        <v>0.17347028732568781</v>
      </c>
      <c r="Z237" s="55">
        <f>IF(VLOOKUP(80,table_CIA_JCTS,25,FALSE)+VLOOKUP(78.1,table_CIA_JCTS,24,FALSE)&lt;VLOOKUP(78.1,table_CIA_JCTS,28,FALSE),VLOOKUP(78.1,table_CIA_JCTS,28,FALSE),VLOOKUP(80,table_CIA_JCTS,25,FALSE)+VLOOKUP(78.1,table_CIA_JCTS,24,FALSE))</f>
        <v>407.18</v>
      </c>
      <c r="AA237" s="55">
        <v>411.28</v>
      </c>
      <c r="AB237" s="55">
        <f>(AA237-0.5)-Z237</f>
        <v>3.5999999999999659</v>
      </c>
      <c r="AC237" s="57">
        <v>407.18</v>
      </c>
      <c r="AD237" t="s">
        <v>445</v>
      </c>
    </row>
    <row r="238" spans="2:30" ht="15.75" customHeight="1" x14ac:dyDescent="0.2">
      <c r="B238" s="216" t="s">
        <v>10</v>
      </c>
      <c r="C238" s="217" t="s">
        <v>10</v>
      </c>
      <c r="D238" s="54" t="s">
        <v>10</v>
      </c>
      <c r="E238" s="54" t="s">
        <v>10</v>
      </c>
      <c r="F238" s="55" t="s">
        <v>10</v>
      </c>
      <c r="G238" s="54" t="s">
        <v>10</v>
      </c>
      <c r="H238" s="54" t="s">
        <v>10</v>
      </c>
      <c r="I238" s="54" t="s">
        <v>10</v>
      </c>
      <c r="J238" s="54" t="s">
        <v>10</v>
      </c>
      <c r="K238" s="56" t="s">
        <v>10</v>
      </c>
      <c r="L238" s="53" t="s">
        <v>10</v>
      </c>
      <c r="M238" s="55" t="s">
        <v>10</v>
      </c>
      <c r="N238" s="53" t="s">
        <v>10</v>
      </c>
      <c r="O238" s="53" t="s">
        <v>10</v>
      </c>
      <c r="P238" s="53" t="s">
        <v>10</v>
      </c>
      <c r="Q238" s="55" t="s">
        <v>10</v>
      </c>
      <c r="R238" s="54" t="s">
        <v>10</v>
      </c>
      <c r="S238" s="53" t="s">
        <v>10</v>
      </c>
      <c r="T238" s="55" t="s">
        <v>10</v>
      </c>
      <c r="U238" s="56" t="s">
        <v>10</v>
      </c>
      <c r="V238" s="53" t="s">
        <v>10</v>
      </c>
      <c r="W238" s="53" t="s">
        <v>10</v>
      </c>
      <c r="X238" s="53" t="s">
        <v>10</v>
      </c>
      <c r="Y238" s="55" t="s">
        <v>10</v>
      </c>
      <c r="Z238" s="55" t="s">
        <v>10</v>
      </c>
      <c r="AA238" s="55" t="s">
        <v>10</v>
      </c>
      <c r="AB238" s="55" t="s">
        <v>10</v>
      </c>
      <c r="AC238" s="57" t="s">
        <v>10</v>
      </c>
      <c r="AD238" t="s">
        <v>10</v>
      </c>
    </row>
    <row r="239" spans="2:30" x14ac:dyDescent="0.2">
      <c r="B239" s="216" t="s">
        <v>10</v>
      </c>
      <c r="C239" s="215">
        <v>85</v>
      </c>
      <c r="D239" s="54">
        <f>VLOOKUP(C239,table_DI,2)</f>
        <v>6.88</v>
      </c>
      <c r="E239" s="54" t="s">
        <v>10</v>
      </c>
      <c r="F239" s="55">
        <f>VLOOKUP(C239,table_DI,5)</f>
        <v>0.9</v>
      </c>
      <c r="G239" s="54">
        <f>VLOOKUP(C239,table_DI,3)</f>
        <v>6.1920000000000002</v>
      </c>
      <c r="H239" s="54" t="s">
        <v>10</v>
      </c>
      <c r="I239" s="54">
        <f>VLOOKUP(C239,table_DI,4)</f>
        <v>6.1920000000000002</v>
      </c>
      <c r="J239" s="54" t="s">
        <v>10</v>
      </c>
      <c r="K239" s="56">
        <f>VLOOKUP(C239,table_DI,9)</f>
        <v>2.7347046413502122E-3</v>
      </c>
      <c r="L239" s="53">
        <f>VLOOKUP(C239,table_DI,8)</f>
        <v>3792</v>
      </c>
      <c r="M239" s="55">
        <f>(0.84*(K239^0.5)*(cell_GUTDEP^0.6666)/cell_NRD)</f>
        <v>1.5398289989215881</v>
      </c>
      <c r="N239" s="53">
        <f>VLOOKUP(C239,table_DI,10)</f>
        <v>5</v>
      </c>
      <c r="O239" s="53">
        <f>(L239/(M239*60))</f>
        <v>41.043518497353809</v>
      </c>
      <c r="P239" s="53">
        <f>N239+O239</f>
        <v>46.043518497353809</v>
      </c>
      <c r="Q239" s="55">
        <f t="shared" ref="Q239:Q255" si="16">cell_P*(P239^cell_E)</f>
        <v>0.50364868989257749</v>
      </c>
      <c r="R239" s="54">
        <f>Q239*I239</f>
        <v>3.1185926878148398</v>
      </c>
      <c r="S239" s="53" t="s">
        <v>10</v>
      </c>
      <c r="T239" s="55" t="s">
        <v>10</v>
      </c>
      <c r="U239" s="56" t="s">
        <v>10</v>
      </c>
      <c r="V239" s="53" t="s">
        <v>10</v>
      </c>
      <c r="W239" s="53" t="s">
        <v>10</v>
      </c>
      <c r="X239" s="53" t="s">
        <v>10</v>
      </c>
      <c r="Y239" s="55" t="s">
        <v>10</v>
      </c>
      <c r="Z239" s="55" t="s">
        <v>10</v>
      </c>
      <c r="AA239" s="55" t="s">
        <v>10</v>
      </c>
      <c r="AB239" s="55" t="s">
        <v>10</v>
      </c>
      <c r="AC239" s="57" t="s">
        <v>10</v>
      </c>
      <c r="AD239" t="s">
        <v>10</v>
      </c>
    </row>
    <row r="240" spans="2:30" x14ac:dyDescent="0.2">
      <c r="B240" s="216" t="s">
        <v>10</v>
      </c>
      <c r="C240" s="215">
        <v>86</v>
      </c>
      <c r="D240" s="54">
        <f>VLOOKUP(C240,table_DI,2)</f>
        <v>0.81</v>
      </c>
      <c r="E240" s="54" t="s">
        <v>10</v>
      </c>
      <c r="F240" s="55">
        <f>VLOOKUP(C240,table_DI,5)</f>
        <v>0.89999999999999991</v>
      </c>
      <c r="G240" s="54">
        <f>VLOOKUP(C240,table_DI,3)</f>
        <v>0.72899999999999998</v>
      </c>
      <c r="H240" s="54" t="s">
        <v>10</v>
      </c>
      <c r="I240" s="54">
        <f>VLOOKUP(C240,table_DI,4)</f>
        <v>0.72899999999999998</v>
      </c>
      <c r="J240" s="54" t="s">
        <v>10</v>
      </c>
      <c r="K240" s="56">
        <f>VLOOKUP(C240,table_DI,9)</f>
        <v>1.834215167548537E-3</v>
      </c>
      <c r="L240" s="53">
        <f>VLOOKUP(C240,table_DI,8)</f>
        <v>567</v>
      </c>
      <c r="M240" s="55">
        <f>(0.84*(K240^0.5)*(cell_GUTDEP^0.6666)/cell_NRD)</f>
        <v>1.2610793684450086</v>
      </c>
      <c r="N240" s="53">
        <f>VLOOKUP(C240,table_DI,10)</f>
        <v>5</v>
      </c>
      <c r="O240" s="53">
        <f>(L240/(M240*60))</f>
        <v>7.4935806868781416</v>
      </c>
      <c r="P240" s="53">
        <f>N240+O240</f>
        <v>12.493580686878142</v>
      </c>
      <c r="Q240" s="55">
        <f t="shared" si="16"/>
        <v>1.1398782645792009</v>
      </c>
      <c r="R240" s="54">
        <f>Q240*I240</f>
        <v>0.83097125487823742</v>
      </c>
      <c r="S240" s="53" t="s">
        <v>10</v>
      </c>
      <c r="T240" s="55" t="s">
        <v>10</v>
      </c>
      <c r="U240" s="56" t="s">
        <v>10</v>
      </c>
      <c r="V240" s="53" t="s">
        <v>10</v>
      </c>
      <c r="W240" s="53" t="s">
        <v>10</v>
      </c>
      <c r="X240" s="53" t="s">
        <v>10</v>
      </c>
      <c r="Y240" s="55" t="s">
        <v>10</v>
      </c>
      <c r="Z240" s="55" t="s">
        <v>10</v>
      </c>
      <c r="AA240" s="55" t="s">
        <v>10</v>
      </c>
      <c r="AB240" s="55" t="s">
        <v>10</v>
      </c>
      <c r="AC240" s="57" t="s">
        <v>10</v>
      </c>
      <c r="AD240" t="s">
        <v>10</v>
      </c>
    </row>
    <row r="241" spans="2:30" x14ac:dyDescent="0.2">
      <c r="B241" s="216">
        <v>79</v>
      </c>
      <c r="C241" s="217" t="s">
        <v>10</v>
      </c>
      <c r="D241" s="54" t="s">
        <v>10</v>
      </c>
      <c r="E241" s="54">
        <f>VLOOKUP(85,table_CIA_INLETS,2,FALSE)+VLOOKUP(86,table_CIA_INLETS,2,FALSE)</f>
        <v>7.6899999999999995</v>
      </c>
      <c r="F241" s="55" t="s">
        <v>10</v>
      </c>
      <c r="G241" s="54" t="s">
        <v>10</v>
      </c>
      <c r="H241" s="54">
        <f>VLOOKUP(85,table_CIA_INLETS,5,FALSE)+VLOOKUP(86,table_CIA_INLETS,5,FALSE)</f>
        <v>6.9210000000000003</v>
      </c>
      <c r="I241" s="54" t="s">
        <v>10</v>
      </c>
      <c r="J241" s="54">
        <f>VLOOKUP(85,table_CIA_INLETS,7,FALSE)+VLOOKUP(86,table_CIA_INLETS,7,FALSE)</f>
        <v>6.9210000000000003</v>
      </c>
      <c r="K241" s="56" t="s">
        <v>10</v>
      </c>
      <c r="L241" s="53" t="s">
        <v>10</v>
      </c>
      <c r="M241" s="55" t="s">
        <v>10</v>
      </c>
      <c r="N241" s="53" t="s">
        <v>10</v>
      </c>
      <c r="O241" s="53" t="s">
        <v>10</v>
      </c>
      <c r="P241" s="53">
        <f>VLOOKUP(85,table_CIA_INLETS,14,FALSE)</f>
        <v>46.043518497353809</v>
      </c>
      <c r="Q241" s="55">
        <f t="shared" si="16"/>
        <v>0.50364868989257749</v>
      </c>
      <c r="R241" s="54">
        <f>J241*Q241</f>
        <v>3.485752582746529</v>
      </c>
      <c r="S241" s="53">
        <v>18</v>
      </c>
      <c r="T241" s="55">
        <f>(4*R241)/(3.14159*(S241/12)^2)</f>
        <v>1.972534124579679</v>
      </c>
      <c r="U241" s="56">
        <f>((R241/((0.463135/cell_NP)*((S241/12)^(8/3))))^2)*cell_FF</f>
        <v>1.2665113134393672E-3</v>
      </c>
      <c r="V241" s="53">
        <v>157</v>
      </c>
      <c r="W241" s="53">
        <f>V241/(T241*60)</f>
        <v>1.3265507724609042</v>
      </c>
      <c r="X241" s="53">
        <f>W241+P241</f>
        <v>47.370069269814714</v>
      </c>
      <c r="Y241" s="55">
        <f>U241*V241</f>
        <v>0.19884227620998066</v>
      </c>
      <c r="Z241" s="55">
        <f>IF(VLOOKUP(80,table_CIA_JCTS,25,FALSE)+VLOOKUP(79,table_CIA_JCTS,24,FALSE)&lt;VLOOKUP(79,table_CIA_JCTS,28,FALSE),VLOOKUP(79,table_CIA_JCTS,28,FALSE),VLOOKUP(80,table_CIA_JCTS,25,FALSE)+VLOOKUP(79,table_CIA_JCTS,24,FALSE))</f>
        <v>403.33884227620996</v>
      </c>
      <c r="AA241" s="55">
        <v>409.13</v>
      </c>
      <c r="AB241" s="55">
        <f>(AA241-0.5)-Z241</f>
        <v>5.291157723790036</v>
      </c>
      <c r="AC241" s="57">
        <v>403.25</v>
      </c>
      <c r="AD241" t="s">
        <v>446</v>
      </c>
    </row>
    <row r="242" spans="2:30" x14ac:dyDescent="0.2">
      <c r="B242" s="216">
        <v>80</v>
      </c>
      <c r="C242" s="217" t="s">
        <v>10</v>
      </c>
      <c r="D242" s="54" t="s">
        <v>10</v>
      </c>
      <c r="E242" s="54">
        <f>VLOOKUP(78.1,table_CIA_JCTS,4,FALSE)+VLOOKUP(79,table_CIA_JCTS,4,FALSE)</f>
        <v>37.4</v>
      </c>
      <c r="F242" s="55" t="s">
        <v>10</v>
      </c>
      <c r="G242" s="54" t="s">
        <v>10</v>
      </c>
      <c r="H242" s="54">
        <f>VLOOKUP(78.1,table_CIA_JCTS,7,FALSE)+VLOOKUP(79,table_CIA_JCTS,7,FALSE)</f>
        <v>16.4282</v>
      </c>
      <c r="I242" s="54" t="s">
        <v>10</v>
      </c>
      <c r="J242" s="54">
        <f>VLOOKUP(78.1,table_CIA_JCTS,9,FALSE)+VLOOKUP(79,table_CIA_JCTS,9,FALSE)</f>
        <v>17.319500000000001</v>
      </c>
      <c r="K242" s="56" t="s">
        <v>10</v>
      </c>
      <c r="L242" s="53" t="s">
        <v>10</v>
      </c>
      <c r="M242" s="55" t="s">
        <v>10</v>
      </c>
      <c r="N242" s="53" t="s">
        <v>10</v>
      </c>
      <c r="O242" s="53" t="s">
        <v>10</v>
      </c>
      <c r="P242" s="53">
        <f>VLOOKUP(78.1,table_CIA_JCTS,23,FALSE)</f>
        <v>50.539369130542781</v>
      </c>
      <c r="Q242" s="55">
        <f t="shared" si="16"/>
        <v>0.47510634946039398</v>
      </c>
      <c r="R242" s="54">
        <f>J242*Q242</f>
        <v>8.2286044194792947</v>
      </c>
      <c r="S242" s="53">
        <v>24</v>
      </c>
      <c r="T242" s="55">
        <f>(4*R242)/(3.14159*(S242/12)^2)</f>
        <v>2.6192483486003248</v>
      </c>
      <c r="U242" s="56">
        <f>((R242/((0.463135/cell_NP)*((S242/12)^(8/3))))^2)*cell_FF</f>
        <v>1.5216977505193086E-3</v>
      </c>
      <c r="V242" s="53">
        <v>802</v>
      </c>
      <c r="W242" s="53">
        <f>V242/(T242*60)</f>
        <v>5.1032452397305326</v>
      </c>
      <c r="X242" s="53">
        <f>W242+P242</f>
        <v>55.642614370273314</v>
      </c>
      <c r="Y242" s="55">
        <f>U242*V242</f>
        <v>1.2204015959164856</v>
      </c>
      <c r="Z242" s="55">
        <f>IF(VLOOKUP(81,table_CIA_JCTS,25,FALSE)+VLOOKUP(80,table_CIA_JCTS,24,FALSE)&lt;VLOOKUP(80,table_CIA_JCTS,28,FALSE),VLOOKUP(80,table_CIA_JCTS,28,FALSE),VLOOKUP(81,table_CIA_JCTS,25,FALSE)+VLOOKUP(80,table_CIA_JCTS,24,FALSE))</f>
        <v>403.14</v>
      </c>
      <c r="AA242" s="55">
        <v>410.54</v>
      </c>
      <c r="AB242" s="55">
        <f>(AA242-0.5)-Z242</f>
        <v>6.9000000000000341</v>
      </c>
      <c r="AC242" s="57">
        <v>403.14</v>
      </c>
      <c r="AD242" t="s">
        <v>445</v>
      </c>
    </row>
    <row r="243" spans="2:30" x14ac:dyDescent="0.2">
      <c r="B243" s="216" t="s">
        <v>10</v>
      </c>
      <c r="C243" s="215">
        <v>87</v>
      </c>
      <c r="D243" s="54">
        <f>VLOOKUP(C243,table_DI,2)</f>
        <v>9.18</v>
      </c>
      <c r="E243" s="54" t="s">
        <v>10</v>
      </c>
      <c r="F243" s="55">
        <f>VLOOKUP(C243,table_DI,5)</f>
        <v>0.35000000000000003</v>
      </c>
      <c r="G243" s="54">
        <f>VLOOKUP(C243,table_DI,3)</f>
        <v>2.9376000000000002</v>
      </c>
      <c r="H243" s="54" t="s">
        <v>10</v>
      </c>
      <c r="I243" s="54">
        <f>VLOOKUP(C243,table_DI,4)</f>
        <v>3.2130000000000001</v>
      </c>
      <c r="J243" s="54" t="s">
        <v>10</v>
      </c>
      <c r="K243" s="56">
        <f>VLOOKUP(C243,table_DI,9)</f>
        <v>1.9504950495049776E-3</v>
      </c>
      <c r="L243" s="53">
        <f>VLOOKUP(C243,table_DI,8)</f>
        <v>1010</v>
      </c>
      <c r="M243" s="55">
        <f>(0.84*(K243^0.5)*(cell_GUTDEP^0.6666)/cell_NRD)</f>
        <v>1.3004381649271921</v>
      </c>
      <c r="N243" s="53">
        <f>VLOOKUP(C243,table_DI,10)</f>
        <v>25</v>
      </c>
      <c r="O243" s="53">
        <f>(L243/(M243*60))</f>
        <v>12.944355054571769</v>
      </c>
      <c r="P243" s="53">
        <f>N243+O243</f>
        <v>37.944355054571773</v>
      </c>
      <c r="Q243" s="55">
        <f t="shared" si="16"/>
        <v>0.56851491680225497</v>
      </c>
      <c r="R243" s="54">
        <f>Q243*I243</f>
        <v>1.8266384276856453</v>
      </c>
      <c r="S243" s="53" t="s">
        <v>10</v>
      </c>
      <c r="T243" s="55" t="s">
        <v>10</v>
      </c>
      <c r="U243" s="56" t="s">
        <v>10</v>
      </c>
      <c r="V243" s="53" t="s">
        <v>10</v>
      </c>
      <c r="W243" s="53" t="s">
        <v>10</v>
      </c>
      <c r="X243" s="53" t="s">
        <v>10</v>
      </c>
      <c r="Y243" s="55" t="s">
        <v>10</v>
      </c>
      <c r="Z243" s="55" t="s">
        <v>10</v>
      </c>
      <c r="AA243" s="55" t="s">
        <v>10</v>
      </c>
      <c r="AB243" s="55" t="s">
        <v>10</v>
      </c>
      <c r="AC243" s="57" t="s">
        <v>10</v>
      </c>
      <c r="AD243" t="s">
        <v>10</v>
      </c>
    </row>
    <row r="244" spans="2:30" x14ac:dyDescent="0.2">
      <c r="B244" s="216" t="s">
        <v>10</v>
      </c>
      <c r="C244" s="215">
        <v>88</v>
      </c>
      <c r="D244" s="54">
        <f>VLOOKUP(C244,table_DI,2)</f>
        <v>9.5399999999999991</v>
      </c>
      <c r="E244" s="54" t="s">
        <v>10</v>
      </c>
      <c r="F244" s="55">
        <f>VLOOKUP(C244,table_DI,5)</f>
        <v>0.35000000000000003</v>
      </c>
      <c r="G244" s="54">
        <f>VLOOKUP(C244,table_DI,3)</f>
        <v>3.0528</v>
      </c>
      <c r="H244" s="54" t="s">
        <v>10</v>
      </c>
      <c r="I244" s="54">
        <f>VLOOKUP(C244,table_DI,4)</f>
        <v>3.339</v>
      </c>
      <c r="J244" s="54" t="s">
        <v>10</v>
      </c>
      <c r="K244" s="56">
        <f>VLOOKUP(C244,table_DI,9)</f>
        <v>3.6833602584814234E-3</v>
      </c>
      <c r="L244" s="53">
        <f>VLOOKUP(C244,table_DI,8)</f>
        <v>1238</v>
      </c>
      <c r="M244" s="55">
        <f>(0.84*(K244^0.5)*(cell_GUTDEP^0.6666)/cell_NRD)</f>
        <v>1.7870610094523016</v>
      </c>
      <c r="N244" s="53">
        <f>VLOOKUP(C244,table_DI,10)</f>
        <v>25</v>
      </c>
      <c r="O244" s="53">
        <f>(L244/(M244*60))</f>
        <v>11.545959105031919</v>
      </c>
      <c r="P244" s="53">
        <f>N244+O244</f>
        <v>36.545959105031919</v>
      </c>
      <c r="Q244" s="55">
        <f t="shared" si="16"/>
        <v>0.58204131852227814</v>
      </c>
      <c r="R244" s="54">
        <f>Q244*I244</f>
        <v>1.9434359625458868</v>
      </c>
      <c r="S244" s="53" t="s">
        <v>10</v>
      </c>
      <c r="T244" s="55" t="s">
        <v>10</v>
      </c>
      <c r="U244" s="56" t="s">
        <v>10</v>
      </c>
      <c r="V244" s="53" t="s">
        <v>10</v>
      </c>
      <c r="W244" s="53" t="s">
        <v>10</v>
      </c>
      <c r="X244" s="53" t="s">
        <v>10</v>
      </c>
      <c r="Y244" s="55" t="s">
        <v>10</v>
      </c>
      <c r="Z244" s="55" t="s">
        <v>10</v>
      </c>
      <c r="AA244" s="55" t="s">
        <v>10</v>
      </c>
      <c r="AB244" s="55" t="s">
        <v>10</v>
      </c>
      <c r="AC244" s="57" t="s">
        <v>10</v>
      </c>
      <c r="AD244" t="s">
        <v>10</v>
      </c>
    </row>
    <row r="245" spans="2:30" x14ac:dyDescent="0.2">
      <c r="B245" s="216">
        <v>81</v>
      </c>
      <c r="C245" s="217" t="s">
        <v>10</v>
      </c>
      <c r="D245" s="54" t="s">
        <v>10</v>
      </c>
      <c r="E245" s="54">
        <f>VLOOKUP(80,table_CIA_JCTS,4,FALSE)+VLOOKUP(87,table_CIA_INLETS,2,FALSE)+VLOOKUP(88,table_CIA_INLETS,2,FALSE)</f>
        <v>56.12</v>
      </c>
      <c r="F245" s="55" t="s">
        <v>10</v>
      </c>
      <c r="G245" s="54" t="s">
        <v>10</v>
      </c>
      <c r="H245" s="54">
        <f>VLOOKUP(80,table_CIA_JCTS,7,FALSE)+VLOOKUP(87,table_CIA_INLETS,5,FALSE)+VLOOKUP(88,table_CIA_INLETS,5,FALSE)</f>
        <v>22.418600000000001</v>
      </c>
      <c r="I245" s="54" t="s">
        <v>10</v>
      </c>
      <c r="J245" s="54">
        <f>VLOOKUP(80,table_CIA_JCTS,9,FALSE)+VLOOKUP(87,table_CIA_INLETS,7,FALSE)+VLOOKUP(88,table_CIA_INLETS,7,FALSE)</f>
        <v>23.871500000000001</v>
      </c>
      <c r="K245" s="56" t="s">
        <v>10</v>
      </c>
      <c r="L245" s="53" t="s">
        <v>10</v>
      </c>
      <c r="M245" s="55" t="s">
        <v>10</v>
      </c>
      <c r="N245" s="53" t="s">
        <v>10</v>
      </c>
      <c r="O245" s="53" t="s">
        <v>10</v>
      </c>
      <c r="P245" s="53">
        <f>VLOOKUP(80,table_CIA_JCTS,23,FALSE)</f>
        <v>55.642614370273314</v>
      </c>
      <c r="Q245" s="55">
        <f t="shared" si="16"/>
        <v>0.44733165536636393</v>
      </c>
      <c r="R245" s="54">
        <f>J245*Q245</f>
        <v>10.678477611078158</v>
      </c>
      <c r="S245" s="53">
        <v>24</v>
      </c>
      <c r="T245" s="55">
        <f>(4*R245)/(3.14159*(S245/12)^2)</f>
        <v>3.399067864068245</v>
      </c>
      <c r="U245" s="56">
        <f>((R245/((0.463135/cell_NP)*((S245/12)^(8/3))))^2)*cell_FF</f>
        <v>2.5626819631641116E-3</v>
      </c>
      <c r="V245" s="53">
        <v>79</v>
      </c>
      <c r="W245" s="53">
        <f>V245/(T245*60)</f>
        <v>0.38736109996073653</v>
      </c>
      <c r="X245" s="53">
        <f>W245+P245</f>
        <v>56.029975470234049</v>
      </c>
      <c r="Y245" s="55">
        <f>U245*V245</f>
        <v>0.20245187508996482</v>
      </c>
      <c r="Z245" s="55">
        <f>IF(VLOOKUP(81.1,table_CIA_JCTS,25,FALSE)+VLOOKUP(81,table_CIA_JCTS,24,FALSE)&lt;VLOOKUP(81,table_CIA_JCTS,28,FALSE),VLOOKUP(81,table_CIA_JCTS,28,FALSE),VLOOKUP(81.1,table_CIA_JCTS,25,FALSE)+VLOOKUP(81,table_CIA_JCTS,24,FALSE))</f>
        <v>400.1</v>
      </c>
      <c r="AA245" s="55">
        <v>405.98</v>
      </c>
      <c r="AB245" s="55">
        <f>(AA245-0.5)-Z245</f>
        <v>5.3799999999999955</v>
      </c>
      <c r="AC245" s="57">
        <v>400.1</v>
      </c>
      <c r="AD245" t="s">
        <v>445</v>
      </c>
    </row>
    <row r="246" spans="2:30" x14ac:dyDescent="0.2">
      <c r="B246" s="216" t="s">
        <v>10</v>
      </c>
      <c r="C246" s="215">
        <v>89</v>
      </c>
      <c r="D246" s="54">
        <f>VLOOKUP(C246,table_DI,2)</f>
        <v>16.16</v>
      </c>
      <c r="E246" s="54" t="s">
        <v>10</v>
      </c>
      <c r="F246" s="55">
        <f>VLOOKUP(C246,table_DI,5)</f>
        <v>0.35</v>
      </c>
      <c r="G246" s="54">
        <f>VLOOKUP(C246,table_DI,3)</f>
        <v>5.1711999999999998</v>
      </c>
      <c r="H246" s="54" t="s">
        <v>10</v>
      </c>
      <c r="I246" s="54">
        <f>VLOOKUP(C246,table_DI,4)</f>
        <v>5.6559999999999997</v>
      </c>
      <c r="J246" s="54" t="s">
        <v>10</v>
      </c>
      <c r="K246" s="56">
        <f>VLOOKUP(C246,table_DI,9)</f>
        <v>1.915322580645167E-3</v>
      </c>
      <c r="L246" s="53">
        <f>VLOOKUP(C246,table_DI,8)</f>
        <v>1984</v>
      </c>
      <c r="M246" s="55">
        <f>(0.84*(K246^0.5)*(cell_GUTDEP^0.6666)/cell_NRD)</f>
        <v>1.2886596930547125</v>
      </c>
      <c r="N246" s="53">
        <f>VLOOKUP(C246,table_DI,10)</f>
        <v>25</v>
      </c>
      <c r="O246" s="53">
        <f>(L246/(M246*60))</f>
        <v>25.659735339656315</v>
      </c>
      <c r="P246" s="53">
        <f>N246+O246</f>
        <v>50.659735339656315</v>
      </c>
      <c r="Q246" s="55">
        <f t="shared" si="16"/>
        <v>0.47439915542651045</v>
      </c>
      <c r="R246" s="54">
        <f>Q246*I246</f>
        <v>2.683201623092343</v>
      </c>
      <c r="S246" s="53" t="s">
        <v>10</v>
      </c>
      <c r="T246" s="55" t="s">
        <v>10</v>
      </c>
      <c r="U246" s="56" t="s">
        <v>10</v>
      </c>
      <c r="V246" s="53" t="s">
        <v>10</v>
      </c>
      <c r="W246" s="53" t="s">
        <v>10</v>
      </c>
      <c r="X246" s="53" t="s">
        <v>10</v>
      </c>
      <c r="Y246" s="55" t="s">
        <v>10</v>
      </c>
      <c r="Z246" s="55" t="s">
        <v>10</v>
      </c>
      <c r="AA246" s="55" t="s">
        <v>10</v>
      </c>
      <c r="AB246" s="55" t="s">
        <v>10</v>
      </c>
      <c r="AC246" s="57" t="s">
        <v>10</v>
      </c>
      <c r="AD246" t="s">
        <v>10</v>
      </c>
    </row>
    <row r="247" spans="2:30" x14ac:dyDescent="0.2">
      <c r="B247" s="216">
        <v>81.099999999999994</v>
      </c>
      <c r="C247" s="217" t="s">
        <v>10</v>
      </c>
      <c r="D247" s="54" t="s">
        <v>10</v>
      </c>
      <c r="E247" s="54">
        <f>VLOOKUP(81,table_CIA_JCTS,4,FALSE)+VLOOKUP(89,table_CIA_INLETS,2,FALSE)</f>
        <v>72.28</v>
      </c>
      <c r="F247" s="55" t="s">
        <v>10</v>
      </c>
      <c r="G247" s="54" t="s">
        <v>10</v>
      </c>
      <c r="H247" s="54">
        <f>VLOOKUP(81,table_CIA_JCTS,7,FALSE)+VLOOKUP(89,table_CIA_INLETS,5,FALSE)</f>
        <v>27.5898</v>
      </c>
      <c r="I247" s="54" t="s">
        <v>10</v>
      </c>
      <c r="J247" s="54">
        <f>VLOOKUP(81,table_CIA_JCTS,9,FALSE)+VLOOKUP(89,table_CIA_INLETS,7,FALSE)</f>
        <v>29.5275</v>
      </c>
      <c r="K247" s="56" t="s">
        <v>10</v>
      </c>
      <c r="L247" s="53" t="s">
        <v>10</v>
      </c>
      <c r="M247" s="55" t="s">
        <v>10</v>
      </c>
      <c r="N247" s="53" t="s">
        <v>10</v>
      </c>
      <c r="O247" s="53" t="s">
        <v>10</v>
      </c>
      <c r="P247" s="53">
        <f>VLOOKUP(81,table_CIA_JCTS,23,FALSE)</f>
        <v>56.029975470234049</v>
      </c>
      <c r="Q247" s="55">
        <f t="shared" si="16"/>
        <v>0.44539255248849463</v>
      </c>
      <c r="R247" s="54">
        <f>J247*Q247</f>
        <v>13.151328593604026</v>
      </c>
      <c r="S247" s="53">
        <v>30</v>
      </c>
      <c r="T247" s="55">
        <f>(4*R247)/(3.14159*(S247/12)^2)</f>
        <v>2.6791689239864453</v>
      </c>
      <c r="U247" s="56">
        <f>((R247/((0.463135/cell_NP)*((S247/12)^(8/3))))^2)*cell_FF</f>
        <v>1.1823930944833659E-3</v>
      </c>
      <c r="V247" s="53">
        <v>401</v>
      </c>
      <c r="W247" s="53">
        <f>V247/(T247*60)</f>
        <v>2.4945546633875284</v>
      </c>
      <c r="X247" s="53">
        <f>W247+P247</f>
        <v>58.524530133621575</v>
      </c>
      <c r="Y247" s="55">
        <f>U247*V247</f>
        <v>0.47413963088782973</v>
      </c>
      <c r="Z247" s="55">
        <f>IF(VLOOKUP(82,table_CIA_JCTS,25,FALSE)+VLOOKUP(81.1,table_CIA_JCTS,24,FALSE)&lt;VLOOKUP(81.1,table_CIA_JCTS,28,FALSE),VLOOKUP(81.1,table_CIA_JCTS,28,FALSE),VLOOKUP(82,table_CIA_JCTS,25,FALSE)+VLOOKUP(81.1,table_CIA_JCTS,24,FALSE))</f>
        <v>399.79</v>
      </c>
      <c r="AA247" s="55">
        <v>406.2</v>
      </c>
      <c r="AB247" s="55">
        <f>(AA247-0.5)-Z247</f>
        <v>5.9099999999999682</v>
      </c>
      <c r="AC247" s="57">
        <v>399.79</v>
      </c>
      <c r="AD247" t="s">
        <v>447</v>
      </c>
    </row>
    <row r="248" spans="2:30" x14ac:dyDescent="0.2">
      <c r="B248" s="216" t="s">
        <v>10</v>
      </c>
      <c r="C248" s="215">
        <v>90</v>
      </c>
      <c r="D248" s="54">
        <f>VLOOKUP(C248,table_DI,2)</f>
        <v>1.41</v>
      </c>
      <c r="E248" s="54" t="s">
        <v>10</v>
      </c>
      <c r="F248" s="55">
        <f>VLOOKUP(C248,table_DI,5)</f>
        <v>0.35000000000000003</v>
      </c>
      <c r="G248" s="54">
        <f>VLOOKUP(C248,table_DI,3)</f>
        <v>0.45119999999999999</v>
      </c>
      <c r="H248" s="54" t="s">
        <v>10</v>
      </c>
      <c r="I248" s="54">
        <f>VLOOKUP(C248,table_DI,4)</f>
        <v>0.49349999999999999</v>
      </c>
      <c r="J248" s="54" t="s">
        <v>10</v>
      </c>
      <c r="K248" s="56">
        <f>VLOOKUP(C248,table_DI,9)</f>
        <v>3.6106489184691498E-3</v>
      </c>
      <c r="L248" s="53">
        <f>VLOOKUP(C248,table_DI,8)</f>
        <v>601</v>
      </c>
      <c r="M248" s="55">
        <f>(0.84*(K248^0.5)*(cell_GUTDEP^0.6666)/cell_NRD)</f>
        <v>1.7693343593210717</v>
      </c>
      <c r="N248" s="53">
        <f>VLOOKUP(C248,table_DI,10)</f>
        <v>25</v>
      </c>
      <c r="O248" s="53">
        <f>(L248/(M248*60))</f>
        <v>5.6612627307538741</v>
      </c>
      <c r="P248" s="53">
        <f>N248+O248</f>
        <v>30.661262730753876</v>
      </c>
      <c r="Q248" s="55">
        <f t="shared" si="16"/>
        <v>0.64968246409194308</v>
      </c>
      <c r="R248" s="54">
        <f>Q248*I248</f>
        <v>0.32061829602937392</v>
      </c>
      <c r="S248" s="53" t="s">
        <v>10</v>
      </c>
      <c r="T248" s="55" t="s">
        <v>10</v>
      </c>
      <c r="U248" s="56" t="s">
        <v>10</v>
      </c>
      <c r="V248" s="53" t="s">
        <v>10</v>
      </c>
      <c r="W248" s="53" t="s">
        <v>10</v>
      </c>
      <c r="X248" s="53" t="s">
        <v>10</v>
      </c>
      <c r="Y248" s="55" t="s">
        <v>10</v>
      </c>
      <c r="Z248" s="55" t="s">
        <v>10</v>
      </c>
      <c r="AA248" s="55" t="s">
        <v>10</v>
      </c>
      <c r="AB248" s="55" t="s">
        <v>10</v>
      </c>
      <c r="AC248" s="57" t="s">
        <v>10</v>
      </c>
      <c r="AD248" t="s">
        <v>10</v>
      </c>
    </row>
    <row r="249" spans="2:30" x14ac:dyDescent="0.2">
      <c r="B249" s="216" t="s">
        <v>10</v>
      </c>
      <c r="C249" s="215">
        <v>91</v>
      </c>
      <c r="D249" s="54">
        <f>VLOOKUP(C249,table_DI,2)</f>
        <v>0.85</v>
      </c>
      <c r="E249" s="54" t="s">
        <v>10</v>
      </c>
      <c r="F249" s="55">
        <f>VLOOKUP(C249,table_DI,5)</f>
        <v>0.35</v>
      </c>
      <c r="G249" s="54">
        <f>VLOOKUP(C249,table_DI,3)</f>
        <v>0.27200000000000002</v>
      </c>
      <c r="H249" s="54" t="s">
        <v>10</v>
      </c>
      <c r="I249" s="54">
        <f>VLOOKUP(C249,table_DI,4)</f>
        <v>0.29749999999999999</v>
      </c>
      <c r="J249" s="54" t="s">
        <v>10</v>
      </c>
      <c r="K249" s="56">
        <f>VLOOKUP(C249,table_DI,9)</f>
        <v>2.0588235294118429E-3</v>
      </c>
      <c r="L249" s="53">
        <f>VLOOKUP(C249,table_DI,8)</f>
        <v>204</v>
      </c>
      <c r="M249" s="55">
        <f>(0.84*(K249^0.5)*(cell_GUTDEP^0.6666)/cell_NRD)</f>
        <v>1.3360627070012514</v>
      </c>
      <c r="N249" s="53">
        <f>VLOOKUP(C249,table_DI,10)</f>
        <v>25</v>
      </c>
      <c r="O249" s="53">
        <f>(L249/(M249*60))</f>
        <v>2.5447907363803211</v>
      </c>
      <c r="P249" s="53">
        <f>N249+O249</f>
        <v>27.544790736380321</v>
      </c>
      <c r="Q249" s="55">
        <f t="shared" si="16"/>
        <v>0.69478607371284185</v>
      </c>
      <c r="R249" s="54">
        <f>Q249*I249</f>
        <v>0.20669885692957043</v>
      </c>
      <c r="S249" s="53" t="s">
        <v>10</v>
      </c>
      <c r="T249" s="55" t="s">
        <v>10</v>
      </c>
      <c r="U249" s="56" t="s">
        <v>10</v>
      </c>
      <c r="V249" s="53" t="s">
        <v>10</v>
      </c>
      <c r="W249" s="53" t="s">
        <v>10</v>
      </c>
      <c r="X249" s="53" t="s">
        <v>10</v>
      </c>
      <c r="Y249" s="55" t="s">
        <v>10</v>
      </c>
      <c r="Z249" s="55" t="s">
        <v>10</v>
      </c>
      <c r="AA249" s="55" t="s">
        <v>10</v>
      </c>
      <c r="AB249" s="55" t="s">
        <v>10</v>
      </c>
      <c r="AC249" s="57" t="s">
        <v>10</v>
      </c>
      <c r="AD249" t="s">
        <v>10</v>
      </c>
    </row>
    <row r="250" spans="2:30" x14ac:dyDescent="0.2">
      <c r="B250" s="216">
        <v>82</v>
      </c>
      <c r="C250" s="217" t="s">
        <v>10</v>
      </c>
      <c r="D250" s="54" t="s">
        <v>10</v>
      </c>
      <c r="E250" s="54">
        <f>VLOOKUP(81.1,table_CIA_JCTS,4,FALSE)+VLOOKUP(90,table_CIA_INLETS,2,FALSE)+VLOOKUP(91,table_CIA_INLETS,2,FALSE)</f>
        <v>74.539999999999992</v>
      </c>
      <c r="F250" s="55" t="s">
        <v>10</v>
      </c>
      <c r="G250" s="54" t="s">
        <v>10</v>
      </c>
      <c r="H250" s="54">
        <f>VLOOKUP(81.1,table_CIA_JCTS,7,FALSE)+VLOOKUP(90,table_CIA_INLETS,5,FALSE)+VLOOKUP(91,table_CIA_INLETS,5,FALSE)</f>
        <v>28.312999999999999</v>
      </c>
      <c r="I250" s="54" t="s">
        <v>10</v>
      </c>
      <c r="J250" s="54">
        <f>VLOOKUP(81.1,table_CIA_JCTS,9,FALSE)+VLOOKUP(90,table_CIA_INLETS,7,FALSE)+VLOOKUP(91,table_CIA_INLETS,7,FALSE)</f>
        <v>30.3185</v>
      </c>
      <c r="K250" s="56" t="s">
        <v>10</v>
      </c>
      <c r="L250" s="53" t="s">
        <v>10</v>
      </c>
      <c r="M250" s="55" t="s">
        <v>10</v>
      </c>
      <c r="N250" s="53" t="s">
        <v>10</v>
      </c>
      <c r="O250" s="53" t="s">
        <v>10</v>
      </c>
      <c r="P250" s="53">
        <f>VLOOKUP(81.1,table_CIA_JCTS,23,FALSE)</f>
        <v>58.524530133621575</v>
      </c>
      <c r="Q250" s="55">
        <f t="shared" si="16"/>
        <v>0.43340788706534666</v>
      </c>
      <c r="R250" s="54">
        <f>J250*Q250</f>
        <v>13.140277023990713</v>
      </c>
      <c r="S250" s="53">
        <v>30</v>
      </c>
      <c r="T250" s="55">
        <f>(4*R250)/(3.14159*(S250/12)^2)</f>
        <v>2.676917514810671</v>
      </c>
      <c r="U250" s="56">
        <f>((R250/((0.463135/cell_NP)*((S250/12)^(8/3))))^2)*cell_FF</f>
        <v>1.180406708237654E-3</v>
      </c>
      <c r="V250" s="53">
        <v>509</v>
      </c>
      <c r="W250" s="53">
        <f>V250/(T250*60)</f>
        <v>3.1690678873731861</v>
      </c>
      <c r="X250" s="53">
        <f>W250+P250</f>
        <v>61.693598020994763</v>
      </c>
      <c r="Y250" s="55">
        <f>U250*V250</f>
        <v>0.60082701449296594</v>
      </c>
      <c r="Z250" s="55">
        <f>IF(VLOOKUP(83,table_CIA_JCTS,25,FALSE)+VLOOKUP(82,table_CIA_JCTS,24,FALSE)&lt;VLOOKUP(82,table_CIA_JCTS,28,FALSE),VLOOKUP(82,table_CIA_JCTS,28,FALSE),VLOOKUP(83,table_CIA_JCTS,25,FALSE)+VLOOKUP(82,table_CIA_JCTS,24,FALSE))</f>
        <v>399.11</v>
      </c>
      <c r="AA250" s="55">
        <v>406.14</v>
      </c>
      <c r="AB250" s="55">
        <f>(AA250-0.5)-Z250</f>
        <v>6.5299999999999727</v>
      </c>
      <c r="AC250" s="57">
        <v>399.11</v>
      </c>
      <c r="AD250" t="s">
        <v>447</v>
      </c>
    </row>
    <row r="251" spans="2:30" x14ac:dyDescent="0.2">
      <c r="B251" s="216" t="s">
        <v>10</v>
      </c>
      <c r="C251" s="215">
        <v>92</v>
      </c>
      <c r="D251" s="54">
        <f>VLOOKUP(C251,table_DI,2)</f>
        <v>6.04</v>
      </c>
      <c r="E251" s="54" t="s">
        <v>10</v>
      </c>
      <c r="F251" s="55">
        <f>VLOOKUP(C251,table_DI,5)</f>
        <v>0.35</v>
      </c>
      <c r="G251" s="54">
        <f>VLOOKUP(C251,table_DI,3)</f>
        <v>1.9328000000000001</v>
      </c>
      <c r="H251" s="54" t="s">
        <v>10</v>
      </c>
      <c r="I251" s="54">
        <f>VLOOKUP(C251,table_DI,4)</f>
        <v>2.1139999999999999</v>
      </c>
      <c r="J251" s="54" t="s">
        <v>10</v>
      </c>
      <c r="K251" s="56">
        <f>VLOOKUP(C251,table_DI,9)</f>
        <v>6.1576971214017725E-3</v>
      </c>
      <c r="L251" s="53">
        <f>VLOOKUP(C251,table_DI,8)</f>
        <v>799</v>
      </c>
      <c r="M251" s="55">
        <f>(0.84*(K251^0.5)*(cell_GUTDEP^0.6666)/cell_NRD)</f>
        <v>2.3106089015292479</v>
      </c>
      <c r="N251" s="53">
        <f>VLOOKUP(C251,table_DI,10)</f>
        <v>25</v>
      </c>
      <c r="O251" s="53">
        <f>(L251/(M251*60))</f>
        <v>5.7632716024997555</v>
      </c>
      <c r="P251" s="53">
        <f>N251+O251</f>
        <v>30.763271602499756</v>
      </c>
      <c r="Q251" s="55">
        <f t="shared" si="16"/>
        <v>0.64833260290199779</v>
      </c>
      <c r="R251" s="54">
        <f>Q251*I251</f>
        <v>1.3705751225348233</v>
      </c>
      <c r="S251" s="53" t="s">
        <v>10</v>
      </c>
      <c r="T251" s="55" t="s">
        <v>10</v>
      </c>
      <c r="U251" s="56" t="s">
        <v>10</v>
      </c>
      <c r="V251" s="53" t="s">
        <v>10</v>
      </c>
      <c r="W251" s="53" t="s">
        <v>10</v>
      </c>
      <c r="X251" s="53" t="s">
        <v>10</v>
      </c>
      <c r="Y251" s="55" t="s">
        <v>10</v>
      </c>
      <c r="Z251" s="55" t="s">
        <v>10</v>
      </c>
      <c r="AA251" s="55" t="s">
        <v>10</v>
      </c>
      <c r="AB251" s="55" t="s">
        <v>10</v>
      </c>
      <c r="AC251" s="57" t="s">
        <v>10</v>
      </c>
      <c r="AD251" t="s">
        <v>10</v>
      </c>
    </row>
    <row r="252" spans="2:30" x14ac:dyDescent="0.2">
      <c r="B252" s="216" t="s">
        <v>10</v>
      </c>
      <c r="C252" s="215">
        <v>93</v>
      </c>
      <c r="D252" s="54">
        <f>VLOOKUP(C252,table_DI,2)</f>
        <v>1.83</v>
      </c>
      <c r="E252" s="54" t="s">
        <v>10</v>
      </c>
      <c r="F252" s="55">
        <f>VLOOKUP(C252,table_DI,5)</f>
        <v>0.35</v>
      </c>
      <c r="G252" s="54">
        <f>VLOOKUP(C252,table_DI,3)</f>
        <v>0.58560000000000001</v>
      </c>
      <c r="H252" s="54" t="s">
        <v>10</v>
      </c>
      <c r="I252" s="54">
        <f>VLOOKUP(C252,table_DI,4)</f>
        <v>0.64049999999999996</v>
      </c>
      <c r="J252" s="54" t="s">
        <v>10</v>
      </c>
      <c r="K252" s="56">
        <f>VLOOKUP(C252,table_DI,9)</f>
        <v>7.9657387580300363E-3</v>
      </c>
      <c r="L252" s="53">
        <f>VLOOKUP(C252,table_DI,8)</f>
        <v>467</v>
      </c>
      <c r="M252" s="55">
        <f>(0.84*(K252^0.5)*(cell_GUTDEP^0.6666)/cell_NRD)</f>
        <v>2.6280299484679341</v>
      </c>
      <c r="N252" s="53">
        <f>VLOOKUP(C252,table_DI,10)</f>
        <v>25</v>
      </c>
      <c r="O252" s="53">
        <f>(L252/(M252*60))</f>
        <v>2.9616608204449086</v>
      </c>
      <c r="P252" s="53">
        <f>N252+O252</f>
        <v>27.961660820444909</v>
      </c>
      <c r="Q252" s="55">
        <f t="shared" si="16"/>
        <v>0.68828150220627538</v>
      </c>
      <c r="R252" s="54">
        <f>Q252*I252</f>
        <v>0.44084430216311937</v>
      </c>
      <c r="S252" s="53" t="s">
        <v>10</v>
      </c>
      <c r="T252" s="55" t="s">
        <v>10</v>
      </c>
      <c r="U252" s="56" t="s">
        <v>10</v>
      </c>
      <c r="V252" s="53" t="s">
        <v>10</v>
      </c>
      <c r="W252" s="53" t="s">
        <v>10</v>
      </c>
      <c r="X252" s="53" t="s">
        <v>10</v>
      </c>
      <c r="Y252" s="55" t="s">
        <v>10</v>
      </c>
      <c r="Z252" s="55" t="s">
        <v>10</v>
      </c>
      <c r="AA252" s="55" t="s">
        <v>10</v>
      </c>
      <c r="AB252" s="55" t="s">
        <v>10</v>
      </c>
      <c r="AC252" s="57" t="s">
        <v>10</v>
      </c>
      <c r="AD252" t="s">
        <v>10</v>
      </c>
    </row>
    <row r="253" spans="2:30" x14ac:dyDescent="0.2">
      <c r="B253" s="216">
        <v>83</v>
      </c>
      <c r="C253" s="217" t="s">
        <v>10</v>
      </c>
      <c r="D253" s="54" t="s">
        <v>10</v>
      </c>
      <c r="E253" s="54">
        <f>VLOOKUP(82,table_CIA_JCTS,4,FALSE)+VLOOKUP(92,table_CIA_INLETS,2,FALSE)+VLOOKUP(93,table_CIA_INLETS,2,FALSE)</f>
        <v>82.41</v>
      </c>
      <c r="F253" s="55" t="s">
        <v>10</v>
      </c>
      <c r="G253" s="54" t="s">
        <v>10</v>
      </c>
      <c r="H253" s="54">
        <f>VLOOKUP(82,table_CIA_JCTS,7,FALSE)+VLOOKUP(92,table_CIA_INLETS,5,FALSE)+VLOOKUP(93,table_CIA_INLETS,5,FALSE)</f>
        <v>30.831399999999999</v>
      </c>
      <c r="I253" s="54" t="s">
        <v>10</v>
      </c>
      <c r="J253" s="54">
        <f>VLOOKUP(82,table_CIA_JCTS,9,FALSE)+VLOOKUP(92,table_CIA_INLETS,7,FALSE)+VLOOKUP(93,table_CIA_INLETS,7,FALSE)</f>
        <v>33.073</v>
      </c>
      <c r="K253" s="56" t="s">
        <v>10</v>
      </c>
      <c r="L253" s="53" t="s">
        <v>10</v>
      </c>
      <c r="M253" s="55" t="s">
        <v>10</v>
      </c>
      <c r="N253" s="53" t="s">
        <v>10</v>
      </c>
      <c r="O253" s="53" t="s">
        <v>10</v>
      </c>
      <c r="P253" s="53">
        <f>VLOOKUP(82,table_CIA_JCTS,23,FALSE)</f>
        <v>61.693598020994763</v>
      </c>
      <c r="Q253" s="55">
        <f t="shared" si="16"/>
        <v>0.41932955700457708</v>
      </c>
      <c r="R253" s="54">
        <f>J253*Q253</f>
        <v>13.868486438812377</v>
      </c>
      <c r="S253" s="53">
        <v>30</v>
      </c>
      <c r="T253" s="55">
        <f>(4*R253)/(3.14159*(S253/12)^2)</f>
        <v>2.8252672439242299</v>
      </c>
      <c r="U253" s="56">
        <f>((R253/((0.463135/cell_NP)*((S253/12)^(8/3))))^2)*cell_FF</f>
        <v>1.3148637703163982E-3</v>
      </c>
      <c r="V253" s="53">
        <v>46</v>
      </c>
      <c r="W253" s="53">
        <f>V253/(T253*60)</f>
        <v>0.27136076005390014</v>
      </c>
      <c r="X253" s="53">
        <f>W253+P253</f>
        <v>61.964958781048665</v>
      </c>
      <c r="Y253" s="55">
        <f>U253*V253</f>
        <v>6.0483733434554321E-2</v>
      </c>
      <c r="Z253" s="55">
        <f>IF(VLOOKUP(83.1,table_CIA_JCTS,25,FALSE)+VLOOKUP(83,table_CIA_JCTS,24,FALSE)&lt;VLOOKUP(83,table_CIA_JCTS,28,FALSE),VLOOKUP(83,table_CIA_JCTS,28,FALSE),VLOOKUP(83.1,table_CIA_JCTS,25,FALSE)+VLOOKUP(83,table_CIA_JCTS,24,FALSE))</f>
        <v>397.30796661455776</v>
      </c>
      <c r="AA253" s="55">
        <v>402.5</v>
      </c>
      <c r="AB253" s="55">
        <f>(AA253-0.5)-Z253</f>
        <v>4.6920333854422438</v>
      </c>
      <c r="AC253" s="57">
        <v>395.93</v>
      </c>
      <c r="AD253" t="s">
        <v>447</v>
      </c>
    </row>
    <row r="254" spans="2:30" x14ac:dyDescent="0.2">
      <c r="B254" s="216" t="s">
        <v>10</v>
      </c>
      <c r="C254" s="215">
        <v>94</v>
      </c>
      <c r="D254" s="54">
        <f>VLOOKUP(C254,table_DI,2)</f>
        <v>5.51</v>
      </c>
      <c r="E254" s="54" t="s">
        <v>10</v>
      </c>
      <c r="F254" s="55">
        <f>VLOOKUP(C254,table_DI,5)</f>
        <v>0.35000000000000003</v>
      </c>
      <c r="G254" s="54">
        <f>VLOOKUP(C254,table_DI,3)</f>
        <v>1.7632000000000001</v>
      </c>
      <c r="H254" s="54" t="s">
        <v>10</v>
      </c>
      <c r="I254" s="54">
        <f>VLOOKUP(C254,table_DI,4)</f>
        <v>1.9285000000000001</v>
      </c>
      <c r="J254" s="54" t="s">
        <v>10</v>
      </c>
      <c r="K254" s="56">
        <f>VLOOKUP(C254,table_DI,9)</f>
        <v>2.2836879432624308E-3</v>
      </c>
      <c r="L254" s="53">
        <f>VLOOKUP(C254,table_DI,8)</f>
        <v>705</v>
      </c>
      <c r="M254" s="55">
        <f>(0.84*(K254^0.5)*(cell_GUTDEP^0.6666)/cell_NRD)</f>
        <v>1.4071346579268114</v>
      </c>
      <c r="N254" s="53">
        <f>VLOOKUP(C254,table_DI,10)</f>
        <v>25</v>
      </c>
      <c r="O254" s="53">
        <f>(L254/(M254*60))</f>
        <v>8.3503024631002631</v>
      </c>
      <c r="P254" s="53">
        <f>N254+O254</f>
        <v>33.350302463100263</v>
      </c>
      <c r="Q254" s="55">
        <f t="shared" si="16"/>
        <v>0.61636610082975651</v>
      </c>
      <c r="R254" s="54">
        <f>Q254*I254</f>
        <v>1.1886620254501854</v>
      </c>
      <c r="S254" s="53" t="s">
        <v>10</v>
      </c>
      <c r="T254" s="55" t="s">
        <v>10</v>
      </c>
      <c r="U254" s="56" t="s">
        <v>10</v>
      </c>
      <c r="V254" s="53" t="s">
        <v>10</v>
      </c>
      <c r="W254" s="53" t="s">
        <v>10</v>
      </c>
      <c r="X254" s="53" t="s">
        <v>10</v>
      </c>
      <c r="Y254" s="55" t="s">
        <v>10</v>
      </c>
      <c r="Z254" s="55" t="s">
        <v>10</v>
      </c>
      <c r="AA254" s="55" t="s">
        <v>10</v>
      </c>
      <c r="AB254" s="55" t="s">
        <v>10</v>
      </c>
      <c r="AC254" s="57" t="s">
        <v>10</v>
      </c>
      <c r="AD254" t="s">
        <v>10</v>
      </c>
    </row>
    <row r="255" spans="2:30" x14ac:dyDescent="0.2">
      <c r="B255" s="216">
        <v>83.1</v>
      </c>
      <c r="C255" s="217" t="s">
        <v>10</v>
      </c>
      <c r="D255" s="54" t="s">
        <v>10</v>
      </c>
      <c r="E255" s="54">
        <f>VLOOKUP(83,table_CIA_JCTS,4,FALSE)+VLOOKUP(94,table_CIA_INLETS,2,FALSE)</f>
        <v>87.92</v>
      </c>
      <c r="F255" s="55" t="s">
        <v>10</v>
      </c>
      <c r="G255" s="54" t="s">
        <v>10</v>
      </c>
      <c r="H255" s="54">
        <f>VLOOKUP(83,table_CIA_JCTS,7,FALSE)+VLOOKUP(94,table_CIA_INLETS,5,FALSE)</f>
        <v>32.5946</v>
      </c>
      <c r="I255" s="54" t="s">
        <v>10</v>
      </c>
      <c r="J255" s="54">
        <f>VLOOKUP(83,table_CIA_JCTS,9,FALSE)+VLOOKUP(94,table_CIA_INLETS,7,FALSE)</f>
        <v>35.0015</v>
      </c>
      <c r="K255" s="56" t="s">
        <v>10</v>
      </c>
      <c r="L255" s="53" t="s">
        <v>10</v>
      </c>
      <c r="M255" s="55" t="s">
        <v>10</v>
      </c>
      <c r="N255" s="53" t="s">
        <v>10</v>
      </c>
      <c r="O255" s="53" t="s">
        <v>10</v>
      </c>
      <c r="P255" s="53">
        <f>VLOOKUP(83,table_CIA_JCTS,23,FALSE)</f>
        <v>61.964958781048665</v>
      </c>
      <c r="Q255" s="55">
        <f t="shared" si="16"/>
        <v>0.41817868916988166</v>
      </c>
      <c r="R255" s="54">
        <f>J255*Q255</f>
        <v>14.636881388979614</v>
      </c>
      <c r="S255" s="53">
        <v>30</v>
      </c>
      <c r="T255" s="55">
        <f>(4*R255)/(3.14159*(S255/12)^2)</f>
        <v>2.9818035099891942</v>
      </c>
      <c r="U255" s="56">
        <f>((R255/((0.463135/cell_NP)*((S255/12)^(8/3))))^2)*cell_FF</f>
        <v>1.464602373697418E-3</v>
      </c>
      <c r="V255" s="53">
        <v>961</v>
      </c>
      <c r="W255" s="53">
        <f>V255/(T255*60)</f>
        <v>5.371469519373095</v>
      </c>
      <c r="X255" s="53">
        <f>W255+P255</f>
        <v>67.336428300421758</v>
      </c>
      <c r="Y255" s="55">
        <f>U255*V255</f>
        <v>1.4074828811232187</v>
      </c>
      <c r="Z255" s="55">
        <f>IF(VLOOKUP(88.1,table_CIA_JCTS,25,FALSE)+VLOOKUP(83.1,table_CIA_JCTS,24,FALSE)&lt;VLOOKUP(83.1,table_CIA_JCTS,28,FALSE),VLOOKUP(83.1,table_CIA_JCTS,28,FALSE),VLOOKUP(88.1,table_CIA_JCTS,25,FALSE)+VLOOKUP(83.1,table_CIA_JCTS,24,FALSE))</f>
        <v>397.24748288112318</v>
      </c>
      <c r="AA255" s="55">
        <v>402.75</v>
      </c>
      <c r="AB255" s="55">
        <f>(AA255-0.5)-Z255</f>
        <v>5.002517118876824</v>
      </c>
      <c r="AC255" s="57">
        <v>395.93</v>
      </c>
      <c r="AD255" t="s">
        <v>448</v>
      </c>
    </row>
    <row r="256" spans="2:30" x14ac:dyDescent="0.2">
      <c r="B256" s="216" t="s">
        <v>10</v>
      </c>
      <c r="C256" s="217" t="s">
        <v>10</v>
      </c>
      <c r="D256" s="54" t="s">
        <v>10</v>
      </c>
      <c r="E256" s="54" t="s">
        <v>10</v>
      </c>
      <c r="F256" s="55" t="s">
        <v>10</v>
      </c>
      <c r="G256" s="54" t="s">
        <v>10</v>
      </c>
      <c r="H256" s="54" t="s">
        <v>10</v>
      </c>
      <c r="I256" s="54" t="s">
        <v>10</v>
      </c>
      <c r="J256" s="54" t="s">
        <v>10</v>
      </c>
      <c r="K256" s="56" t="s">
        <v>10</v>
      </c>
      <c r="L256" s="53" t="s">
        <v>10</v>
      </c>
      <c r="M256" s="55" t="s">
        <v>10</v>
      </c>
      <c r="N256" s="53" t="s">
        <v>10</v>
      </c>
      <c r="O256" s="53" t="s">
        <v>10</v>
      </c>
      <c r="P256" s="53" t="s">
        <v>10</v>
      </c>
      <c r="Q256" s="55" t="s">
        <v>10</v>
      </c>
      <c r="R256" s="54" t="s">
        <v>10</v>
      </c>
      <c r="S256" s="53" t="s">
        <v>10</v>
      </c>
      <c r="T256" s="55" t="s">
        <v>10</v>
      </c>
      <c r="U256" s="56" t="s">
        <v>10</v>
      </c>
      <c r="V256" s="53" t="s">
        <v>10</v>
      </c>
      <c r="W256" s="53" t="s">
        <v>10</v>
      </c>
      <c r="X256" s="53" t="s">
        <v>10</v>
      </c>
      <c r="Y256" s="55" t="s">
        <v>10</v>
      </c>
      <c r="Z256" s="55" t="s">
        <v>10</v>
      </c>
      <c r="AA256" s="55" t="s">
        <v>10</v>
      </c>
      <c r="AB256" s="55" t="s">
        <v>10</v>
      </c>
      <c r="AC256" s="57" t="s">
        <v>10</v>
      </c>
      <c r="AD256" t="s">
        <v>10</v>
      </c>
    </row>
    <row r="257" spans="1:31" x14ac:dyDescent="0.2">
      <c r="A257" s="632" t="s">
        <v>585</v>
      </c>
      <c r="B257" s="633" t="s">
        <v>10</v>
      </c>
      <c r="C257" s="634">
        <v>95</v>
      </c>
      <c r="D257" s="635">
        <f>VLOOKUP(C257,table_DI,2)</f>
        <v>10.39</v>
      </c>
      <c r="E257" s="635" t="s">
        <v>10</v>
      </c>
      <c r="F257" s="636">
        <f>VLOOKUP(C257,table_DI,5)</f>
        <v>0.38400384985563035</v>
      </c>
      <c r="G257" s="635">
        <f>VLOOKUP(C257,table_DI,3)</f>
        <v>3.3248000000000002</v>
      </c>
      <c r="H257" s="635" t="s">
        <v>10</v>
      </c>
      <c r="I257" s="635">
        <f>VLOOKUP(C257,table_DI,4)</f>
        <v>3.9897999999999998</v>
      </c>
      <c r="J257" s="635" t="s">
        <v>10</v>
      </c>
      <c r="K257" s="637">
        <f>VLOOKUP(C257,table_DI,9)</f>
        <v>2.7522935779816255E-3</v>
      </c>
      <c r="L257" s="638">
        <f>VLOOKUP(C257,table_DI,8)</f>
        <v>872</v>
      </c>
      <c r="M257" s="636">
        <f>(0.84*(K257^0.5)*(cell_GUTDEP^0.6666)/cell_NRD)</f>
        <v>1.5447729596803712</v>
      </c>
      <c r="N257" s="638">
        <f>VLOOKUP(C257,table_DI,10)</f>
        <v>25</v>
      </c>
      <c r="O257" s="638">
        <f>(L257/(M257*60))</f>
        <v>9.4080707732872444</v>
      </c>
      <c r="P257" s="638">
        <f>N257+O257</f>
        <v>34.408070773287243</v>
      </c>
      <c r="Q257" s="636">
        <f t="shared" ref="Q257:Q262" si="17">cell_P*(P257^cell_E)</f>
        <v>0.60443155822496397</v>
      </c>
      <c r="R257" s="635">
        <f>Q257*I257</f>
        <v>2.4115610310059612</v>
      </c>
      <c r="S257" s="638" t="s">
        <v>10</v>
      </c>
      <c r="T257" s="636" t="s">
        <v>10</v>
      </c>
      <c r="U257" s="637" t="s">
        <v>10</v>
      </c>
      <c r="V257" s="638" t="s">
        <v>10</v>
      </c>
      <c r="W257" s="638" t="s">
        <v>10</v>
      </c>
      <c r="X257" s="638" t="s">
        <v>10</v>
      </c>
      <c r="Y257" s="636" t="s">
        <v>10</v>
      </c>
      <c r="Z257" s="636" t="s">
        <v>10</v>
      </c>
      <c r="AA257" s="636" t="s">
        <v>10</v>
      </c>
      <c r="AB257" s="636" t="s">
        <v>10</v>
      </c>
      <c r="AC257" s="639" t="s">
        <v>10</v>
      </c>
      <c r="AD257" t="s">
        <v>10</v>
      </c>
    </row>
    <row r="258" spans="1:31" x14ac:dyDescent="0.2">
      <c r="A258" s="632" t="s">
        <v>586</v>
      </c>
      <c r="B258" s="633">
        <v>84</v>
      </c>
      <c r="C258" s="640" t="s">
        <v>10</v>
      </c>
      <c r="D258" s="635" t="s">
        <v>10</v>
      </c>
      <c r="E258" s="635">
        <f>VLOOKUP(95,table_CIA_INLETS,2,FALSE)</f>
        <v>10.39</v>
      </c>
      <c r="F258" s="636" t="s">
        <v>10</v>
      </c>
      <c r="G258" s="635" t="s">
        <v>10</v>
      </c>
      <c r="H258" s="635">
        <f>VLOOKUP(95,table_CIA_INLETS,5,FALSE)</f>
        <v>3.3248000000000002</v>
      </c>
      <c r="I258" s="635" t="s">
        <v>10</v>
      </c>
      <c r="J258" s="635">
        <f>VLOOKUP(95,table_CIA_INLETS,7,FALSE)</f>
        <v>3.9897999999999998</v>
      </c>
      <c r="K258" s="637" t="s">
        <v>10</v>
      </c>
      <c r="L258" s="638" t="s">
        <v>10</v>
      </c>
      <c r="M258" s="636" t="s">
        <v>10</v>
      </c>
      <c r="N258" s="638" t="s">
        <v>10</v>
      </c>
      <c r="O258" s="638" t="s">
        <v>10</v>
      </c>
      <c r="P258" s="638">
        <f>VLOOKUP(95,table_CIA_INLETS,14,FALSE)</f>
        <v>34.408070773287243</v>
      </c>
      <c r="Q258" s="636">
        <f t="shared" si="17"/>
        <v>0.60443155822496397</v>
      </c>
      <c r="R258" s="635">
        <f>J258*Q258</f>
        <v>2.4115610310059612</v>
      </c>
      <c r="S258" s="638">
        <v>18</v>
      </c>
      <c r="T258" s="636">
        <f>(4*R258)/(3.14159*(S258/12)^2)</f>
        <v>1.364665539003264</v>
      </c>
      <c r="U258" s="637">
        <f>((R258/((0.463135/cell_NP)*((S258/12)^(8/3))))^2)*cell_FF</f>
        <v>6.061951713871057E-4</v>
      </c>
      <c r="V258" s="638">
        <v>215</v>
      </c>
      <c r="W258" s="638">
        <f>V258/(T258*60)</f>
        <v>2.6257960144216428</v>
      </c>
      <c r="X258" s="638">
        <f>W258+P258</f>
        <v>37.033866787708888</v>
      </c>
      <c r="Y258" s="636">
        <f>U258*V258</f>
        <v>0.13033196184822773</v>
      </c>
      <c r="Z258" s="636">
        <f>IF(VLOOKUP(84.1,table_CIA_JCTS,25,FALSE)+VLOOKUP(84,table_CIA_JCTS,24,FALSE)&lt;VLOOKUP(84,table_CIA_JCTS,28,FALSE),VLOOKUP(84,table_CIA_JCTS,28,FALSE),VLOOKUP(84.1,table_CIA_JCTS,25,FALSE)+VLOOKUP(84,table_CIA_JCTS,24,FALSE))</f>
        <v>404.95615108124213</v>
      </c>
      <c r="AA258" s="636">
        <v>408.5</v>
      </c>
      <c r="AB258" s="636">
        <f>(AA258-0.5)-Z258</f>
        <v>3.0438489187578739</v>
      </c>
      <c r="AC258" s="639" t="s">
        <v>10</v>
      </c>
      <c r="AD258" t="s">
        <v>10</v>
      </c>
    </row>
    <row r="259" spans="1:31" x14ac:dyDescent="0.2">
      <c r="A259" s="641"/>
      <c r="B259" s="633" t="s">
        <v>10</v>
      </c>
      <c r="C259" s="634">
        <v>96</v>
      </c>
      <c r="D259" s="635">
        <f>VLOOKUP(C259,table_DI,2)</f>
        <v>10.36</v>
      </c>
      <c r="E259" s="635" t="s">
        <v>10</v>
      </c>
      <c r="F259" s="636">
        <f>VLOOKUP(C259,table_DI,5)</f>
        <v>0.52</v>
      </c>
      <c r="G259" s="635">
        <f>VLOOKUP(C259,table_DI,3)</f>
        <v>5.3872</v>
      </c>
      <c r="H259" s="635" t="s">
        <v>10</v>
      </c>
      <c r="I259" s="635">
        <f>VLOOKUP(C259,table_DI,4)</f>
        <v>5.3872</v>
      </c>
      <c r="J259" s="635" t="s">
        <v>10</v>
      </c>
      <c r="K259" s="637">
        <f>VLOOKUP(C259,table_DI,9)</f>
        <v>2.6799194765978807E-3</v>
      </c>
      <c r="L259" s="638">
        <f>VLOOKUP(C259,table_DI,8)</f>
        <v>3974</v>
      </c>
      <c r="M259" s="636">
        <f>(0.84*(K259^0.5)*(cell_GUTDEP^0.6666)/cell_NRD)</f>
        <v>1.5243270373613276</v>
      </c>
      <c r="N259" s="638">
        <f>VLOOKUP(C259,table_DI,10)</f>
        <v>5</v>
      </c>
      <c r="O259" s="638">
        <f>(L259/(M259*60))</f>
        <v>43.450868291351668</v>
      </c>
      <c r="P259" s="638">
        <f>N259+O259</f>
        <v>48.450868291351668</v>
      </c>
      <c r="Q259" s="636">
        <f t="shared" si="17"/>
        <v>0.48782941740329977</v>
      </c>
      <c r="R259" s="635">
        <f>Q259*I259</f>
        <v>2.6280346374350567</v>
      </c>
      <c r="S259" s="638" t="s">
        <v>10</v>
      </c>
      <c r="T259" s="636" t="s">
        <v>10</v>
      </c>
      <c r="U259" s="637" t="s">
        <v>10</v>
      </c>
      <c r="V259" s="638" t="s">
        <v>10</v>
      </c>
      <c r="W259" s="638" t="s">
        <v>10</v>
      </c>
      <c r="X259" s="638" t="s">
        <v>10</v>
      </c>
      <c r="Y259" s="636" t="s">
        <v>10</v>
      </c>
      <c r="Z259" s="636" t="s">
        <v>10</v>
      </c>
      <c r="AA259" s="636" t="s">
        <v>10</v>
      </c>
      <c r="AB259" s="636" t="s">
        <v>10</v>
      </c>
      <c r="AC259" s="639" t="s">
        <v>10</v>
      </c>
      <c r="AD259" t="s">
        <v>10</v>
      </c>
    </row>
    <row r="260" spans="1:31" x14ac:dyDescent="0.2">
      <c r="B260" s="216">
        <v>84.1</v>
      </c>
      <c r="C260" s="217" t="s">
        <v>10</v>
      </c>
      <c r="D260" s="54" t="s">
        <v>10</v>
      </c>
      <c r="E260" s="54">
        <f>VLOOKUP(84,table_CIA_JCTS,4,FALSE)+VLOOKUP(96,table_CIA_INLETS,2,FALSE)</f>
        <v>20.75</v>
      </c>
      <c r="F260" s="55" t="s">
        <v>10</v>
      </c>
      <c r="G260" s="54" t="s">
        <v>10</v>
      </c>
      <c r="H260" s="54">
        <f>VLOOKUP(84,table_CIA_JCTS,7,FALSE)+VLOOKUP(96,table_CIA_INLETS,5,FALSE)</f>
        <v>8.7119999999999997</v>
      </c>
      <c r="I260" s="54" t="s">
        <v>10</v>
      </c>
      <c r="J260" s="54">
        <f>VLOOKUP(84,table_CIA_JCTS,9,FALSE)+VLOOKUP(96,table_CIA_INLETS,7,FALSE)</f>
        <v>9.3769999999999989</v>
      </c>
      <c r="K260" s="56" t="s">
        <v>10</v>
      </c>
      <c r="L260" s="53" t="s">
        <v>10</v>
      </c>
      <c r="M260" s="55" t="s">
        <v>10</v>
      </c>
      <c r="N260" s="53" t="s">
        <v>10</v>
      </c>
      <c r="O260" s="53" t="s">
        <v>10</v>
      </c>
      <c r="P260" s="53">
        <f>VLOOKUP(96,table_CIA_INLETS,14,FALSE)</f>
        <v>48.450868291351668</v>
      </c>
      <c r="Q260" s="55">
        <f t="shared" si="17"/>
        <v>0.48782941740329977</v>
      </c>
      <c r="R260" s="54">
        <f>J260*Q260</f>
        <v>4.5743764469907413</v>
      </c>
      <c r="S260" s="53">
        <v>18</v>
      </c>
      <c r="T260" s="55">
        <f>(4*R260)/(3.14159*(S260/12)^2)</f>
        <v>2.5885697352774253</v>
      </c>
      <c r="U260" s="56">
        <f>((R260/((0.463135/cell_NP)*((S260/12)^(8/3))))^2)*cell_FF</f>
        <v>2.1811210125685571E-3</v>
      </c>
      <c r="V260" s="53">
        <v>37</v>
      </c>
      <c r="W260" s="53">
        <f>V260/(T260*60)</f>
        <v>0.23822679306747613</v>
      </c>
      <c r="X260" s="53">
        <f>W260+P260</f>
        <v>48.689095084419144</v>
      </c>
      <c r="Y260" s="55">
        <f>U260*V260</f>
        <v>8.0701477465036614E-2</v>
      </c>
      <c r="Z260" s="55">
        <f>IF(VLOOKUP(85,table_CIA_JCTS,25,FALSE)+VLOOKUP(84.1,table_CIA_JCTS,24,FALSE)&lt;VLOOKUP(84.1,table_CIA_JCTS,28,FALSE),VLOOKUP(84.1,table_CIA_JCTS,28,FALSE),VLOOKUP(85,table_CIA_JCTS,25,FALSE)+VLOOKUP(84.1,table_CIA_JCTS,24,FALSE))</f>
        <v>404.82581911939388</v>
      </c>
      <c r="AA260" s="55">
        <v>409</v>
      </c>
      <c r="AB260" s="55">
        <f>(AA260-0.5)-Z260</f>
        <v>3.6741808806061158</v>
      </c>
      <c r="AC260" s="57" t="s">
        <v>10</v>
      </c>
      <c r="AD260" t="s">
        <v>10</v>
      </c>
    </row>
    <row r="261" spans="1:31" x14ac:dyDescent="0.2">
      <c r="B261" s="216" t="s">
        <v>10</v>
      </c>
      <c r="C261" s="215">
        <v>97</v>
      </c>
      <c r="D261" s="54">
        <f>VLOOKUP(C261,table_DI,2)</f>
        <v>3.29</v>
      </c>
      <c r="E261" s="54" t="s">
        <v>10</v>
      </c>
      <c r="F261" s="55">
        <f>VLOOKUP(C261,table_DI,5)</f>
        <v>0.89999999999999991</v>
      </c>
      <c r="G261" s="54">
        <f>VLOOKUP(C261,table_DI,3)</f>
        <v>2.9609999999999999</v>
      </c>
      <c r="H261" s="54" t="s">
        <v>10</v>
      </c>
      <c r="I261" s="54">
        <f>VLOOKUP(C261,table_DI,4)</f>
        <v>2.9609999999999999</v>
      </c>
      <c r="J261" s="54" t="s">
        <v>10</v>
      </c>
      <c r="K261" s="56">
        <f>VLOOKUP(C261,table_DI,9)</f>
        <v>1.7550702028081124E-3</v>
      </c>
      <c r="L261" s="53">
        <f>VLOOKUP(C261,table_DI,8)</f>
        <v>1282</v>
      </c>
      <c r="M261" s="55">
        <f>(0.84*(K261^0.5)*(cell_GUTDEP^0.6666)/cell_NRD)</f>
        <v>1.2335720675494284</v>
      </c>
      <c r="N261" s="53">
        <f>VLOOKUP(C261,table_DI,10)</f>
        <v>5</v>
      </c>
      <c r="O261" s="53">
        <f>(L261/(M261*60))</f>
        <v>17.320971533599124</v>
      </c>
      <c r="P261" s="53">
        <f>N261+O261</f>
        <v>22.320971533599124</v>
      </c>
      <c r="Q261" s="55">
        <f t="shared" si="17"/>
        <v>0.79257375348162495</v>
      </c>
      <c r="R261" s="54">
        <f>Q261*I261</f>
        <v>2.3468108840590913</v>
      </c>
      <c r="S261" s="53" t="s">
        <v>10</v>
      </c>
      <c r="T261" s="55" t="s">
        <v>10</v>
      </c>
      <c r="U261" s="56" t="s">
        <v>10</v>
      </c>
      <c r="V261" s="53" t="s">
        <v>10</v>
      </c>
      <c r="W261" s="53" t="s">
        <v>10</v>
      </c>
      <c r="X261" s="53" t="s">
        <v>10</v>
      </c>
      <c r="Y261" s="55" t="s">
        <v>10</v>
      </c>
      <c r="Z261" s="55" t="s">
        <v>10</v>
      </c>
      <c r="AA261" s="55" t="s">
        <v>10</v>
      </c>
      <c r="AB261" s="55" t="s">
        <v>10</v>
      </c>
      <c r="AC261" s="57" t="s">
        <v>10</v>
      </c>
      <c r="AD261" t="s">
        <v>10</v>
      </c>
    </row>
    <row r="262" spans="1:31" x14ac:dyDescent="0.2">
      <c r="B262" s="216">
        <v>85</v>
      </c>
      <c r="C262" s="217" t="s">
        <v>10</v>
      </c>
      <c r="D262" s="54" t="s">
        <v>10</v>
      </c>
      <c r="E262" s="54">
        <f>VLOOKUP(84.1,table_CIA_JCTS,4,FALSE)+VLOOKUP(97,table_CIA_INLETS,2,FALSE)</f>
        <v>24.04</v>
      </c>
      <c r="F262" s="55" t="s">
        <v>10</v>
      </c>
      <c r="G262" s="54" t="s">
        <v>10</v>
      </c>
      <c r="H262" s="54">
        <f>VLOOKUP(84.1,table_CIA_JCTS,7,FALSE)+VLOOKUP(97,table_CIA_INLETS,5,FALSE)</f>
        <v>11.673</v>
      </c>
      <c r="I262" s="54" t="s">
        <v>10</v>
      </c>
      <c r="J262" s="54">
        <f>VLOOKUP(84.1,table_CIA_JCTS,9,FALSE)+VLOOKUP(97,table_CIA_INLETS,7,FALSE)</f>
        <v>12.337999999999999</v>
      </c>
      <c r="K262" s="56" t="s">
        <v>10</v>
      </c>
      <c r="L262" s="53" t="s">
        <v>10</v>
      </c>
      <c r="M262" s="55" t="s">
        <v>10</v>
      </c>
      <c r="N262" s="53" t="s">
        <v>10</v>
      </c>
      <c r="O262" s="53" t="s">
        <v>10</v>
      </c>
      <c r="P262" s="53">
        <f>VLOOKUP(84.1,table_CIA_JCTS,23,FALSE)</f>
        <v>48.689095084419144</v>
      </c>
      <c r="Q262" s="55">
        <f t="shared" si="17"/>
        <v>0.48633339599338743</v>
      </c>
      <c r="R262" s="54">
        <f>J262*Q262</f>
        <v>6.0003814397664135</v>
      </c>
      <c r="S262" s="593">
        <v>18</v>
      </c>
      <c r="T262" s="55">
        <f>(4*R262)/(3.14159*(S262/12)^2)</f>
        <v>3.3955241714567963</v>
      </c>
      <c r="U262" s="56">
        <f>((R262/((0.463135/cell_NP)*((S262/12)^(8/3))))^2)*cell_FF</f>
        <v>3.7529577565987163E-3</v>
      </c>
      <c r="V262" s="593">
        <v>1292</v>
      </c>
      <c r="W262" s="53">
        <f>V262/(T262*60)</f>
        <v>6.3416816509054019</v>
      </c>
      <c r="X262" s="53">
        <f>W262+P262</f>
        <v>55.030776735324544</v>
      </c>
      <c r="Y262" s="55">
        <f>U262*V262</f>
        <v>4.8488214215255416</v>
      </c>
      <c r="Z262" s="55">
        <f>IF(VLOOKUP(87,table_CIA_JCTS,25,FALSE)+VLOOKUP(85,table_CIA_JCTS,24,FALSE)&lt;VLOOKUP(85,table_CIA_JCTS,28,FALSE),VLOOKUP(85,table_CIA_JCTS,28,FALSE),VLOOKUP(87,table_CIA_JCTS,25,FALSE)+VLOOKUP(85,table_CIA_JCTS,24,FALSE))</f>
        <v>404.74511764192886</v>
      </c>
      <c r="AA262" s="55">
        <v>409</v>
      </c>
      <c r="AB262" s="55">
        <f>(AA262-0.5)-Z262</f>
        <v>3.7548823580711428</v>
      </c>
      <c r="AC262" s="594">
        <v>401.33</v>
      </c>
      <c r="AD262" t="s">
        <v>444</v>
      </c>
    </row>
    <row r="263" spans="1:31" x14ac:dyDescent="0.2">
      <c r="B263" s="216" t="s">
        <v>10</v>
      </c>
      <c r="C263" s="217" t="s">
        <v>10</v>
      </c>
      <c r="D263" s="54" t="s">
        <v>10</v>
      </c>
      <c r="E263" s="54" t="s">
        <v>10</v>
      </c>
      <c r="F263" s="55" t="s">
        <v>10</v>
      </c>
      <c r="G263" s="54" t="s">
        <v>10</v>
      </c>
      <c r="H263" s="54" t="s">
        <v>10</v>
      </c>
      <c r="I263" s="54" t="s">
        <v>10</v>
      </c>
      <c r="J263" s="54" t="s">
        <v>10</v>
      </c>
      <c r="K263" s="56" t="s">
        <v>10</v>
      </c>
      <c r="L263" s="53" t="s">
        <v>10</v>
      </c>
      <c r="M263" s="55" t="s">
        <v>10</v>
      </c>
      <c r="N263" s="53" t="s">
        <v>10</v>
      </c>
      <c r="O263" s="53" t="s">
        <v>10</v>
      </c>
      <c r="P263" s="53" t="s">
        <v>10</v>
      </c>
      <c r="Q263" s="55" t="s">
        <v>10</v>
      </c>
      <c r="R263" s="54" t="s">
        <v>10</v>
      </c>
      <c r="S263" s="53" t="s">
        <v>10</v>
      </c>
      <c r="T263" s="55" t="s">
        <v>10</v>
      </c>
      <c r="U263" s="56" t="s">
        <v>10</v>
      </c>
      <c r="V263" s="53" t="s">
        <v>10</v>
      </c>
      <c r="W263" s="53" t="s">
        <v>10</v>
      </c>
      <c r="X263" s="53" t="s">
        <v>10</v>
      </c>
      <c r="Y263" s="55" t="s">
        <v>10</v>
      </c>
      <c r="Z263" s="55" t="s">
        <v>10</v>
      </c>
      <c r="AA263" s="55" t="s">
        <v>10</v>
      </c>
      <c r="AB263" s="55" t="s">
        <v>10</v>
      </c>
      <c r="AC263" s="594">
        <v>401.63</v>
      </c>
      <c r="AD263" t="s">
        <v>446</v>
      </c>
    </row>
    <row r="264" spans="1:31" x14ac:dyDescent="0.2">
      <c r="A264" s="632" t="s">
        <v>585</v>
      </c>
      <c r="B264" s="633" t="s">
        <v>10</v>
      </c>
      <c r="C264" s="634">
        <v>98</v>
      </c>
      <c r="D264" s="635">
        <f>VLOOKUP(C264,table_DI,2)</f>
        <v>37.520000000000003</v>
      </c>
      <c r="E264" s="635" t="s">
        <v>10</v>
      </c>
      <c r="F264" s="636">
        <f>VLOOKUP(C264,table_DI,5)</f>
        <v>0.38406183368869934</v>
      </c>
      <c r="G264" s="635">
        <f>VLOOKUP(C264,table_DI,3)</f>
        <v>12.01</v>
      </c>
      <c r="H264" s="635" t="s">
        <v>10</v>
      </c>
      <c r="I264" s="635">
        <f>VLOOKUP(C264,table_DI,4)</f>
        <v>14.41</v>
      </c>
      <c r="J264" s="635" t="s">
        <v>10</v>
      </c>
      <c r="K264" s="637">
        <f>VLOOKUP(C264,table_DI,9)</f>
        <v>1.8275862068965751E-3</v>
      </c>
      <c r="L264" s="638">
        <f>VLOOKUP(C264,table_DI,8)</f>
        <v>1450</v>
      </c>
      <c r="M264" s="636">
        <f>(0.84*(K264^0.5)*(cell_GUTDEP^0.6666)/cell_NRD)</f>
        <v>1.2587984985662597</v>
      </c>
      <c r="N264" s="638">
        <f>VLOOKUP(C264,table_DI,10)</f>
        <v>25</v>
      </c>
      <c r="O264" s="638">
        <f>(L264/(M264*60))</f>
        <v>19.198201057748243</v>
      </c>
      <c r="P264" s="638">
        <f>N264+O264</f>
        <v>44.198201057748243</v>
      </c>
      <c r="Q264" s="636">
        <f>cell_P*(P264^cell_E)</f>
        <v>0.5167154761495798</v>
      </c>
      <c r="R264" s="635">
        <f>Q264*I264</f>
        <v>7.4458700113154448</v>
      </c>
      <c r="S264" s="638" t="s">
        <v>10</v>
      </c>
      <c r="T264" s="636" t="s">
        <v>10</v>
      </c>
      <c r="U264" s="637" t="s">
        <v>10</v>
      </c>
      <c r="V264" s="638" t="s">
        <v>10</v>
      </c>
      <c r="W264" s="638" t="s">
        <v>10</v>
      </c>
      <c r="X264" s="638" t="s">
        <v>10</v>
      </c>
      <c r="Y264" s="636" t="s">
        <v>10</v>
      </c>
      <c r="Z264" s="636" t="s">
        <v>10</v>
      </c>
      <c r="AA264" s="636" t="s">
        <v>10</v>
      </c>
      <c r="AB264" s="636" t="s">
        <v>10</v>
      </c>
      <c r="AC264" s="639" t="s">
        <v>10</v>
      </c>
      <c r="AD264" t="s">
        <v>10</v>
      </c>
    </row>
    <row r="265" spans="1:31" x14ac:dyDescent="0.2">
      <c r="A265" s="632" t="s">
        <v>586</v>
      </c>
      <c r="B265" s="633" t="s">
        <v>10</v>
      </c>
      <c r="C265" s="634">
        <v>99</v>
      </c>
      <c r="D265" s="635">
        <f>VLOOKUP(C265,table_DI,2)</f>
        <v>1.37</v>
      </c>
      <c r="E265" s="635" t="s">
        <v>10</v>
      </c>
      <c r="F265" s="636">
        <f>VLOOKUP(C265,table_DI,5)</f>
        <v>0.75912408759124084</v>
      </c>
      <c r="G265" s="635">
        <f>VLOOKUP(C265,table_DI,3)</f>
        <v>1.04</v>
      </c>
      <c r="H265" s="635" t="s">
        <v>10</v>
      </c>
      <c r="I265" s="635">
        <f>VLOOKUP(C265,table_DI,4)</f>
        <v>1.04</v>
      </c>
      <c r="J265" s="635" t="s">
        <v>10</v>
      </c>
      <c r="K265" s="637">
        <f>VLOOKUP(C265,table_DI,9)</f>
        <v>6.278118609406939E-3</v>
      </c>
      <c r="L265" s="638">
        <f>VLOOKUP(C265,table_DI,8)</f>
        <v>489</v>
      </c>
      <c r="M265" s="636">
        <f>(0.84*(K265^0.5)*(cell_GUTDEP^0.6666)/cell_NRD)</f>
        <v>2.333092935012596</v>
      </c>
      <c r="N265" s="638">
        <f>VLOOKUP(C265,table_DI,10)</f>
        <v>5</v>
      </c>
      <c r="O265" s="638">
        <f>(L265/(M265*60))</f>
        <v>3.4932170415046064</v>
      </c>
      <c r="P265" s="638">
        <f>N265+O265</f>
        <v>8.4932170415046073</v>
      </c>
      <c r="Q265" s="636">
        <f>cell_P*(P265^cell_E)</f>
        <v>1.4515058811517609</v>
      </c>
      <c r="R265" s="635">
        <f>Q265*I265</f>
        <v>1.5095661163978313</v>
      </c>
      <c r="S265" s="638" t="s">
        <v>10</v>
      </c>
      <c r="T265" s="636" t="s">
        <v>10</v>
      </c>
      <c r="U265" s="637" t="s">
        <v>10</v>
      </c>
      <c r="V265" s="638" t="s">
        <v>10</v>
      </c>
      <c r="W265" s="638" t="s">
        <v>10</v>
      </c>
      <c r="X265" s="638" t="s">
        <v>10</v>
      </c>
      <c r="Y265" s="636" t="s">
        <v>10</v>
      </c>
      <c r="Z265" s="636" t="s">
        <v>10</v>
      </c>
      <c r="AA265" s="636" t="s">
        <v>10</v>
      </c>
      <c r="AB265" s="636" t="s">
        <v>10</v>
      </c>
      <c r="AC265" s="639" t="s">
        <v>10</v>
      </c>
      <c r="AD265" t="s">
        <v>10</v>
      </c>
    </row>
    <row r="266" spans="1:31" ht="15.75" x14ac:dyDescent="0.25">
      <c r="A266" s="641"/>
      <c r="B266" s="633">
        <v>86</v>
      </c>
      <c r="C266" s="640" t="s">
        <v>10</v>
      </c>
      <c r="D266" s="635" t="s">
        <v>10</v>
      </c>
      <c r="E266" s="635">
        <f>VLOOKUP(98,table_CIA_INLETS,2,FALSE)+VLOOKUP(99,table_CIA_INLETS,2,FALSE)</f>
        <v>38.89</v>
      </c>
      <c r="F266" s="636" t="s">
        <v>10</v>
      </c>
      <c r="G266" s="635" t="s">
        <v>10</v>
      </c>
      <c r="H266" s="635">
        <f>VLOOKUP(98,table_CIA_INLETS,5,FALSE)+VLOOKUP(99,table_CIA_INLETS,5,FALSE)</f>
        <v>13.05</v>
      </c>
      <c r="I266" s="635" t="s">
        <v>10</v>
      </c>
      <c r="J266" s="635">
        <f>VLOOKUP(98,table_CIA_INLETS,7,FALSE)+VLOOKUP(99,table_CIA_INLETS,7,FALSE)</f>
        <v>15.45</v>
      </c>
      <c r="K266" s="637" t="s">
        <v>10</v>
      </c>
      <c r="L266" s="638" t="s">
        <v>10</v>
      </c>
      <c r="M266" s="636" t="s">
        <v>10</v>
      </c>
      <c r="N266" s="638" t="s">
        <v>10</v>
      </c>
      <c r="O266" s="638" t="s">
        <v>10</v>
      </c>
      <c r="P266" s="638">
        <f>VLOOKUP(98,table_CIA_INLETS,14,FALSE)</f>
        <v>44.198201057748243</v>
      </c>
      <c r="Q266" s="636">
        <f>cell_P*(P266^cell_E)</f>
        <v>0.5167154761495798</v>
      </c>
      <c r="R266" s="635">
        <f>J266*Q266</f>
        <v>7.9832541065110076</v>
      </c>
      <c r="S266" s="642">
        <v>24</v>
      </c>
      <c r="T266" s="636">
        <f>(4*R266)/(3.14159*(S266/12)^2)</f>
        <v>2.5411508524380992</v>
      </c>
      <c r="U266" s="637">
        <f>((R266/((0.463135/cell_NP)*((S266/12)^(8/3))))^2)*cell_FF</f>
        <v>1.4323064098346948E-3</v>
      </c>
      <c r="V266" s="642">
        <v>575</v>
      </c>
      <c r="W266" s="638">
        <f>V266/(T266*60)</f>
        <v>3.7712571546622802</v>
      </c>
      <c r="X266" s="638">
        <f>W266+P266</f>
        <v>47.969458212410522</v>
      </c>
      <c r="Y266" s="636">
        <f>U266*V266</f>
        <v>0.8235761856549495</v>
      </c>
      <c r="Z266" s="636">
        <f>IF(VLOOKUP(87,table_CIA_JCTS,25,FALSE)+VLOOKUP(86,table_CIA_JCTS,24,FALSE)&lt;VLOOKUP(86,table_CIA_JCTS,28,FALSE),VLOOKUP(86,table_CIA_JCTS,28,FALSE),VLOOKUP(87,table_CIA_JCTS,25,FALSE)+VLOOKUP(86,table_CIA_JCTS,24,FALSE))</f>
        <v>400.71987240605824</v>
      </c>
      <c r="AA266" s="643">
        <v>404.95</v>
      </c>
      <c r="AB266" s="636">
        <f>(AA266-0.5)-Z266</f>
        <v>3.7301275939417451</v>
      </c>
      <c r="AC266" s="644">
        <v>400.59</v>
      </c>
      <c r="AD266" t="s">
        <v>449</v>
      </c>
      <c r="AE266" s="589"/>
    </row>
    <row r="267" spans="1:31" x14ac:dyDescent="0.2">
      <c r="B267" s="216">
        <v>87</v>
      </c>
      <c r="C267" s="217" t="s">
        <v>10</v>
      </c>
      <c r="D267" s="54" t="s">
        <v>10</v>
      </c>
      <c r="E267" s="54">
        <f>VLOOKUP(85,table_CIA_JCTS,4,FALSE)+VLOOKUP(86,table_CIA_JCTS,4,FALSE)</f>
        <v>62.93</v>
      </c>
      <c r="F267" s="55" t="s">
        <v>10</v>
      </c>
      <c r="G267" s="54" t="s">
        <v>10</v>
      </c>
      <c r="H267" s="54">
        <f>VLOOKUP(85,table_CIA_JCTS,7,FALSE)+VLOOKUP(86,table_CIA_JCTS,7,FALSE)</f>
        <v>24.722999999999999</v>
      </c>
      <c r="I267" s="54" t="s">
        <v>10</v>
      </c>
      <c r="J267" s="54">
        <f>VLOOKUP(85,table_CIA_JCTS,9,FALSE)+VLOOKUP(86,table_CIA_JCTS,9,FALSE)</f>
        <v>27.787999999999997</v>
      </c>
      <c r="K267" s="56" t="s">
        <v>10</v>
      </c>
      <c r="L267" s="53" t="s">
        <v>10</v>
      </c>
      <c r="M267" s="55" t="s">
        <v>10</v>
      </c>
      <c r="N267" s="53" t="s">
        <v>10</v>
      </c>
      <c r="O267" s="53" t="s">
        <v>10</v>
      </c>
      <c r="P267" s="53">
        <f>VLOOKUP(86,table_CIA_JCTS,23,FALSE)</f>
        <v>47.969458212410522</v>
      </c>
      <c r="Q267" s="55">
        <f>cell_P*(P267^cell_E)</f>
        <v>0.49088940579313473</v>
      </c>
      <c r="R267" s="54">
        <f>J267*Q267</f>
        <v>13.640834808179626</v>
      </c>
      <c r="S267" s="53">
        <v>24</v>
      </c>
      <c r="T267" s="55">
        <f>(4*R267)/(3.14159*(S267/12)^2)</f>
        <v>4.3420162427877687</v>
      </c>
      <c r="U267" s="56">
        <f>((R267/((0.463135/cell_NP)*((S267/12)^(8/3))))^2)*cell_FF</f>
        <v>4.1817486808281637E-3</v>
      </c>
      <c r="V267" s="53">
        <v>970</v>
      </c>
      <c r="W267" s="53">
        <f>V267/(T267*60)</f>
        <v>3.7233086572442073</v>
      </c>
      <c r="X267" s="53">
        <f>W267+P267</f>
        <v>51.692766869654733</v>
      </c>
      <c r="Y267" s="55">
        <f>U267*V267</f>
        <v>4.0562962204033184</v>
      </c>
      <c r="Z267" s="55">
        <f>IF(VLOOKUP(88.1,table_CIA_JCTS,25,FALSE)+VLOOKUP(87,table_CIA_JCTS,24,FALSE)&lt;VLOOKUP(87,table_CIA_JCTS,28,FALSE),VLOOKUP(87,table_CIA_JCTS,28,FALSE),VLOOKUP(88.1,table_CIA_JCTS,25,FALSE)+VLOOKUP(87,table_CIA_JCTS,24,FALSE))</f>
        <v>399.89629622040331</v>
      </c>
      <c r="AA267" s="55">
        <v>409</v>
      </c>
      <c r="AB267" s="55">
        <f>(AA267-0.5)-Z267</f>
        <v>8.6037037795966853</v>
      </c>
      <c r="AC267" s="57">
        <v>398.93</v>
      </c>
      <c r="AD267" t="s">
        <v>449</v>
      </c>
    </row>
    <row r="268" spans="1:31" x14ac:dyDescent="0.2">
      <c r="B268" s="216" t="s">
        <v>10</v>
      </c>
      <c r="C268" s="217" t="s">
        <v>10</v>
      </c>
      <c r="D268" s="54" t="s">
        <v>10</v>
      </c>
      <c r="E268" s="54" t="s">
        <v>10</v>
      </c>
      <c r="F268" s="55" t="s">
        <v>10</v>
      </c>
      <c r="G268" s="54" t="s">
        <v>10</v>
      </c>
      <c r="H268" s="54" t="s">
        <v>10</v>
      </c>
      <c r="I268" s="54" t="s">
        <v>10</v>
      </c>
      <c r="J268" s="54" t="s">
        <v>10</v>
      </c>
      <c r="K268" s="56" t="s">
        <v>10</v>
      </c>
      <c r="L268" s="53" t="s">
        <v>10</v>
      </c>
      <c r="M268" s="55" t="s">
        <v>10</v>
      </c>
      <c r="N268" s="53" t="s">
        <v>10</v>
      </c>
      <c r="O268" s="53" t="s">
        <v>10</v>
      </c>
      <c r="P268" s="53" t="s">
        <v>10</v>
      </c>
      <c r="Q268" s="55" t="s">
        <v>10</v>
      </c>
      <c r="R268" s="54" t="s">
        <v>10</v>
      </c>
      <c r="S268" s="53" t="s">
        <v>10</v>
      </c>
      <c r="T268" s="55" t="s">
        <v>10</v>
      </c>
      <c r="U268" s="56" t="s">
        <v>10</v>
      </c>
      <c r="V268" s="53" t="s">
        <v>10</v>
      </c>
      <c r="W268" s="53" t="s">
        <v>10</v>
      </c>
      <c r="X268" s="53" t="s">
        <v>10</v>
      </c>
      <c r="Y268" s="55" t="s">
        <v>10</v>
      </c>
      <c r="Z268" s="55" t="s">
        <v>10</v>
      </c>
      <c r="AA268" s="55" t="s">
        <v>10</v>
      </c>
      <c r="AB268" s="55" t="s">
        <v>10</v>
      </c>
      <c r="AC268" s="57" t="s">
        <v>10</v>
      </c>
      <c r="AD268" t="s">
        <v>10</v>
      </c>
    </row>
    <row r="269" spans="1:31" x14ac:dyDescent="0.2">
      <c r="B269" s="216" t="s">
        <v>10</v>
      </c>
      <c r="C269" s="215">
        <v>100</v>
      </c>
      <c r="D269" s="54">
        <f>VLOOKUP(C269,table_DI,2)</f>
        <v>1.21</v>
      </c>
      <c r="E269" s="54" t="s">
        <v>10</v>
      </c>
      <c r="F269" s="55">
        <f>VLOOKUP(C269,table_DI,5)</f>
        <v>0.35</v>
      </c>
      <c r="G269" s="54">
        <f>VLOOKUP(C269,table_DI,3)</f>
        <v>0.38719999999999999</v>
      </c>
      <c r="H269" s="54" t="s">
        <v>10</v>
      </c>
      <c r="I269" s="54">
        <f>VLOOKUP(C269,table_DI,4)</f>
        <v>0.42349999999999999</v>
      </c>
      <c r="J269" s="54" t="s">
        <v>10</v>
      </c>
      <c r="K269" s="56">
        <f>VLOOKUP(C269,table_DI,9)</f>
        <v>8.8461538461538178E-3</v>
      </c>
      <c r="L269" s="53">
        <f>VLOOKUP(C269,table_DI,8)</f>
        <v>390</v>
      </c>
      <c r="M269" s="55">
        <f>(0.84*(K269^0.5)*(cell_GUTDEP^0.6666)/cell_NRD)</f>
        <v>2.7694563492418993</v>
      </c>
      <c r="N269" s="53">
        <f>VLOOKUP(C269,table_DI,10)</f>
        <v>25</v>
      </c>
      <c r="O269" s="53">
        <f>(L269/(M269*60))</f>
        <v>2.3470310343686354</v>
      </c>
      <c r="P269" s="53">
        <f>N269+O269</f>
        <v>27.347031034368634</v>
      </c>
      <c r="Q269" s="55">
        <f t="shared" ref="Q269:Q275" si="18">cell_P*(P269^cell_E)</f>
        <v>0.69792807491995912</v>
      </c>
      <c r="R269" s="54">
        <f>Q269*I269</f>
        <v>0.2955725397286027</v>
      </c>
      <c r="S269" s="53" t="s">
        <v>10</v>
      </c>
      <c r="T269" s="55" t="s">
        <v>10</v>
      </c>
      <c r="U269" s="56" t="s">
        <v>10</v>
      </c>
      <c r="V269" s="53" t="s">
        <v>10</v>
      </c>
      <c r="W269" s="53" t="s">
        <v>10</v>
      </c>
      <c r="X269" s="53" t="s">
        <v>10</v>
      </c>
      <c r="Y269" s="55" t="s">
        <v>10</v>
      </c>
      <c r="Z269" s="55" t="s">
        <v>10</v>
      </c>
      <c r="AA269" s="55" t="s">
        <v>10</v>
      </c>
      <c r="AB269" s="55" t="s">
        <v>10</v>
      </c>
      <c r="AC269" s="57" t="s">
        <v>10</v>
      </c>
      <c r="AD269" t="s">
        <v>10</v>
      </c>
    </row>
    <row r="270" spans="1:31" x14ac:dyDescent="0.2">
      <c r="B270" s="216">
        <v>88</v>
      </c>
      <c r="C270" s="217" t="s">
        <v>10</v>
      </c>
      <c r="D270" s="54" t="s">
        <v>10</v>
      </c>
      <c r="E270" s="54">
        <f>VLOOKUP(100,table_CIA_INLETS,2,FALSE)</f>
        <v>1.21</v>
      </c>
      <c r="F270" s="55" t="s">
        <v>10</v>
      </c>
      <c r="G270" s="54" t="s">
        <v>10</v>
      </c>
      <c r="H270" s="54">
        <f>VLOOKUP(100,table_CIA_INLETS,5,FALSE)</f>
        <v>0.38719999999999999</v>
      </c>
      <c r="I270" s="54" t="s">
        <v>10</v>
      </c>
      <c r="J270" s="54">
        <f>VLOOKUP(100,table_CIA_INLETS,7,FALSE)</f>
        <v>0.42349999999999999</v>
      </c>
      <c r="K270" s="56" t="s">
        <v>10</v>
      </c>
      <c r="L270" s="53" t="s">
        <v>10</v>
      </c>
      <c r="M270" s="55" t="s">
        <v>10</v>
      </c>
      <c r="N270" s="53" t="s">
        <v>10</v>
      </c>
      <c r="O270" s="53" t="s">
        <v>10</v>
      </c>
      <c r="P270" s="53">
        <f>VLOOKUP(100,table_CIA_INLETS,14,FALSE)</f>
        <v>27.347031034368634</v>
      </c>
      <c r="Q270" s="55">
        <f t="shared" si="18"/>
        <v>0.69792807491995912</v>
      </c>
      <c r="R270" s="54">
        <f>J270*Q270</f>
        <v>0.2955725397286027</v>
      </c>
      <c r="S270" s="53">
        <v>30</v>
      </c>
      <c r="T270" s="55">
        <f>(4*R270)/(3.14159*(S270/12)^2)</f>
        <v>6.0213594207489118E-2</v>
      </c>
      <c r="U270" s="56">
        <f>((R270/((0.463135/cell_NP)*((S270/12)^(8/3))))^2)*cell_FF</f>
        <v>5.9724262179650732E-7</v>
      </c>
      <c r="V270" s="53">
        <v>176</v>
      </c>
      <c r="W270" s="53">
        <f>V270/(T270*60)</f>
        <v>48.715466531119269</v>
      </c>
      <c r="X270" s="53">
        <f>W270+P270</f>
        <v>76.062497565487902</v>
      </c>
      <c r="Y270" s="55">
        <f>U270*V270</f>
        <v>1.051147014361853E-4</v>
      </c>
      <c r="Z270" s="55">
        <f>IF(VLOOKUP(88.1,table_CIA_JCTS,25,FALSE)+VLOOKUP(88,table_CIA_JCTS,24,FALSE)&lt;VLOOKUP(88,table_CIA_JCTS,28,FALSE),VLOOKUP(88,table_CIA_JCTS,28,FALSE),VLOOKUP(88.1,table_CIA_JCTS,25,FALSE)+VLOOKUP(88,table_CIA_JCTS,24,FALSE))</f>
        <v>397.05</v>
      </c>
      <c r="AA270" s="55">
        <v>398</v>
      </c>
      <c r="AB270" s="318">
        <f>(AA270-0.5)-Z270</f>
        <v>0.44999999999998863</v>
      </c>
      <c r="AC270" s="57">
        <v>397.05</v>
      </c>
      <c r="AD270" t="s">
        <v>478</v>
      </c>
    </row>
    <row r="271" spans="1:31" x14ac:dyDescent="0.2">
      <c r="B271" s="216" t="s">
        <v>10</v>
      </c>
      <c r="C271" s="215">
        <v>100.1</v>
      </c>
      <c r="D271" s="54">
        <f>VLOOKUP(C271,table_DI,2)</f>
        <v>1.77</v>
      </c>
      <c r="E271" s="54" t="s">
        <v>10</v>
      </c>
      <c r="F271" s="55">
        <f>VLOOKUP(C271,table_DI,5)</f>
        <v>0.9</v>
      </c>
      <c r="G271" s="54">
        <f>VLOOKUP(C271,table_DI,3)</f>
        <v>1.593</v>
      </c>
      <c r="H271" s="54" t="s">
        <v>10</v>
      </c>
      <c r="I271" s="54">
        <f>VLOOKUP(C271,table_DI,4)</f>
        <v>1.593</v>
      </c>
      <c r="J271" s="54" t="s">
        <v>10</v>
      </c>
      <c r="K271" s="56">
        <f>VLOOKUP(C271,table_DI,9)</f>
        <v>8.6763070077864428E-3</v>
      </c>
      <c r="L271" s="53">
        <f>VLOOKUP(C271,table_DI,8)</f>
        <v>899</v>
      </c>
      <c r="M271" s="55">
        <f>(0.84*(K271^0.5)*(cell_GUTDEP^0.6666)/cell_NRD)</f>
        <v>2.7427406035249478</v>
      </c>
      <c r="N271" s="53">
        <f>VLOOKUP(C271,table_DI,10)</f>
        <v>5</v>
      </c>
      <c r="O271" s="53">
        <f>(L271/(M271*60))</f>
        <v>5.4629057206783891</v>
      </c>
      <c r="P271" s="53">
        <f>N271+O271</f>
        <v>10.462905720678389</v>
      </c>
      <c r="Q271" s="55">
        <f t="shared" si="18"/>
        <v>1.2737891573021094</v>
      </c>
      <c r="R271" s="54">
        <f>Q271*I271</f>
        <v>2.0291461275822602</v>
      </c>
      <c r="S271" s="53" t="s">
        <v>10</v>
      </c>
      <c r="T271" s="55" t="s">
        <v>10</v>
      </c>
      <c r="U271" s="56" t="s">
        <v>10</v>
      </c>
      <c r="V271" s="53" t="s">
        <v>10</v>
      </c>
      <c r="W271" s="53" t="s">
        <v>10</v>
      </c>
      <c r="X271" s="53" t="s">
        <v>10</v>
      </c>
      <c r="Y271" s="55" t="s">
        <v>10</v>
      </c>
      <c r="Z271" s="55" t="s">
        <v>10</v>
      </c>
      <c r="AA271" s="55" t="s">
        <v>10</v>
      </c>
      <c r="AB271" s="55" t="s">
        <v>10</v>
      </c>
      <c r="AC271" s="57" t="s">
        <v>10</v>
      </c>
      <c r="AD271" t="s">
        <v>10</v>
      </c>
    </row>
    <row r="272" spans="1:31" x14ac:dyDescent="0.2">
      <c r="B272" s="216" t="s">
        <v>10</v>
      </c>
      <c r="C272" s="215">
        <v>101</v>
      </c>
      <c r="D272" s="54">
        <f>VLOOKUP(C272,table_DI,2)</f>
        <v>25.62</v>
      </c>
      <c r="E272" s="54" t="s">
        <v>10</v>
      </c>
      <c r="F272" s="55">
        <f>VLOOKUP(C272,table_DI,5)</f>
        <v>0.34622560499609678</v>
      </c>
      <c r="G272" s="54">
        <f>VLOOKUP(C272,table_DI,3)</f>
        <v>7.9955999999999996</v>
      </c>
      <c r="H272" s="54" t="s">
        <v>10</v>
      </c>
      <c r="I272" s="54">
        <f>VLOOKUP(C272,table_DI,4)</f>
        <v>8.8703000000000003</v>
      </c>
      <c r="J272" s="54" t="s">
        <v>10</v>
      </c>
      <c r="K272" s="56">
        <f>VLOOKUP(C272,table_DI,9)</f>
        <v>3.501544799176113E-3</v>
      </c>
      <c r="L272" s="53">
        <f>VLOOKUP(C272,table_DI,8)</f>
        <v>1942</v>
      </c>
      <c r="M272" s="55">
        <f>(0.84*(K272^0.5)*(cell_GUTDEP^0.6666)/cell_NRD)</f>
        <v>1.742397037285579</v>
      </c>
      <c r="N272" s="53">
        <f>VLOOKUP(C272,table_DI,10)</f>
        <v>25</v>
      </c>
      <c r="O272" s="53">
        <f>(L272/(M272*60))</f>
        <v>18.575942207230558</v>
      </c>
      <c r="P272" s="53">
        <f>N272+O272</f>
        <v>43.575942207230554</v>
      </c>
      <c r="Q272" s="55">
        <f t="shared" si="18"/>
        <v>0.52132372287513495</v>
      </c>
      <c r="R272" s="54">
        <f>Q272*I272</f>
        <v>4.6242978190193096</v>
      </c>
      <c r="S272" s="53" t="s">
        <v>10</v>
      </c>
      <c r="T272" s="55" t="s">
        <v>10</v>
      </c>
      <c r="U272" s="56" t="s">
        <v>10</v>
      </c>
      <c r="V272" s="53" t="s">
        <v>10</v>
      </c>
      <c r="W272" s="53" t="s">
        <v>10</v>
      </c>
      <c r="X272" s="53" t="s">
        <v>10</v>
      </c>
      <c r="Y272" s="55" t="s">
        <v>10</v>
      </c>
      <c r="Z272" s="55" t="s">
        <v>10</v>
      </c>
      <c r="AA272" s="55" t="s">
        <v>10</v>
      </c>
      <c r="AB272" s="55" t="s">
        <v>10</v>
      </c>
      <c r="AC272" s="57" t="s">
        <v>10</v>
      </c>
      <c r="AD272" t="s">
        <v>10</v>
      </c>
    </row>
    <row r="273" spans="1:30" x14ac:dyDescent="0.2">
      <c r="B273" s="216">
        <v>88.1</v>
      </c>
      <c r="C273" s="217" t="s">
        <v>10</v>
      </c>
      <c r="D273" s="54" t="s">
        <v>10</v>
      </c>
      <c r="E273" s="54">
        <f>VLOOKUP(83.1,table_CIA_JCTS,4,FALSE)+VLOOKUP(87,table_CIA_JCTS,4,FALSE)+VLOOKUP(88,table_CIA_JCTS,4,FALSE)+VLOOKUP(100.1,table_CIA_INLETS,2,FALSE)+VLOOKUP(101,table_CIA_INLETS,2,FALSE)</f>
        <v>179.45000000000002</v>
      </c>
      <c r="F273" s="55" t="s">
        <v>10</v>
      </c>
      <c r="G273" s="54" t="s">
        <v>10</v>
      </c>
      <c r="H273" s="54">
        <f>VLOOKUP(83.1,table_CIA_JCTS,7,FALSE)+VLOOKUP(87,table_CIA_JCTS,7,FALSE)+VLOOKUP(88,table_CIA_JCTS,7,FALSE)+VLOOKUP(100.1,table_CIA_INLETS,5,FALSE)+VLOOKUP(101,table_CIA_INLETS,5,FALSE)</f>
        <v>67.293399999999991</v>
      </c>
      <c r="I273" s="54" t="s">
        <v>10</v>
      </c>
      <c r="J273" s="54">
        <f>VLOOKUP(83.1,table_CIA_JCTS,9,FALSE)+VLOOKUP(87,table_CIA_JCTS,9,FALSE)+VLOOKUP(88,table_CIA_JCTS,9,FALSE)+VLOOKUP(100.1,table_CIA_INLETS,7,FALSE)+VLOOKUP(101,table_CIA_INLETS,7,FALSE)</f>
        <v>73.676299999999998</v>
      </c>
      <c r="K273" s="56" t="s">
        <v>10</v>
      </c>
      <c r="L273" s="53" t="s">
        <v>10</v>
      </c>
      <c r="M273" s="55" t="s">
        <v>10</v>
      </c>
      <c r="N273" s="53" t="s">
        <v>10</v>
      </c>
      <c r="O273" s="53" t="s">
        <v>10</v>
      </c>
      <c r="P273" s="53">
        <f>VLOOKUP(83.1,table_CIA_JCTS,23,FALSE)</f>
        <v>67.336428300421758</v>
      </c>
      <c r="Q273" s="55">
        <f t="shared" si="18"/>
        <v>0.39696628922966298</v>
      </c>
      <c r="R273" s="54">
        <f>J273*Q273</f>
        <v>29.247007415171417</v>
      </c>
      <c r="S273" s="53">
        <v>36</v>
      </c>
      <c r="T273" s="55">
        <f>(4*R273)/(3.14159*(S273/12)^2)</f>
        <v>4.1376086511283798</v>
      </c>
      <c r="U273" s="56">
        <f>((R273/((0.463135/cell_NP)*((S273/12)^(8/3))))^2)*cell_FF</f>
        <v>2.2114927409263864E-3</v>
      </c>
      <c r="V273" s="53">
        <v>650</v>
      </c>
      <c r="W273" s="53">
        <f>V273/(T273*60)</f>
        <v>2.6182595423515811</v>
      </c>
      <c r="X273" s="53">
        <f>W273+P273</f>
        <v>69.954687842773339</v>
      </c>
      <c r="Y273" s="55">
        <f>U273*V273</f>
        <v>1.4374702816021512</v>
      </c>
      <c r="Z273" s="55">
        <f>IF(VLOOKUP(89,table_CIA_JCTS,25,FALSE)+VLOOKUP(88.1,table_CIA_JCTS,24,FALSE)&lt;VLOOKUP(88.1,table_CIA_JCTS,28,FALSE),VLOOKUP(88.1,table_CIA_JCTS,28,FALSE),VLOOKUP(89,table_CIA_JCTS,25,FALSE)+VLOOKUP(88.1,table_CIA_JCTS,24,FALSE))</f>
        <v>395.84</v>
      </c>
      <c r="AA273" s="55">
        <v>401.5</v>
      </c>
      <c r="AB273" s="55">
        <f>(AA273-0.5)-Z273</f>
        <v>5.160000000000025</v>
      </c>
      <c r="AC273" s="57">
        <v>395.84</v>
      </c>
      <c r="AD273" t="s">
        <v>451</v>
      </c>
    </row>
    <row r="274" spans="1:30" x14ac:dyDescent="0.2">
      <c r="B274" s="216" t="s">
        <v>10</v>
      </c>
      <c r="C274" s="215">
        <v>102</v>
      </c>
      <c r="D274" s="54">
        <f>VLOOKUP(C274,table_DI,2)</f>
        <v>14.07</v>
      </c>
      <c r="E274" s="54" t="s">
        <v>10</v>
      </c>
      <c r="F274" s="55">
        <f>VLOOKUP(C274,table_DI,5)</f>
        <v>0.45842217484008529</v>
      </c>
      <c r="G274" s="54">
        <f>VLOOKUP(C274,table_DI,3)</f>
        <v>6.17</v>
      </c>
      <c r="H274" s="54" t="s">
        <v>10</v>
      </c>
      <c r="I274" s="54">
        <f>VLOOKUP(C274,table_DI,4)</f>
        <v>6.45</v>
      </c>
      <c r="J274" s="54" t="s">
        <v>10</v>
      </c>
      <c r="K274" s="56">
        <f>VLOOKUP(C274,table_DI,9)</f>
        <v>3.0667255855059646E-3</v>
      </c>
      <c r="L274" s="53">
        <f>VLOOKUP(C274,table_DI,8)</f>
        <v>2263</v>
      </c>
      <c r="M274" s="55">
        <f>(0.84*(K274^0.5)*(cell_GUTDEP^0.6666)/cell_NRD)</f>
        <v>1.6306274112058963</v>
      </c>
      <c r="N274" s="53">
        <f>VLOOKUP(C274,table_DI,10)</f>
        <v>20</v>
      </c>
      <c r="O274" s="53">
        <f>(L274/(M274*60))</f>
        <v>23.130156164107468</v>
      </c>
      <c r="P274" s="53">
        <f>N274+O274</f>
        <v>43.130156164107468</v>
      </c>
      <c r="Q274" s="55">
        <f t="shared" si="18"/>
        <v>0.52469139789186059</v>
      </c>
      <c r="R274" s="54">
        <f>Q274*I274</f>
        <v>3.3842595164025009</v>
      </c>
      <c r="S274" s="53" t="s">
        <v>10</v>
      </c>
      <c r="T274" s="55" t="s">
        <v>10</v>
      </c>
      <c r="U274" s="56" t="s">
        <v>10</v>
      </c>
      <c r="V274" s="53" t="s">
        <v>10</v>
      </c>
      <c r="W274" s="53" t="s">
        <v>10</v>
      </c>
      <c r="X274" s="53" t="s">
        <v>10</v>
      </c>
      <c r="Y274" s="55" t="s">
        <v>10</v>
      </c>
      <c r="Z274" s="55" t="s">
        <v>10</v>
      </c>
      <c r="AA274" s="55" t="s">
        <v>10</v>
      </c>
      <c r="AB274" s="55" t="s">
        <v>10</v>
      </c>
      <c r="AC274" s="57" t="s">
        <v>10</v>
      </c>
      <c r="AD274" t="s">
        <v>10</v>
      </c>
    </row>
    <row r="275" spans="1:30" x14ac:dyDescent="0.2">
      <c r="B275" s="216">
        <v>89</v>
      </c>
      <c r="C275" s="217" t="s">
        <v>10</v>
      </c>
      <c r="D275" s="54" t="s">
        <v>10</v>
      </c>
      <c r="E275" s="54">
        <f>VLOOKUP(88.1,table_CIA_JCTS,4,FALSE)+VLOOKUP(102,table_CIA_INLETS,2,FALSE)</f>
        <v>193.52</v>
      </c>
      <c r="F275" s="55" t="s">
        <v>10</v>
      </c>
      <c r="G275" s="54" t="s">
        <v>10</v>
      </c>
      <c r="H275" s="54">
        <f>VLOOKUP(88.1,table_CIA_JCTS,7,FALSE)+VLOOKUP(102,table_CIA_INLETS,5,FALSE)</f>
        <v>73.463399999999993</v>
      </c>
      <c r="I275" s="54" t="s">
        <v>10</v>
      </c>
      <c r="J275" s="54">
        <f>VLOOKUP(88.1,table_CIA_JCTS,9,FALSE)+VLOOKUP(102,table_CIA_INLETS,7,FALSE)</f>
        <v>80.126300000000001</v>
      </c>
      <c r="K275" s="56" t="s">
        <v>10</v>
      </c>
      <c r="L275" s="53" t="s">
        <v>10</v>
      </c>
      <c r="M275" s="55" t="s">
        <v>10</v>
      </c>
      <c r="N275" s="53" t="s">
        <v>10</v>
      </c>
      <c r="O275" s="53" t="s">
        <v>10</v>
      </c>
      <c r="P275" s="53">
        <f>VLOOKUP(88.1,table_CIA_JCTS,23,FALSE)</f>
        <v>69.954687842773339</v>
      </c>
      <c r="Q275" s="55">
        <f t="shared" si="18"/>
        <v>0.38759621822828044</v>
      </c>
      <c r="R275" s="54">
        <f>J275*Q275</f>
        <v>31.056650860624668</v>
      </c>
      <c r="S275" s="53">
        <v>36</v>
      </c>
      <c r="T275" s="55">
        <f>(4*R275)/(3.14159*(S275/12)^2)</f>
        <v>4.3936210447752275</v>
      </c>
      <c r="U275" s="56">
        <f>((R275/((0.463135/cell_NP)*((S275/12)^(8/3))))^2)*cell_FF</f>
        <v>2.4936292711222247E-3</v>
      </c>
      <c r="V275" s="53">
        <v>296</v>
      </c>
      <c r="W275" s="53">
        <f>V275/(T275*60)</f>
        <v>1.1228399725551927</v>
      </c>
      <c r="X275" s="53">
        <f>W275+P275</f>
        <v>71.077527815328537</v>
      </c>
      <c r="Y275" s="55">
        <f>U275*V275</f>
        <v>0.73811426425217852</v>
      </c>
      <c r="Z275" s="55">
        <f>IF(VLOOKUP(95,table_CIA_JCTS,25,FALSE)+VLOOKUP(89,table_CIA_JCTS,24,FALSE)&lt;VLOOKUP(89,table_CIA_JCTS,28,FALSE),VLOOKUP(89,table_CIA_JCTS,28,FALSE),VLOOKUP(95,table_CIA_JCTS,25,FALSE)+VLOOKUP(89,table_CIA_JCTS,24,FALSE))</f>
        <v>390.11247647219102</v>
      </c>
      <c r="AA275" s="55">
        <v>399.3</v>
      </c>
      <c r="AB275" s="55">
        <f>(AA275-0.5)-Z275</f>
        <v>8.6875235278089917</v>
      </c>
      <c r="AC275" s="57" t="s">
        <v>10</v>
      </c>
      <c r="AD275" t="s">
        <v>10</v>
      </c>
    </row>
    <row r="276" spans="1:30" x14ac:dyDescent="0.2">
      <c r="B276" s="216" t="s">
        <v>10</v>
      </c>
      <c r="C276" s="217" t="s">
        <v>10</v>
      </c>
      <c r="D276" s="54" t="s">
        <v>10</v>
      </c>
      <c r="E276" s="54" t="s">
        <v>10</v>
      </c>
      <c r="F276" s="55" t="s">
        <v>10</v>
      </c>
      <c r="G276" s="54" t="s">
        <v>10</v>
      </c>
      <c r="H276" s="54" t="s">
        <v>10</v>
      </c>
      <c r="I276" s="54" t="s">
        <v>10</v>
      </c>
      <c r="J276" s="54" t="s">
        <v>10</v>
      </c>
      <c r="K276" s="56" t="s">
        <v>10</v>
      </c>
      <c r="L276" s="53" t="s">
        <v>10</v>
      </c>
      <c r="M276" s="55" t="s">
        <v>10</v>
      </c>
      <c r="N276" s="53" t="s">
        <v>10</v>
      </c>
      <c r="O276" s="53" t="s">
        <v>10</v>
      </c>
      <c r="P276" s="53" t="s">
        <v>10</v>
      </c>
      <c r="Q276" s="55" t="s">
        <v>10</v>
      </c>
      <c r="R276" s="54" t="s">
        <v>10</v>
      </c>
      <c r="S276" s="53" t="s">
        <v>10</v>
      </c>
      <c r="T276" s="55" t="s">
        <v>10</v>
      </c>
      <c r="U276" s="56" t="s">
        <v>10</v>
      </c>
      <c r="V276" s="53" t="s">
        <v>10</v>
      </c>
      <c r="W276" s="53" t="s">
        <v>10</v>
      </c>
      <c r="X276" s="53" t="s">
        <v>10</v>
      </c>
      <c r="Y276" s="55" t="s">
        <v>10</v>
      </c>
      <c r="Z276" s="55" t="s">
        <v>10</v>
      </c>
      <c r="AA276" s="55" t="s">
        <v>10</v>
      </c>
      <c r="AB276" s="55" t="s">
        <v>10</v>
      </c>
      <c r="AC276" s="57" t="s">
        <v>10</v>
      </c>
      <c r="AD276" t="s">
        <v>10</v>
      </c>
    </row>
    <row r="277" spans="1:30" x14ac:dyDescent="0.2">
      <c r="A277" s="675" t="s">
        <v>553</v>
      </c>
      <c r="B277" s="258" t="s">
        <v>10</v>
      </c>
      <c r="C277" s="489">
        <v>103</v>
      </c>
      <c r="D277" s="490">
        <f>VLOOKUP(C277,table_DI,2)</f>
        <v>8.1</v>
      </c>
      <c r="E277" s="490" t="s">
        <v>10</v>
      </c>
      <c r="F277" s="491">
        <f>VLOOKUP(C277,table_DI,5)</f>
        <v>0.5</v>
      </c>
      <c r="G277" s="490">
        <f>VLOOKUP(C277,table_DI,3)</f>
        <v>4.05</v>
      </c>
      <c r="H277" s="490" t="s">
        <v>10</v>
      </c>
      <c r="I277" s="490">
        <f>VLOOKUP(C277,table_DI,4)</f>
        <v>4.05</v>
      </c>
      <c r="J277" s="490" t="s">
        <v>10</v>
      </c>
      <c r="K277" s="492">
        <f>VLOOKUP(C277,table_DI,9)</f>
        <v>1.7643097643097673E-3</v>
      </c>
      <c r="L277" s="493">
        <f>VLOOKUP(C277,table_DI,8)</f>
        <v>1485</v>
      </c>
      <c r="M277" s="491">
        <f>(0.84*(K277^0.5)*(cell_GUTDEP^0.6666)/cell_NRD)</f>
        <v>1.2368148733301045</v>
      </c>
      <c r="N277" s="493">
        <f>VLOOKUP(C277,table_DI,10)</f>
        <v>20</v>
      </c>
      <c r="O277" s="493">
        <f>(L277/(M277*60))</f>
        <v>20.011078887951125</v>
      </c>
      <c r="P277" s="493">
        <f>N277+O277</f>
        <v>40.011078887951129</v>
      </c>
      <c r="Q277" s="491">
        <f>cell_P*(P277^cell_E)</f>
        <v>0.54994409776928432</v>
      </c>
      <c r="R277" s="490">
        <f>Q277*I277</f>
        <v>2.2272735959656016</v>
      </c>
      <c r="S277" s="493" t="s">
        <v>10</v>
      </c>
      <c r="T277" s="491" t="s">
        <v>10</v>
      </c>
      <c r="U277" s="492" t="s">
        <v>10</v>
      </c>
      <c r="V277" s="493" t="s">
        <v>10</v>
      </c>
      <c r="W277" s="493" t="s">
        <v>10</v>
      </c>
      <c r="X277" s="493" t="s">
        <v>10</v>
      </c>
      <c r="Y277" s="491" t="s">
        <v>10</v>
      </c>
      <c r="Z277" s="491" t="s">
        <v>10</v>
      </c>
      <c r="AA277" s="491" t="s">
        <v>10</v>
      </c>
      <c r="AB277" s="491" t="s">
        <v>10</v>
      </c>
      <c r="AC277" s="494" t="s">
        <v>10</v>
      </c>
      <c r="AD277" t="s">
        <v>10</v>
      </c>
    </row>
    <row r="278" spans="1:30" x14ac:dyDescent="0.2">
      <c r="A278" s="676"/>
      <c r="B278" s="258" t="s">
        <v>10</v>
      </c>
      <c r="C278" s="489">
        <v>104</v>
      </c>
      <c r="D278" s="490">
        <f>VLOOKUP(C278,table_DI,2)</f>
        <v>1.41</v>
      </c>
      <c r="E278" s="490" t="s">
        <v>10</v>
      </c>
      <c r="F278" s="491">
        <f>VLOOKUP(C278,table_DI,5)</f>
        <v>0.5</v>
      </c>
      <c r="G278" s="490">
        <f>VLOOKUP(C278,table_DI,3)</f>
        <v>0.70499999999999996</v>
      </c>
      <c r="H278" s="490" t="s">
        <v>10</v>
      </c>
      <c r="I278" s="490">
        <f>VLOOKUP(C278,table_DI,4)</f>
        <v>0.70499999999999996</v>
      </c>
      <c r="J278" s="490" t="s">
        <v>10</v>
      </c>
      <c r="K278" s="492">
        <f>VLOOKUP(C278,table_DI,9)</f>
        <v>2.8145695364239164E-3</v>
      </c>
      <c r="L278" s="493">
        <f>VLOOKUP(C278,table_DI,8)</f>
        <v>302</v>
      </c>
      <c r="M278" s="491">
        <f>(0.84*(K278^0.5)*(cell_GUTDEP^0.6666)/cell_NRD)</f>
        <v>1.5621519373681154</v>
      </c>
      <c r="N278" s="493">
        <f>VLOOKUP(C278,table_DI,10)</f>
        <v>20</v>
      </c>
      <c r="O278" s="493">
        <f>(L278/(M278*60))</f>
        <v>3.2220510777033633</v>
      </c>
      <c r="P278" s="493">
        <f>N278+O278</f>
        <v>23.222051077703362</v>
      </c>
      <c r="Q278" s="491">
        <f>cell_P*(P278^cell_E)</f>
        <v>0.77317336543545212</v>
      </c>
      <c r="R278" s="490">
        <f>Q278*I278</f>
        <v>0.54508722263199372</v>
      </c>
      <c r="S278" s="493" t="s">
        <v>10</v>
      </c>
      <c r="T278" s="491" t="s">
        <v>10</v>
      </c>
      <c r="U278" s="492" t="s">
        <v>10</v>
      </c>
      <c r="V278" s="493" t="s">
        <v>10</v>
      </c>
      <c r="W278" s="493" t="s">
        <v>10</v>
      </c>
      <c r="X278" s="493" t="s">
        <v>10</v>
      </c>
      <c r="Y278" s="491" t="s">
        <v>10</v>
      </c>
      <c r="Z278" s="491" t="s">
        <v>10</v>
      </c>
      <c r="AA278" s="491" t="s">
        <v>10</v>
      </c>
      <c r="AB278" s="491" t="s">
        <v>10</v>
      </c>
      <c r="AC278" s="494" t="s">
        <v>10</v>
      </c>
      <c r="AD278" t="s">
        <v>10</v>
      </c>
    </row>
    <row r="279" spans="1:30" x14ac:dyDescent="0.2">
      <c r="A279" s="676"/>
      <c r="B279" s="258">
        <v>90</v>
      </c>
      <c r="C279" s="259" t="s">
        <v>10</v>
      </c>
      <c r="D279" s="490" t="s">
        <v>10</v>
      </c>
      <c r="E279" s="490">
        <f>VLOOKUP(103,table_CIA_INLETS,2,FALSE)+VLOOKUP(104,table_CIA_INLETS,2,FALSE)</f>
        <v>9.51</v>
      </c>
      <c r="F279" s="491" t="s">
        <v>10</v>
      </c>
      <c r="G279" s="490" t="s">
        <v>10</v>
      </c>
      <c r="H279" s="490">
        <f>VLOOKUP(103,table_CIA_INLETS,5,FALSE)+VLOOKUP(104,table_CIA_INLETS,5,FALSE)</f>
        <v>4.7549999999999999</v>
      </c>
      <c r="I279" s="490" t="s">
        <v>10</v>
      </c>
      <c r="J279" s="490">
        <f>VLOOKUP(103,table_CIA_INLETS,7,FALSE)+VLOOKUP(104,table_CIA_INLETS,7,FALSE)</f>
        <v>4.7549999999999999</v>
      </c>
      <c r="K279" s="492" t="s">
        <v>10</v>
      </c>
      <c r="L279" s="493" t="s">
        <v>10</v>
      </c>
      <c r="M279" s="491" t="s">
        <v>10</v>
      </c>
      <c r="N279" s="493" t="s">
        <v>10</v>
      </c>
      <c r="O279" s="493" t="s">
        <v>10</v>
      </c>
      <c r="P279" s="493">
        <f>VLOOKUP(103,table_CIA_INLETS,14,FALSE)</f>
        <v>40.011078887951129</v>
      </c>
      <c r="Q279" s="491">
        <f>cell_P*(P279^cell_E)</f>
        <v>0.54994409776928432</v>
      </c>
      <c r="R279" s="490">
        <f>J279*Q279</f>
        <v>2.6149841848929469</v>
      </c>
      <c r="S279" s="493">
        <v>18</v>
      </c>
      <c r="T279" s="491">
        <f>(4*R279)/(3.14159*(S279/12)^2)</f>
        <v>1.4797795934997937</v>
      </c>
      <c r="U279" s="492">
        <f>((R279/((0.463135/cell_NP)*((S279/12)^(8/3))))^2)*cell_FF</f>
        <v>7.1277767924721321E-4</v>
      </c>
      <c r="V279" s="493">
        <v>71</v>
      </c>
      <c r="W279" s="493">
        <f>V279/(T279*60)</f>
        <v>0.79966863885091022</v>
      </c>
      <c r="X279" s="493">
        <f>W279+P279</f>
        <v>40.810747526802039</v>
      </c>
      <c r="Y279" s="491">
        <f>U279*V279</f>
        <v>5.0607215226552135E-2</v>
      </c>
      <c r="Z279" s="491">
        <f>IF(VLOOKUP(90.1,table_CIA_JCTS,25,FALSE)+VLOOKUP(90,table_CIA_JCTS,24,FALSE)&lt;VLOOKUP(90,table_CIA_JCTS,28,FALSE),VLOOKUP(90,table_CIA_JCTS,28,FALSE),VLOOKUP(90.1,table_CIA_JCTS,25,FALSE)+VLOOKUP(90,table_CIA_JCTS,24,FALSE))</f>
        <v>397.37225122143923</v>
      </c>
      <c r="AA279" s="491">
        <v>401.64</v>
      </c>
      <c r="AB279" s="491">
        <f>(AA279-0.5)-Z279</f>
        <v>3.7677487785607582</v>
      </c>
      <c r="AC279" s="494">
        <v>397.21</v>
      </c>
      <c r="AD279" t="s">
        <v>446</v>
      </c>
    </row>
    <row r="280" spans="1:30" x14ac:dyDescent="0.2">
      <c r="A280" s="676"/>
      <c r="B280" s="258" t="s">
        <v>10</v>
      </c>
      <c r="C280" s="489">
        <v>105</v>
      </c>
      <c r="D280" s="490">
        <f>VLOOKUP(C280,table_DI,2)</f>
        <v>5.67</v>
      </c>
      <c r="E280" s="490" t="s">
        <v>10</v>
      </c>
      <c r="F280" s="491">
        <f>VLOOKUP(C280,table_DI,5)</f>
        <v>0.5</v>
      </c>
      <c r="G280" s="490">
        <f>VLOOKUP(C280,table_DI,3)</f>
        <v>2.835</v>
      </c>
      <c r="H280" s="490" t="s">
        <v>10</v>
      </c>
      <c r="I280" s="490">
        <f>VLOOKUP(C280,table_DI,4)</f>
        <v>2.835</v>
      </c>
      <c r="J280" s="490" t="s">
        <v>10</v>
      </c>
      <c r="K280" s="492">
        <f>VLOOKUP(C280,table_DI,9)</f>
        <v>2.1103327495621436E-3</v>
      </c>
      <c r="L280" s="493">
        <f>VLOOKUP(C280,table_DI,8)</f>
        <v>1142</v>
      </c>
      <c r="M280" s="491">
        <f>(0.84*(K280^0.5)*(cell_GUTDEP^0.6666)/cell_NRD)</f>
        <v>1.352672776775077</v>
      </c>
      <c r="N280" s="493">
        <f>VLOOKUP(C280,table_DI,10)</f>
        <v>20</v>
      </c>
      <c r="O280" s="493">
        <f>(L280/(M280*60))</f>
        <v>14.070907362171452</v>
      </c>
      <c r="P280" s="493">
        <f>N280+O280</f>
        <v>34.070907362171454</v>
      </c>
      <c r="Q280" s="491">
        <f>cell_P*(P280^cell_E)</f>
        <v>0.60817022334697324</v>
      </c>
      <c r="R280" s="490">
        <f>Q280*I280</f>
        <v>1.7241625831886691</v>
      </c>
      <c r="S280" s="493" t="s">
        <v>10</v>
      </c>
      <c r="T280" s="491" t="s">
        <v>10</v>
      </c>
      <c r="U280" s="492" t="s">
        <v>10</v>
      </c>
      <c r="V280" s="493" t="s">
        <v>10</v>
      </c>
      <c r="W280" s="493" t="s">
        <v>10</v>
      </c>
      <c r="X280" s="493" t="s">
        <v>10</v>
      </c>
      <c r="Y280" s="491" t="s">
        <v>10</v>
      </c>
      <c r="Z280" s="491" t="s">
        <v>10</v>
      </c>
      <c r="AA280" s="491" t="s">
        <v>10</v>
      </c>
      <c r="AB280" s="491" t="s">
        <v>10</v>
      </c>
      <c r="AC280" s="494" t="s">
        <v>10</v>
      </c>
      <c r="AD280" t="s">
        <v>10</v>
      </c>
    </row>
    <row r="281" spans="1:30" x14ac:dyDescent="0.2">
      <c r="A281" s="677"/>
      <c r="B281" s="258">
        <v>90.1</v>
      </c>
      <c r="C281" s="259" t="s">
        <v>10</v>
      </c>
      <c r="D281" s="490" t="s">
        <v>10</v>
      </c>
      <c r="E281" s="490">
        <f>VLOOKUP(90,table_CIA_JCTS,4,FALSE)+VLOOKUP(105,table_CIA_INLETS,2,FALSE)</f>
        <v>15.18</v>
      </c>
      <c r="F281" s="491" t="s">
        <v>10</v>
      </c>
      <c r="G281" s="490" t="s">
        <v>10</v>
      </c>
      <c r="H281" s="490">
        <f>VLOOKUP(90,table_CIA_JCTS,7,FALSE)+VLOOKUP(105,table_CIA_INLETS,5,FALSE)</f>
        <v>7.59</v>
      </c>
      <c r="I281" s="490" t="s">
        <v>10</v>
      </c>
      <c r="J281" s="490">
        <f>VLOOKUP(90,table_CIA_JCTS,9,FALSE)+VLOOKUP(105,table_CIA_INLETS,7,FALSE)</f>
        <v>7.59</v>
      </c>
      <c r="K281" s="492" t="s">
        <v>10</v>
      </c>
      <c r="L281" s="493" t="s">
        <v>10</v>
      </c>
      <c r="M281" s="491" t="s">
        <v>10</v>
      </c>
      <c r="N281" s="493" t="s">
        <v>10</v>
      </c>
      <c r="O281" s="493" t="s">
        <v>10</v>
      </c>
      <c r="P281" s="493">
        <f>VLOOKUP(90,table_CIA_JCTS,23,FALSE)</f>
        <v>40.810747526802039</v>
      </c>
      <c r="Q281" s="491">
        <f>cell_P*(P281^cell_E)</f>
        <v>0.54317128471893372</v>
      </c>
      <c r="R281" s="490">
        <f>J281*Q281</f>
        <v>4.1226700510167067</v>
      </c>
      <c r="S281" s="493">
        <v>18</v>
      </c>
      <c r="T281" s="491">
        <f>(4*R281)/(3.14159*(S281/12)^2)</f>
        <v>2.3329559878302</v>
      </c>
      <c r="U281" s="492">
        <f>((R281/((0.463135/cell_NP)*((S281/12)^(8/3))))^2)*cell_FF</f>
        <v>1.7716303624649447E-3</v>
      </c>
      <c r="V281" s="493">
        <v>469</v>
      </c>
      <c r="W281" s="493">
        <f>V281/(T281*60)</f>
        <v>3.3505418479568805</v>
      </c>
      <c r="X281" s="493">
        <f>W281+P281</f>
        <v>44.161289374758923</v>
      </c>
      <c r="Y281" s="491">
        <f>U281*V281</f>
        <v>0.83089463999605906</v>
      </c>
      <c r="Z281" s="491">
        <f>IF(VLOOKUP(92,table_CIA_JCTS,25,FALSE)+VLOOKUP(90.1,table_CIA_JCTS,24,FALSE)&lt;VLOOKUP(90.1,table_CIA_JCTS,28,FALSE),VLOOKUP(90.1,table_CIA_JCTS,28,FALSE),VLOOKUP(92,table_CIA_JCTS,25,FALSE)+VLOOKUP(90.1,table_CIA_JCTS,24,FALSE))</f>
        <v>397.32164400621269</v>
      </c>
      <c r="AA281" s="491">
        <v>401.88</v>
      </c>
      <c r="AB281" s="491">
        <f>(AA281-0.5)-Z281</f>
        <v>4.0583559937873019</v>
      </c>
      <c r="AC281" s="494">
        <v>397.17</v>
      </c>
      <c r="AD281" t="s">
        <v>444</v>
      </c>
    </row>
    <row r="282" spans="1:30" x14ac:dyDescent="0.2">
      <c r="B282" s="216" t="s">
        <v>10</v>
      </c>
      <c r="C282" s="217" t="s">
        <v>10</v>
      </c>
      <c r="D282" s="54" t="s">
        <v>10</v>
      </c>
      <c r="E282" s="54" t="s">
        <v>10</v>
      </c>
      <c r="F282" s="55" t="s">
        <v>10</v>
      </c>
      <c r="G282" s="54" t="s">
        <v>10</v>
      </c>
      <c r="H282" s="54" t="s">
        <v>10</v>
      </c>
      <c r="I282" s="54" t="s">
        <v>10</v>
      </c>
      <c r="J282" s="54" t="s">
        <v>10</v>
      </c>
      <c r="K282" s="56" t="s">
        <v>10</v>
      </c>
      <c r="L282" s="53" t="s">
        <v>10</v>
      </c>
      <c r="M282" s="55" t="s">
        <v>10</v>
      </c>
      <c r="N282" s="53" t="s">
        <v>10</v>
      </c>
      <c r="O282" s="53" t="s">
        <v>10</v>
      </c>
      <c r="P282" s="53" t="s">
        <v>10</v>
      </c>
      <c r="Q282" s="55" t="s">
        <v>10</v>
      </c>
      <c r="R282" s="54" t="s">
        <v>10</v>
      </c>
      <c r="S282" s="53" t="s">
        <v>10</v>
      </c>
      <c r="T282" s="55" t="s">
        <v>10</v>
      </c>
      <c r="U282" s="56" t="s">
        <v>10</v>
      </c>
      <c r="V282" s="53" t="s">
        <v>10</v>
      </c>
      <c r="W282" s="53" t="s">
        <v>10</v>
      </c>
      <c r="X282" s="53" t="s">
        <v>10</v>
      </c>
      <c r="Y282" s="55" t="s">
        <v>10</v>
      </c>
      <c r="Z282" s="55" t="s">
        <v>10</v>
      </c>
      <c r="AA282" s="55" t="s">
        <v>10</v>
      </c>
      <c r="AB282" s="55" t="s">
        <v>10</v>
      </c>
      <c r="AC282" s="57" t="s">
        <v>10</v>
      </c>
      <c r="AD282" t="s">
        <v>10</v>
      </c>
    </row>
    <row r="283" spans="1:30" x14ac:dyDescent="0.2">
      <c r="A283" s="553"/>
      <c r="B283" s="554" t="s">
        <v>10</v>
      </c>
      <c r="C283" s="555">
        <v>106</v>
      </c>
      <c r="D283" s="556">
        <f>VLOOKUP(C283,table_DI,2)</f>
        <v>6.03</v>
      </c>
      <c r="E283" s="556" t="s">
        <v>10</v>
      </c>
      <c r="F283" s="557">
        <f>VLOOKUP(C283,table_DI,5)</f>
        <v>0.4776119402985074</v>
      </c>
      <c r="G283" s="556">
        <f>VLOOKUP(C283,table_DI,3)</f>
        <v>2.82</v>
      </c>
      <c r="H283" s="556" t="s">
        <v>10</v>
      </c>
      <c r="I283" s="556">
        <f>VLOOKUP(C283,table_DI,4)</f>
        <v>2.88</v>
      </c>
      <c r="J283" s="556" t="s">
        <v>10</v>
      </c>
      <c r="K283" s="558">
        <f>VLOOKUP(C283,table_DI,9)</f>
        <v>4.9602649006622573E-3</v>
      </c>
      <c r="L283" s="559">
        <f>VLOOKUP(C283,table_DI,8)</f>
        <v>1510</v>
      </c>
      <c r="M283" s="557">
        <f>(0.84*(K283^0.5)*(cell_GUTDEP^0.6666)/cell_NRD)</f>
        <v>2.0738135873408212</v>
      </c>
      <c r="N283" s="559">
        <f>VLOOKUP(C283,table_DI,10)</f>
        <v>20</v>
      </c>
      <c r="O283" s="559">
        <f>(L283/(M283*60))</f>
        <v>12.135452684991328</v>
      </c>
      <c r="P283" s="559">
        <f>N283+O283</f>
        <v>32.135452684991328</v>
      </c>
      <c r="Q283" s="557">
        <f t="shared" ref="Q283:Q292" si="19">cell_P*(P283^cell_E)</f>
        <v>0.63085591645968786</v>
      </c>
      <c r="R283" s="556">
        <f>Q283*I283</f>
        <v>1.816865039403901</v>
      </c>
      <c r="S283" s="559" t="s">
        <v>10</v>
      </c>
      <c r="T283" s="557" t="s">
        <v>10</v>
      </c>
      <c r="U283" s="558" t="s">
        <v>10</v>
      </c>
      <c r="V283" s="559" t="s">
        <v>10</v>
      </c>
      <c r="W283" s="559" t="s">
        <v>10</v>
      </c>
      <c r="X283" s="559" t="s">
        <v>10</v>
      </c>
      <c r="Y283" s="557" t="s">
        <v>10</v>
      </c>
      <c r="Z283" s="557" t="s">
        <v>10</v>
      </c>
      <c r="AA283" s="557" t="s">
        <v>10</v>
      </c>
      <c r="AB283" s="557" t="s">
        <v>10</v>
      </c>
      <c r="AC283" s="560" t="s">
        <v>10</v>
      </c>
      <c r="AD283" t="s">
        <v>10</v>
      </c>
    </row>
    <row r="284" spans="1:30" x14ac:dyDescent="0.2">
      <c r="A284" s="553"/>
      <c r="B284" s="216" t="s">
        <v>10</v>
      </c>
      <c r="C284" s="215">
        <v>106.1</v>
      </c>
      <c r="D284" s="54">
        <f>VLOOKUP(C284,table_DI,2)</f>
        <v>3.1</v>
      </c>
      <c r="E284" s="54" t="s">
        <v>10</v>
      </c>
      <c r="F284" s="55">
        <f>VLOOKUP(C284,table_DI,5)</f>
        <v>0.5</v>
      </c>
      <c r="G284" s="54">
        <f>VLOOKUP(C284,table_DI,3)</f>
        <v>1.55</v>
      </c>
      <c r="H284" s="54" t="s">
        <v>10</v>
      </c>
      <c r="I284" s="54">
        <f>VLOOKUP(C284,table_DI,4)</f>
        <v>1.55</v>
      </c>
      <c r="J284" s="54" t="s">
        <v>10</v>
      </c>
      <c r="K284" s="56">
        <f>VLOOKUP(C284,table_DI,9)</f>
        <v>6.8017366136034572E-3</v>
      </c>
      <c r="L284" s="53">
        <f>VLOOKUP(C284,table_DI,8)</f>
        <v>691</v>
      </c>
      <c r="M284" s="55">
        <f>(0.84*(K284^0.5)*(cell_GUTDEP^0.6666)/cell_NRD)</f>
        <v>2.4284389260234938</v>
      </c>
      <c r="N284" s="53">
        <f>VLOOKUP(C284,table_DI,10)</f>
        <v>20</v>
      </c>
      <c r="O284" s="53">
        <f>(L284/(M284*60))</f>
        <v>4.7424156083368807</v>
      </c>
      <c r="P284" s="53">
        <f>N284+O284</f>
        <v>24.742415608336881</v>
      </c>
      <c r="Q284" s="55">
        <f>cell_P*(P284^cell_E)</f>
        <v>0.74307112263782782</v>
      </c>
      <c r="R284" s="54">
        <f>Q284*I284</f>
        <v>1.1517602400886331</v>
      </c>
      <c r="S284" s="53" t="s">
        <v>10</v>
      </c>
      <c r="T284" s="55" t="s">
        <v>10</v>
      </c>
      <c r="U284" s="56" t="s">
        <v>10</v>
      </c>
      <c r="V284" s="53" t="s">
        <v>10</v>
      </c>
      <c r="W284" s="53" t="s">
        <v>10</v>
      </c>
      <c r="X284" s="53" t="s">
        <v>10</v>
      </c>
      <c r="Y284" s="55" t="s">
        <v>10</v>
      </c>
      <c r="Z284" s="55" t="s">
        <v>10</v>
      </c>
      <c r="AA284" s="55" t="s">
        <v>10</v>
      </c>
      <c r="AB284" s="55" t="s">
        <v>10</v>
      </c>
      <c r="AC284" s="57" t="s">
        <v>10</v>
      </c>
      <c r="AD284" t="s">
        <v>10</v>
      </c>
    </row>
    <row r="285" spans="1:30" x14ac:dyDescent="0.2">
      <c r="A285" s="561"/>
      <c r="B285" s="554">
        <v>91</v>
      </c>
      <c r="C285" s="562" t="s">
        <v>10</v>
      </c>
      <c r="D285" s="556" t="s">
        <v>10</v>
      </c>
      <c r="E285" s="556">
        <f>VLOOKUP(106,table_CIA_INLETS,2,FALSE)+VLOOKUP(106.1,table_CIA_INLETS,2,FALSE)</f>
        <v>9.1300000000000008</v>
      </c>
      <c r="F285" s="557" t="s">
        <v>10</v>
      </c>
      <c r="G285" s="556" t="s">
        <v>10</v>
      </c>
      <c r="H285" s="556">
        <f>VLOOKUP(106,table_CIA_INLETS,5,FALSE)+VLOOKUP(106.1,table_CIA_INLETS,5,FALSE)</f>
        <v>4.37</v>
      </c>
      <c r="I285" s="556" t="s">
        <v>10</v>
      </c>
      <c r="J285" s="556">
        <f>VLOOKUP(106,table_CIA_INLETS,7,FALSE)+VLOOKUP(106.1,table_CIA_INLETS,7,FALSE)</f>
        <v>4.43</v>
      </c>
      <c r="K285" s="558" t="s">
        <v>10</v>
      </c>
      <c r="L285" s="559" t="s">
        <v>10</v>
      </c>
      <c r="M285" s="557" t="s">
        <v>10</v>
      </c>
      <c r="N285" s="559" t="s">
        <v>10</v>
      </c>
      <c r="O285" s="559" t="s">
        <v>10</v>
      </c>
      <c r="P285" s="559">
        <f>VLOOKUP(106,table_CIA_INLETS,14,FALSE)</f>
        <v>32.135452684991328</v>
      </c>
      <c r="Q285" s="557">
        <f t="shared" si="19"/>
        <v>0.63085591645968786</v>
      </c>
      <c r="R285" s="556">
        <f>J285*Q285</f>
        <v>2.794691709916417</v>
      </c>
      <c r="S285" s="559">
        <v>18</v>
      </c>
      <c r="T285" s="557">
        <f>(4*R285)/(3.14159*(S285/12)^2)</f>
        <v>1.581473335995208</v>
      </c>
      <c r="U285" s="558">
        <f>((R285/((0.463135/cell_NP)*((S285/12)^(8/3))))^2)*cell_FF</f>
        <v>8.1411127821230244E-4</v>
      </c>
      <c r="V285" s="563">
        <v>662</v>
      </c>
      <c r="W285" s="559">
        <f>V285/(T285*60)</f>
        <v>6.9766167296081214</v>
      </c>
      <c r="X285" s="559">
        <f>W285+P285</f>
        <v>39.112069414599446</v>
      </c>
      <c r="Y285" s="557">
        <f>U285*V285</f>
        <v>0.53894166617654427</v>
      </c>
      <c r="Z285" s="557">
        <f>IF(VLOOKUP(92,table_CIA_JCTS,25,FALSE)+VLOOKUP(91,table_CIA_JCTS,24,FALSE)&lt;VLOOKUP(91,table_CIA_JCTS,28,FALSE),VLOOKUP(91,table_CIA_JCTS,28,FALSE),VLOOKUP(92,table_CIA_JCTS,25,FALSE)+VLOOKUP(91,table_CIA_JCTS,24,FALSE))</f>
        <v>397.02969103239315</v>
      </c>
      <c r="AA285" s="557">
        <v>401.2</v>
      </c>
      <c r="AB285" s="557">
        <f>(AA285-0.5)-Z285</f>
        <v>3.670308967606843</v>
      </c>
      <c r="AC285" s="560" t="s">
        <v>10</v>
      </c>
      <c r="AD285" t="s">
        <v>10</v>
      </c>
    </row>
    <row r="286" spans="1:30" x14ac:dyDescent="0.2">
      <c r="B286" s="216">
        <v>92</v>
      </c>
      <c r="C286" s="217" t="s">
        <v>10</v>
      </c>
      <c r="D286" s="54" t="s">
        <v>10</v>
      </c>
      <c r="E286" s="54">
        <f>VLOOKUP(90.1,table_CIA_JCTS,4,FALSE)+VLOOKUP(91,table_CIA_JCTS,4,FALSE)</f>
        <v>24.310000000000002</v>
      </c>
      <c r="F286" s="55" t="s">
        <v>10</v>
      </c>
      <c r="G286" s="54" t="s">
        <v>10</v>
      </c>
      <c r="H286" s="54">
        <f>VLOOKUP(90.1,table_CIA_JCTS,7,FALSE)+VLOOKUP(91,table_CIA_JCTS,7,FALSE)</f>
        <v>11.96</v>
      </c>
      <c r="I286" s="54" t="s">
        <v>10</v>
      </c>
      <c r="J286" s="54">
        <f>VLOOKUP(90.1,table_CIA_JCTS,9,FALSE)+VLOOKUP(91,table_CIA_JCTS,9,FALSE)</f>
        <v>12.02</v>
      </c>
      <c r="K286" s="56" t="s">
        <v>10</v>
      </c>
      <c r="L286" s="53" t="s">
        <v>10</v>
      </c>
      <c r="M286" s="55" t="s">
        <v>10</v>
      </c>
      <c r="N286" s="53" t="s">
        <v>10</v>
      </c>
      <c r="O286" s="53" t="s">
        <v>10</v>
      </c>
      <c r="P286" s="53">
        <f>VLOOKUP(90.1,table_CIA_JCTS,23,FALSE)</f>
        <v>44.161289374758923</v>
      </c>
      <c r="Q286" s="55">
        <f t="shared" si="19"/>
        <v>0.5169858836980944</v>
      </c>
      <c r="R286" s="54">
        <f>J286*Q286</f>
        <v>6.2141703220510944</v>
      </c>
      <c r="S286" s="53">
        <v>18</v>
      </c>
      <c r="T286" s="55">
        <f>(4*R286)/(3.14159*(S286/12)^2)</f>
        <v>3.5165040332661528</v>
      </c>
      <c r="U286" s="56">
        <f>((R286/((0.463135/cell_NP)*((S286/12)^(8/3))))^2)*cell_FF</f>
        <v>4.0251517949356028E-3</v>
      </c>
      <c r="V286" s="53">
        <v>984</v>
      </c>
      <c r="W286" s="53">
        <f>V286/(T286*60)</f>
        <v>4.6637227896956421</v>
      </c>
      <c r="X286" s="53">
        <f>W286+P286</f>
        <v>48.825012164454563</v>
      </c>
      <c r="Y286" s="55">
        <f>U286*V286</f>
        <v>3.9607493662166333</v>
      </c>
      <c r="Z286" s="55">
        <f>IF(VLOOKUP(93,table_CIA_JCTS,25,FALSE)+VLOOKUP(92,table_CIA_JCTS,24,FALSE)&lt;VLOOKUP(92,table_CIA_JCTS,28,FALSE),VLOOKUP(92,table_CIA_JCTS,28,FALSE),VLOOKUP(93,table_CIA_JCTS,25,FALSE)+VLOOKUP(92,table_CIA_JCTS,24,FALSE))</f>
        <v>396.49074936621662</v>
      </c>
      <c r="AA286" s="55">
        <v>401.72</v>
      </c>
      <c r="AB286" s="55">
        <f>(AA286-0.5)-Z286</f>
        <v>4.7292506337834084</v>
      </c>
      <c r="AC286" s="57">
        <v>396.46</v>
      </c>
      <c r="AD286" t="s">
        <v>444</v>
      </c>
    </row>
    <row r="287" spans="1:30" x14ac:dyDescent="0.2">
      <c r="A287" s="669" t="s">
        <v>556</v>
      </c>
      <c r="B287" s="504" t="s">
        <v>10</v>
      </c>
      <c r="C287" s="504">
        <v>107</v>
      </c>
      <c r="D287" s="505">
        <f>VLOOKUP(C287,table_DI,2)</f>
        <v>12.39</v>
      </c>
      <c r="E287" s="505" t="s">
        <v>10</v>
      </c>
      <c r="F287" s="506">
        <f>VLOOKUP(C287,table_DI,5)</f>
        <v>0.5</v>
      </c>
      <c r="G287" s="505">
        <f>VLOOKUP(C287,table_DI,3)</f>
        <v>6.1950000000000003</v>
      </c>
      <c r="H287" s="505" t="s">
        <v>10</v>
      </c>
      <c r="I287" s="505">
        <f>VLOOKUP(C287,table_DI,4)</f>
        <v>6.1950000000000003</v>
      </c>
      <c r="J287" s="505" t="s">
        <v>10</v>
      </c>
      <c r="K287" s="507">
        <f>VLOOKUP(C287,table_DI,9)</f>
        <v>3.1026615969581626E-3</v>
      </c>
      <c r="L287" s="508">
        <f>VLOOKUP(C287,table_DI,8)</f>
        <v>1315</v>
      </c>
      <c r="M287" s="506">
        <f>(0.84*(K287^0.5)*(cell_GUTDEP^0.6666)/cell_NRD)</f>
        <v>1.6401534639996249</v>
      </c>
      <c r="N287" s="508">
        <f>VLOOKUP(C287,table_DI,10)</f>
        <v>20</v>
      </c>
      <c r="O287" s="508">
        <f>(L287/(M287*60))</f>
        <v>13.362570727510702</v>
      </c>
      <c r="P287" s="508">
        <f>N287+O287</f>
        <v>33.3625707275107</v>
      </c>
      <c r="Q287" s="506">
        <f t="shared" si="19"/>
        <v>0.61622416067296903</v>
      </c>
      <c r="R287" s="505">
        <f>Q287*I287</f>
        <v>3.8175086753690435</v>
      </c>
      <c r="S287" s="508" t="s">
        <v>10</v>
      </c>
      <c r="T287" s="506" t="s">
        <v>10</v>
      </c>
      <c r="U287" s="507" t="s">
        <v>10</v>
      </c>
      <c r="V287" s="508" t="s">
        <v>10</v>
      </c>
      <c r="W287" s="508" t="s">
        <v>10</v>
      </c>
      <c r="X287" s="508" t="s">
        <v>10</v>
      </c>
      <c r="Y287" s="506" t="s">
        <v>10</v>
      </c>
      <c r="Z287" s="506" t="s">
        <v>10</v>
      </c>
      <c r="AA287" s="506" t="s">
        <v>10</v>
      </c>
      <c r="AB287" s="506" t="s">
        <v>10</v>
      </c>
      <c r="AC287" s="509" t="s">
        <v>10</v>
      </c>
      <c r="AD287" t="s">
        <v>10</v>
      </c>
    </row>
    <row r="288" spans="1:30" x14ac:dyDescent="0.2">
      <c r="A288" s="670"/>
      <c r="B288" s="215" t="s">
        <v>10</v>
      </c>
      <c r="C288" s="215">
        <v>108</v>
      </c>
      <c r="D288" s="54">
        <f>VLOOKUP(C288,table_DI,2)</f>
        <v>10.83</v>
      </c>
      <c r="E288" s="54" t="s">
        <v>10</v>
      </c>
      <c r="F288" s="55">
        <f>VLOOKUP(C288,table_DI,5)</f>
        <v>0.5</v>
      </c>
      <c r="G288" s="54">
        <f>VLOOKUP(C288,table_DI,3)</f>
        <v>5.415</v>
      </c>
      <c r="H288" s="54" t="s">
        <v>10</v>
      </c>
      <c r="I288" s="54">
        <f>VLOOKUP(C288,table_DI,4)</f>
        <v>5.415</v>
      </c>
      <c r="J288" s="54" t="s">
        <v>10</v>
      </c>
      <c r="K288" s="56">
        <f>VLOOKUP(C288,table_DI,9)</f>
        <v>2.5623960066555765E-3</v>
      </c>
      <c r="L288" s="53">
        <f>VLOOKUP(C288,table_DI,8)</f>
        <v>1803</v>
      </c>
      <c r="M288" s="55">
        <f>(0.84*(K288^0.5)*(cell_GUTDEP^0.6666)/cell_NRD)</f>
        <v>1.4905289129618442</v>
      </c>
      <c r="N288" s="53">
        <f>VLOOKUP(C288,table_DI,10)</f>
        <v>20</v>
      </c>
      <c r="O288" s="53">
        <f>(L288/(M288*60))</f>
        <v>20.160628712855598</v>
      </c>
      <c r="P288" s="53">
        <f>N288+O288</f>
        <v>40.160628712855598</v>
      </c>
      <c r="Q288" s="55">
        <f t="shared" si="19"/>
        <v>0.54866082291485896</v>
      </c>
      <c r="R288" s="54">
        <f>Q288*I288</f>
        <v>2.9709983560839612</v>
      </c>
      <c r="S288" s="53" t="s">
        <v>10</v>
      </c>
      <c r="T288" s="55" t="s">
        <v>10</v>
      </c>
      <c r="U288" s="56" t="s">
        <v>10</v>
      </c>
      <c r="V288" s="53" t="s">
        <v>10</v>
      </c>
      <c r="W288" s="53" t="s">
        <v>10</v>
      </c>
      <c r="X288" s="53" t="s">
        <v>10</v>
      </c>
      <c r="Y288" s="55" t="s">
        <v>10</v>
      </c>
      <c r="Z288" s="55" t="s">
        <v>10</v>
      </c>
      <c r="AA288" s="55" t="s">
        <v>10</v>
      </c>
      <c r="AB288" s="55" t="s">
        <v>10</v>
      </c>
      <c r="AC288" s="57" t="s">
        <v>10</v>
      </c>
      <c r="AD288" t="s">
        <v>10</v>
      </c>
    </row>
    <row r="289" spans="1:30" x14ac:dyDescent="0.2">
      <c r="A289" s="671"/>
      <c r="B289" s="504">
        <v>93</v>
      </c>
      <c r="C289" s="510" t="s">
        <v>10</v>
      </c>
      <c r="D289" s="505" t="s">
        <v>10</v>
      </c>
      <c r="E289" s="505">
        <f>VLOOKUP(92,table_CIA_JCTS,4,FALSE)+VLOOKUP(107,table_CIA_INLETS,2,FALSE)+VLOOKUP(108,table_CIA_INLETS,2,FALSE)</f>
        <v>47.53</v>
      </c>
      <c r="F289" s="506" t="s">
        <v>10</v>
      </c>
      <c r="G289" s="505" t="s">
        <v>10</v>
      </c>
      <c r="H289" s="505">
        <f>VLOOKUP(92,table_CIA_JCTS,7,FALSE)+VLOOKUP(107,table_CIA_INLETS,5,FALSE)+VLOOKUP(108,table_CIA_INLETS,5,FALSE)</f>
        <v>23.57</v>
      </c>
      <c r="I289" s="505" t="s">
        <v>10</v>
      </c>
      <c r="J289" s="505">
        <f>VLOOKUP(92,table_CIA_JCTS,9,FALSE)+VLOOKUP(107,table_CIA_INLETS,7,FALSE)+VLOOKUP(108,table_CIA_INLETS,7,FALSE)</f>
        <v>23.63</v>
      </c>
      <c r="K289" s="507" t="s">
        <v>10</v>
      </c>
      <c r="L289" s="508" t="s">
        <v>10</v>
      </c>
      <c r="M289" s="506" t="s">
        <v>10</v>
      </c>
      <c r="N289" s="508" t="s">
        <v>10</v>
      </c>
      <c r="O289" s="508" t="s">
        <v>10</v>
      </c>
      <c r="P289" s="508">
        <f>VLOOKUP(92,table_CIA_JCTS,23,FALSE)</f>
        <v>48.825012164454563</v>
      </c>
      <c r="Q289" s="506">
        <f t="shared" si="19"/>
        <v>0.48548518280960068</v>
      </c>
      <c r="R289" s="505">
        <f>J289*Q289</f>
        <v>11.472014869790863</v>
      </c>
      <c r="S289" s="508">
        <v>18</v>
      </c>
      <c r="T289" s="506">
        <f>(4*R289)/(3.14159*(S289/12)^2)</f>
        <v>6.4918379234242609</v>
      </c>
      <c r="U289" s="507">
        <f>((R289/((0.463135/cell_NP)*((S289/12)^(8/3))))^2)*cell_FF</f>
        <v>1.37181440971237E-2</v>
      </c>
      <c r="V289" s="508">
        <v>41</v>
      </c>
      <c r="W289" s="508">
        <f>V289/(T289*60)</f>
        <v>0.10526038101901569</v>
      </c>
      <c r="X289" s="508">
        <f>W289+P289</f>
        <v>48.930272545473578</v>
      </c>
      <c r="Y289" s="506">
        <f>U289*V289</f>
        <v>0.56244390798207167</v>
      </c>
      <c r="Z289" s="506">
        <f>IF(VLOOKUP(94,table_CIA_JCTS,25,FALSE)+VLOOKUP(93,table_CIA_JCTS,24,FALSE)&lt;VLOOKUP(93,table_CIA_JCTS,28,FALSE),VLOOKUP(93,table_CIA_JCTS,28,FALSE),VLOOKUP(94,table_CIA_JCTS,25,FALSE)+VLOOKUP(93,table_CIA_JCTS,24,FALSE))</f>
        <v>392.53</v>
      </c>
      <c r="AA289" s="506">
        <v>396.8</v>
      </c>
      <c r="AB289" s="506">
        <f>(AA289-0.5)-Z289</f>
        <v>3.7700000000000387</v>
      </c>
      <c r="AC289" s="509">
        <v>392.53</v>
      </c>
      <c r="AD289" t="s">
        <v>444</v>
      </c>
    </row>
    <row r="290" spans="1:30" x14ac:dyDescent="0.2">
      <c r="B290" s="216" t="s">
        <v>10</v>
      </c>
      <c r="C290" s="215">
        <v>109</v>
      </c>
      <c r="D290" s="54">
        <f>VLOOKUP(C290,table_DI,2)</f>
        <v>1.3</v>
      </c>
      <c r="E290" s="54" t="s">
        <v>10</v>
      </c>
      <c r="F290" s="55">
        <f>VLOOKUP(C290,table_DI,5)</f>
        <v>0.90000000000000013</v>
      </c>
      <c r="G290" s="54">
        <f>VLOOKUP(C290,table_DI,3)</f>
        <v>1.1700000000000002</v>
      </c>
      <c r="H290" s="54" t="s">
        <v>10</v>
      </c>
      <c r="I290" s="54">
        <f>VLOOKUP(C290,table_DI,4)</f>
        <v>1.1700000000000002</v>
      </c>
      <c r="J290" s="54" t="s">
        <v>10</v>
      </c>
      <c r="K290" s="56">
        <f>VLOOKUP(C290,table_DI,9)</f>
        <v>4.1679160419790546E-3</v>
      </c>
      <c r="L290" s="53">
        <f>VLOOKUP(C290,table_DI,8)</f>
        <v>667</v>
      </c>
      <c r="M290" s="55">
        <f>(0.84*(K290^0.5)*(cell_GUTDEP^0.6666)/cell_NRD)</f>
        <v>1.9009765580633788</v>
      </c>
      <c r="N290" s="53">
        <f>VLOOKUP(C290,table_DI,10)</f>
        <v>20</v>
      </c>
      <c r="O290" s="53">
        <f>(L290/(M290*60))</f>
        <v>5.847871516096852</v>
      </c>
      <c r="P290" s="53">
        <f>N290+O290</f>
        <v>25.847871516096852</v>
      </c>
      <c r="Q290" s="55">
        <f t="shared" si="19"/>
        <v>0.72300853550981681</v>
      </c>
      <c r="R290" s="54">
        <f>Q290*I290</f>
        <v>0.84591998654648581</v>
      </c>
      <c r="S290" s="53" t="s">
        <v>10</v>
      </c>
      <c r="T290" s="55" t="s">
        <v>10</v>
      </c>
      <c r="U290" s="56" t="s">
        <v>10</v>
      </c>
      <c r="V290" s="53" t="s">
        <v>10</v>
      </c>
      <c r="W290" s="53" t="s">
        <v>10</v>
      </c>
      <c r="X290" s="53" t="s">
        <v>10</v>
      </c>
      <c r="Y290" s="55" t="s">
        <v>10</v>
      </c>
      <c r="Z290" s="55" t="s">
        <v>10</v>
      </c>
      <c r="AA290" s="55" t="s">
        <v>10</v>
      </c>
      <c r="AB290" s="55" t="s">
        <v>10</v>
      </c>
      <c r="AC290" s="57" t="s">
        <v>10</v>
      </c>
      <c r="AD290" t="s">
        <v>10</v>
      </c>
    </row>
    <row r="291" spans="1:30" x14ac:dyDescent="0.2">
      <c r="B291" s="216">
        <v>94</v>
      </c>
      <c r="C291" s="217" t="s">
        <v>10</v>
      </c>
      <c r="D291" s="54" t="s">
        <v>10</v>
      </c>
      <c r="E291" s="54">
        <f>VLOOKUP(93,table_CIA_JCTS,4,FALSE)+VLOOKUP(109,table_CIA_INLETS,2,FALSE)</f>
        <v>48.83</v>
      </c>
      <c r="F291" s="55" t="s">
        <v>10</v>
      </c>
      <c r="G291" s="54" t="s">
        <v>10</v>
      </c>
      <c r="H291" s="54">
        <f>VLOOKUP(93,table_CIA_JCTS,7,FALSE)+VLOOKUP(109,table_CIA_INLETS,5,FALSE)</f>
        <v>24.740000000000002</v>
      </c>
      <c r="I291" s="54" t="s">
        <v>10</v>
      </c>
      <c r="J291" s="54">
        <f>VLOOKUP(93,table_CIA_JCTS,9,FALSE)+VLOOKUP(109,table_CIA_INLETS,7,FALSE)</f>
        <v>24.8</v>
      </c>
      <c r="K291" s="56" t="s">
        <v>10</v>
      </c>
      <c r="L291" s="53" t="s">
        <v>10</v>
      </c>
      <c r="M291" s="55" t="s">
        <v>10</v>
      </c>
      <c r="N291" s="53" t="s">
        <v>10</v>
      </c>
      <c r="O291" s="53" t="s">
        <v>10</v>
      </c>
      <c r="P291" s="53">
        <f>VLOOKUP(93,table_CIA_JCTS,23,FALSE)</f>
        <v>48.930272545473578</v>
      </c>
      <c r="Q291" s="55">
        <f t="shared" si="19"/>
        <v>0.48483092171240116</v>
      </c>
      <c r="R291" s="54">
        <f>J291*Q291</f>
        <v>12.02380685846755</v>
      </c>
      <c r="S291" s="53">
        <v>30</v>
      </c>
      <c r="T291" s="55">
        <f>(4*R291)/(3.14159*(S291/12)^2)</f>
        <v>2.4494718882537927</v>
      </c>
      <c r="U291" s="56">
        <f>((R291/((0.463135/cell_NP)*((S291/12)^(8/3))))^2)*cell_FF</f>
        <v>9.8834053958467261E-4</v>
      </c>
      <c r="V291" s="53">
        <v>18</v>
      </c>
      <c r="W291" s="53">
        <f>V291/(T291*60)</f>
        <v>0.12247537987213537</v>
      </c>
      <c r="X291" s="53">
        <f>W291+P291</f>
        <v>49.052747925345713</v>
      </c>
      <c r="Y291" s="55">
        <f>U291*V291</f>
        <v>1.7790129712524107E-2</v>
      </c>
      <c r="Z291" s="365">
        <f>IF(VLOOKUP(94.1,table_CIA_JCTS,25,FALSE)+VLOOKUP(94,table_CIA_JCTS,24,FALSE)&lt;VLOOKUP(94,table_CIA_JCTS,28,FALSE),VLOOKUP(94,table_CIA_JCTS,28,FALSE),VLOOKUP(94.1,table_CIA_JCTS,25,FALSE)+VLOOKUP(94,table_CIA_JCTS,24,FALSE))</f>
        <v>391.92779012971255</v>
      </c>
      <c r="AA291" s="55">
        <v>396.8</v>
      </c>
      <c r="AB291" s="55">
        <f>(AA291-0.5)-Z291</f>
        <v>4.3722098702874632</v>
      </c>
      <c r="AC291" s="57">
        <v>389.55</v>
      </c>
      <c r="AD291" t="s">
        <v>448</v>
      </c>
    </row>
    <row r="292" spans="1:30" x14ac:dyDescent="0.2">
      <c r="B292" s="216">
        <v>94.1</v>
      </c>
      <c r="C292" s="217" t="s">
        <v>10</v>
      </c>
      <c r="D292" s="54" t="s">
        <v>10</v>
      </c>
      <c r="E292" s="54">
        <f>VLOOKUP(94,table_CIA_JCTS,4,FALSE)</f>
        <v>48.83</v>
      </c>
      <c r="F292" s="55" t="s">
        <v>10</v>
      </c>
      <c r="G292" s="54" t="s">
        <v>10</v>
      </c>
      <c r="H292" s="54">
        <f>VLOOKUP(94,table_CIA_JCTS,7,FALSE)</f>
        <v>24.740000000000002</v>
      </c>
      <c r="I292" s="54" t="s">
        <v>10</v>
      </c>
      <c r="J292" s="54">
        <f>VLOOKUP(94,table_CIA_JCTS,9,FALSE)</f>
        <v>24.8</v>
      </c>
      <c r="K292" s="56" t="s">
        <v>10</v>
      </c>
      <c r="L292" s="53" t="s">
        <v>10</v>
      </c>
      <c r="M292" s="55" t="s">
        <v>10</v>
      </c>
      <c r="N292" s="53" t="s">
        <v>10</v>
      </c>
      <c r="O292" s="53" t="s">
        <v>10</v>
      </c>
      <c r="P292" s="53">
        <f>VLOOKUP(94,table_CIA_JCTS,23,FALSE)</f>
        <v>49.052747925345713</v>
      </c>
      <c r="Q292" s="55">
        <f t="shared" si="19"/>
        <v>0.4840725333197286</v>
      </c>
      <c r="R292" s="54">
        <f>J292*Q292</f>
        <v>12.00499882632927</v>
      </c>
      <c r="S292" s="53">
        <v>36</v>
      </c>
      <c r="T292" s="55">
        <f>(4*R292)/(3.14159*(S292/12)^2)</f>
        <v>1.6983613501202004</v>
      </c>
      <c r="U292" s="56">
        <f>((R292/((0.463135/cell_NP)*((S292/12)^(8/3))))^2)*cell_FF</f>
        <v>3.7260346699508241E-4</v>
      </c>
      <c r="V292" s="53">
        <v>330</v>
      </c>
      <c r="W292" s="53">
        <f>V292/(T292*60)</f>
        <v>3.2384156643759829</v>
      </c>
      <c r="X292" s="53">
        <f>W292+P292</f>
        <v>52.291163589721698</v>
      </c>
      <c r="Y292" s="55">
        <f>U292*V292</f>
        <v>0.1229591441083772</v>
      </c>
      <c r="Z292" s="55">
        <f>IF(VLOOKUP(94.4,table_CIA_JCTS,25,FALSE)+VLOOKUP(94.1,table_CIA_JCTS,24,FALSE)&lt;VLOOKUP(94.1,table_CIA_JCTS,28,FALSE),VLOOKUP(94.1,table_CIA_JCTS,28,FALSE),VLOOKUP(94.4,table_CIA_JCTS,25,FALSE)+VLOOKUP(94.1,table_CIA_JCTS,24,FALSE))</f>
        <v>391.91</v>
      </c>
      <c r="AA292" s="55">
        <v>397</v>
      </c>
      <c r="AB292" s="55">
        <f>(AA292-0.5)-Z292</f>
        <v>4.589999999999975</v>
      </c>
      <c r="AC292" s="57">
        <v>391.91</v>
      </c>
      <c r="AD292" t="s">
        <v>452</v>
      </c>
    </row>
    <row r="293" spans="1:30" x14ac:dyDescent="0.2">
      <c r="B293" s="216" t="s">
        <v>10</v>
      </c>
      <c r="C293" s="217" t="s">
        <v>10</v>
      </c>
      <c r="D293" s="54" t="s">
        <v>10</v>
      </c>
      <c r="E293" s="54" t="s">
        <v>10</v>
      </c>
      <c r="F293" s="55" t="s">
        <v>10</v>
      </c>
      <c r="G293" s="54" t="s">
        <v>10</v>
      </c>
      <c r="H293" s="54" t="s">
        <v>10</v>
      </c>
      <c r="I293" s="54" t="s">
        <v>10</v>
      </c>
      <c r="J293" s="54" t="s">
        <v>10</v>
      </c>
      <c r="K293" s="56" t="s">
        <v>10</v>
      </c>
      <c r="L293" s="53" t="s">
        <v>10</v>
      </c>
      <c r="M293" s="55" t="s">
        <v>10</v>
      </c>
      <c r="N293" s="53" t="s">
        <v>10</v>
      </c>
      <c r="O293" s="53" t="s">
        <v>10</v>
      </c>
      <c r="P293" s="53" t="s">
        <v>10</v>
      </c>
      <c r="Q293" s="55" t="s">
        <v>10</v>
      </c>
      <c r="R293" s="54" t="s">
        <v>10</v>
      </c>
      <c r="S293" s="53" t="s">
        <v>10</v>
      </c>
      <c r="T293" s="55" t="s">
        <v>10</v>
      </c>
      <c r="U293" s="56" t="s">
        <v>10</v>
      </c>
      <c r="V293" s="53" t="s">
        <v>10</v>
      </c>
      <c r="W293" s="53" t="s">
        <v>10</v>
      </c>
      <c r="X293" s="53" t="s">
        <v>10</v>
      </c>
      <c r="Y293" s="55" t="s">
        <v>10</v>
      </c>
      <c r="Z293" s="55" t="s">
        <v>10</v>
      </c>
      <c r="AA293" s="55" t="s">
        <v>10</v>
      </c>
      <c r="AB293" s="55" t="s">
        <v>10</v>
      </c>
      <c r="AC293" s="57" t="s">
        <v>10</v>
      </c>
      <c r="AD293" t="s">
        <v>10</v>
      </c>
    </row>
    <row r="294" spans="1:30" ht="15.75" x14ac:dyDescent="0.25">
      <c r="A294" s="660" t="s">
        <v>568</v>
      </c>
      <c r="B294" s="335" t="s">
        <v>10</v>
      </c>
      <c r="C294" s="335">
        <v>110.1</v>
      </c>
      <c r="D294" s="336">
        <f>VLOOKUP(C294,table_DI,2)</f>
        <v>17.8</v>
      </c>
      <c r="E294" s="336" t="s">
        <v>10</v>
      </c>
      <c r="F294" s="337">
        <f>VLOOKUP(C294,table_DI,5)</f>
        <v>0.5</v>
      </c>
      <c r="G294" s="336">
        <f>VLOOKUP(C294,table_DI,3)</f>
        <v>8.9</v>
      </c>
      <c r="H294" s="336" t="s">
        <v>10</v>
      </c>
      <c r="I294" s="336">
        <f>VLOOKUP(C294,table_DI,4)</f>
        <v>8.9</v>
      </c>
      <c r="J294" s="336" t="s">
        <v>10</v>
      </c>
      <c r="K294" s="338">
        <f>VLOOKUP(C294,table_DI,9)</f>
        <v>4.4464285714285873E-3</v>
      </c>
      <c r="L294" s="339">
        <f>VLOOKUP(C294,table_DI,8)</f>
        <v>2240</v>
      </c>
      <c r="M294" s="337">
        <f>(0.84*(K294^0.5)*(cell_GUTDEP^0.6666)/cell_NRD)</f>
        <v>1.9634639887651486</v>
      </c>
      <c r="N294" s="339">
        <f>VLOOKUP(C294,table_DI,10)</f>
        <v>20</v>
      </c>
      <c r="O294" s="339">
        <f>(L294/(M294*60))</f>
        <v>19.014014795765526</v>
      </c>
      <c r="P294" s="339">
        <f>N294+O294</f>
        <v>39.014014795765526</v>
      </c>
      <c r="Q294" s="337">
        <f>cell_P*(P294^cell_E)</f>
        <v>0.55870358497948924</v>
      </c>
      <c r="R294" s="575">
        <f>Q294*I294</f>
        <v>4.9724619063174549</v>
      </c>
      <c r="S294" s="339" t="s">
        <v>10</v>
      </c>
      <c r="T294" s="337" t="s">
        <v>10</v>
      </c>
      <c r="U294" s="338" t="s">
        <v>10</v>
      </c>
      <c r="V294" s="339" t="s">
        <v>10</v>
      </c>
      <c r="W294" s="339" t="s">
        <v>10</v>
      </c>
      <c r="X294" s="339" t="s">
        <v>10</v>
      </c>
      <c r="Y294" s="337" t="s">
        <v>10</v>
      </c>
      <c r="Z294" s="337" t="s">
        <v>10</v>
      </c>
      <c r="AA294" s="337" t="s">
        <v>10</v>
      </c>
      <c r="AB294" s="337" t="s">
        <v>10</v>
      </c>
      <c r="AC294" s="340" t="s">
        <v>10</v>
      </c>
      <c r="AD294" t="s">
        <v>10</v>
      </c>
    </row>
    <row r="295" spans="1:30" x14ac:dyDescent="0.2">
      <c r="A295" s="661"/>
      <c r="B295" s="619">
        <v>94.2</v>
      </c>
      <c r="C295" s="341" t="s">
        <v>10</v>
      </c>
      <c r="D295" s="336" t="s">
        <v>10</v>
      </c>
      <c r="E295" s="336">
        <f>VLOOKUP(110.1,table_CIA_INLETS,2,FALSE)</f>
        <v>17.8</v>
      </c>
      <c r="F295" s="337" t="s">
        <v>10</v>
      </c>
      <c r="G295" s="336" t="s">
        <v>10</v>
      </c>
      <c r="H295" s="336">
        <f>VLOOKUP(110.1,table_CIA_INLETS,5,FALSE)</f>
        <v>8.9</v>
      </c>
      <c r="I295" s="336" t="s">
        <v>10</v>
      </c>
      <c r="J295" s="336">
        <f>VLOOKUP(110.1,table_CIA_INLETS,7,FALSE)</f>
        <v>8.9</v>
      </c>
      <c r="K295" s="338" t="s">
        <v>10</v>
      </c>
      <c r="L295" s="339" t="s">
        <v>10</v>
      </c>
      <c r="M295" s="337" t="s">
        <v>10</v>
      </c>
      <c r="N295" s="339" t="s">
        <v>10</v>
      </c>
      <c r="O295" s="339" t="s">
        <v>10</v>
      </c>
      <c r="P295" s="339">
        <f>VLOOKUP(110.1,table_CIA_INLETS,14,FALSE)</f>
        <v>39.014014795765526</v>
      </c>
      <c r="Q295" s="337">
        <f>cell_P*(P295^cell_E)</f>
        <v>0.55870358497948924</v>
      </c>
      <c r="R295" s="336">
        <f>J295*Q295</f>
        <v>4.9724619063174549</v>
      </c>
      <c r="S295" s="339">
        <v>18</v>
      </c>
      <c r="T295" s="337">
        <f>(4*R295)/(3.14159*(S295/12)^2)</f>
        <v>2.8138402139991845</v>
      </c>
      <c r="U295" s="338">
        <f>((R295/((0.463135/cell_NP)*((S295/12)^(8/3))))^2)*cell_FF</f>
        <v>2.5772638807967604E-3</v>
      </c>
      <c r="V295" s="339">
        <v>43</v>
      </c>
      <c r="W295" s="339">
        <f>V295/(T295*60)</f>
        <v>0.25469344815713635</v>
      </c>
      <c r="X295" s="339">
        <f>W295+P295</f>
        <v>39.26870824392266</v>
      </c>
      <c r="Y295" s="337">
        <f>U295*V295</f>
        <v>0.11082234687426069</v>
      </c>
      <c r="Z295" s="337">
        <f>IF(VLOOKUP(94.4,table_CIA_JCTS,25,FALSE)+VLOOKUP(94.2,table_CIA_JCTS,24,FALSE)&lt;VLOOKUP(94.2,table_CIA_JCTS,28,FALSE),VLOOKUP(94.2,table_CIA_JCTS,28,FALSE),VLOOKUP(94.4,table_CIA_JCTS,25,FALSE)+VLOOKUP(94.2,table_CIA_JCTS,24,FALSE))</f>
        <v>393.72</v>
      </c>
      <c r="AA295" s="337">
        <v>398.34</v>
      </c>
      <c r="AB295" s="337">
        <f>(AA295-0.5)-Z295</f>
        <v>4.1199999999999477</v>
      </c>
      <c r="AC295" s="340">
        <v>393.72</v>
      </c>
      <c r="AD295" t="s">
        <v>570</v>
      </c>
    </row>
    <row r="296" spans="1:30" ht="15.75" x14ac:dyDescent="0.25">
      <c r="A296" s="661"/>
      <c r="B296" s="335">
        <v>94.4</v>
      </c>
      <c r="C296" s="341" t="s">
        <v>10</v>
      </c>
      <c r="D296" s="336" t="s">
        <v>10</v>
      </c>
      <c r="E296" s="336">
        <f>VLOOKUP(94.1,table_CIA_JCTS,4,FALSE)+VLOOKUP(94.2,table_CIA_JCTS,4,FALSE)</f>
        <v>66.63</v>
      </c>
      <c r="F296" s="337" t="s">
        <v>10</v>
      </c>
      <c r="G296" s="336" t="s">
        <v>10</v>
      </c>
      <c r="H296" s="336">
        <f>VLOOKUP(94.1,table_CIA_JCTS,7,FALSE)+VLOOKUP(94.2,table_CIA_JCTS,7,FALSE)</f>
        <v>33.64</v>
      </c>
      <c r="I296" s="336" t="s">
        <v>10</v>
      </c>
      <c r="J296" s="336">
        <f>VLOOKUP(94.1,table_CIA_JCTS,9,FALSE)+VLOOKUP(94.2,table_CIA_JCTS,9,FALSE)</f>
        <v>33.700000000000003</v>
      </c>
      <c r="K296" s="338" t="s">
        <v>10</v>
      </c>
      <c r="L296" s="339" t="s">
        <v>10</v>
      </c>
      <c r="M296" s="337" t="s">
        <v>10</v>
      </c>
      <c r="N296" s="339" t="s">
        <v>10</v>
      </c>
      <c r="O296" s="339" t="s">
        <v>10</v>
      </c>
      <c r="P296" s="339">
        <f>VLOOKUP(94.1,table_CIA_JCTS,23,FALSE)</f>
        <v>52.291163589721698</v>
      </c>
      <c r="Q296" s="337">
        <f>cell_P*(P296^cell_E)</f>
        <v>0.46507609834034336</v>
      </c>
      <c r="R296" s="336">
        <f>J296*Q296</f>
        <v>15.673064514069573</v>
      </c>
      <c r="S296" s="339">
        <v>36</v>
      </c>
      <c r="T296" s="337">
        <f>(4*R296)/(3.14159*(S296/12)^2)</f>
        <v>2.2172869313620134</v>
      </c>
      <c r="U296" s="338">
        <f>((R296/((0.463135/cell_NP)*((S296/12)^(8/3))))^2)*cell_FF</f>
        <v>6.3508300381339615E-4</v>
      </c>
      <c r="V296" s="339">
        <v>366</v>
      </c>
      <c r="W296" s="339">
        <f>V296/(T296*60)</f>
        <v>2.7511098873671487</v>
      </c>
      <c r="X296" s="339">
        <f>W296+P296</f>
        <v>55.042273477088848</v>
      </c>
      <c r="Y296" s="337">
        <f>U296*V296</f>
        <v>0.232440379395703</v>
      </c>
      <c r="Z296" s="337">
        <f>IF(VLOOKUP(95,table_CIA_JCTS,25,FALSE)+VLOOKUP(94.4,table_CIA_JCTS,24,FALSE)&lt;VLOOKUP(94.4,table_CIA_JCTS,28,FALSE),VLOOKUP(94.4,table_CIA_JCTS,28,FALSE),VLOOKUP(95,table_CIA_JCTS,25,FALSE)+VLOOKUP(94.4,table_CIA_JCTS,24,FALSE))</f>
        <v>391.17</v>
      </c>
      <c r="AA296" s="337">
        <v>398.4</v>
      </c>
      <c r="AB296" s="337">
        <f>(AA296-0.5)-Z296</f>
        <v>6.7299999999999613</v>
      </c>
      <c r="AC296" s="426">
        <v>391.17</v>
      </c>
      <c r="AD296" s="42" t="s">
        <v>535</v>
      </c>
    </row>
    <row r="297" spans="1:30" ht="15.75" x14ac:dyDescent="0.25">
      <c r="A297" s="661"/>
      <c r="B297" s="335" t="s">
        <v>10</v>
      </c>
      <c r="C297" s="335">
        <v>111</v>
      </c>
      <c r="D297" s="336">
        <f>VLOOKUP(C297,table_DI,2)</f>
        <v>8.07</v>
      </c>
      <c r="E297" s="336" t="s">
        <v>10</v>
      </c>
      <c r="F297" s="337">
        <f>VLOOKUP(C297,table_DI,5)</f>
        <v>0.46716232961586118</v>
      </c>
      <c r="G297" s="336">
        <f>VLOOKUP(C297,table_DI,3)</f>
        <v>3.62</v>
      </c>
      <c r="H297" s="336" t="s">
        <v>10</v>
      </c>
      <c r="I297" s="336">
        <f>VLOOKUP(C297,table_DI,4)</f>
        <v>3.77</v>
      </c>
      <c r="J297" s="336" t="s">
        <v>10</v>
      </c>
      <c r="K297" s="338">
        <f>VLOOKUP(C297,table_DI,9)</f>
        <v>3.1544653123802293E-3</v>
      </c>
      <c r="L297" s="339">
        <f>VLOOKUP(C297,table_DI,8)</f>
        <v>2609</v>
      </c>
      <c r="M297" s="337">
        <f>(0.84*(K297^0.5)*(cell_GUTDEP^0.6666)/cell_NRD)</f>
        <v>1.6537892265795879</v>
      </c>
      <c r="N297" s="339">
        <f>VLOOKUP(C297,table_DI,10)</f>
        <v>20</v>
      </c>
      <c r="O297" s="339">
        <f>(L297/(M297*60))</f>
        <v>26.293153102264881</v>
      </c>
      <c r="P297" s="339">
        <f>N297+O297</f>
        <v>46.293153102264881</v>
      </c>
      <c r="Q297" s="337">
        <f>cell_P*(P297^cell_E)</f>
        <v>0.50194626733339176</v>
      </c>
      <c r="R297" s="336">
        <f>Q297*I297</f>
        <v>1.892337427846887</v>
      </c>
      <c r="S297" s="339" t="s">
        <v>10</v>
      </c>
      <c r="T297" s="337" t="s">
        <v>10</v>
      </c>
      <c r="U297" s="338" t="s">
        <v>10</v>
      </c>
      <c r="V297" s="339" t="s">
        <v>10</v>
      </c>
      <c r="W297" s="339" t="s">
        <v>10</v>
      </c>
      <c r="X297" s="339" t="s">
        <v>10</v>
      </c>
      <c r="Y297" s="337" t="s">
        <v>10</v>
      </c>
      <c r="Z297" s="337" t="s">
        <v>10</v>
      </c>
      <c r="AA297" s="337" t="s">
        <v>10</v>
      </c>
      <c r="AB297" s="337" t="s">
        <v>10</v>
      </c>
      <c r="AC297" s="426"/>
      <c r="AD297"/>
    </row>
    <row r="298" spans="1:30" ht="15.75" x14ac:dyDescent="0.25">
      <c r="A298" s="662"/>
      <c r="B298" s="335">
        <v>95</v>
      </c>
      <c r="C298" s="341" t="s">
        <v>10</v>
      </c>
      <c r="D298" s="336" t="s">
        <v>10</v>
      </c>
      <c r="E298" s="336">
        <f>VLOOKUP(89,table_CIA_JCTS,4,FALSE)+VLOOKUP(94.4,table_CIA_JCTS,4,FALSE)+VLOOKUP(111,table_CIA_INLETS,2,FALSE)</f>
        <v>268.21999999999997</v>
      </c>
      <c r="F298" s="337" t="s">
        <v>10</v>
      </c>
      <c r="G298" s="336" t="s">
        <v>10</v>
      </c>
      <c r="H298" s="336">
        <f>VLOOKUP(89,table_CIA_JCTS,7,FALSE)+VLOOKUP(94.4,table_CIA_JCTS,7,FALSE)+VLOOKUP(111,table_CIA_INLETS,5,FALSE)</f>
        <v>110.7234</v>
      </c>
      <c r="I298" s="336" t="s">
        <v>10</v>
      </c>
      <c r="J298" s="336">
        <f>VLOOKUP(89,table_CIA_JCTS,9,FALSE)+VLOOKUP(94.4,table_CIA_JCTS,9,FALSE)+VLOOKUP(111,table_CIA_INLETS,7,FALSE)</f>
        <v>117.5963</v>
      </c>
      <c r="K298" s="338" t="s">
        <v>10</v>
      </c>
      <c r="L298" s="339" t="s">
        <v>10</v>
      </c>
      <c r="M298" s="337" t="s">
        <v>10</v>
      </c>
      <c r="N298" s="339" t="s">
        <v>10</v>
      </c>
      <c r="O298" s="339" t="s">
        <v>10</v>
      </c>
      <c r="P298" s="339">
        <f>VLOOKUP(89,table_CIA_JCTS,23,FALSE)</f>
        <v>71.077527815328537</v>
      </c>
      <c r="Q298" s="337">
        <f>cell_P*(P298^cell_E)</f>
        <v>0.38375058500249432</v>
      </c>
      <c r="R298" s="336">
        <f>J298*Q298</f>
        <v>45.127648919128823</v>
      </c>
      <c r="S298" s="339">
        <v>42</v>
      </c>
      <c r="T298" s="337">
        <f>(4*R298)/(3.14159*(S298/12)^2)</f>
        <v>4.6904780161434001</v>
      </c>
      <c r="U298" s="338">
        <f>((R298/((0.463135/cell_NP)*((S298/12)^(8/3))))^2)*cell_FF</f>
        <v>2.3139742356633529E-3</v>
      </c>
      <c r="V298" s="339">
        <v>944</v>
      </c>
      <c r="W298" s="339">
        <f>V298/(T298*60)</f>
        <v>3.3543134152176624</v>
      </c>
      <c r="X298" s="339">
        <f>W298+P298</f>
        <v>74.431841230546198</v>
      </c>
      <c r="Y298" s="337">
        <f>U298*V298</f>
        <v>2.1843916784662052</v>
      </c>
      <c r="Z298" s="337">
        <f>IF(VLOOKUP(95.4,table_CIA_JCTS,25,FALSE)+VLOOKUP(95,table_CIA_JCTS,24,FALSE)&lt;VLOOKUP(95,table_CIA_JCTS,28,FALSE),VLOOKUP(95,table_CIA_JCTS,28,FALSE),VLOOKUP(95.4,table_CIA_JCTS,25,FALSE)+VLOOKUP(95,table_CIA_JCTS,24,FALSE))</f>
        <v>389.37436220793882</v>
      </c>
      <c r="AA298" s="337">
        <v>398</v>
      </c>
      <c r="AB298" s="337">
        <f>(AA298-0.5)-Z298</f>
        <v>8.125637792061184</v>
      </c>
      <c r="AC298" s="426">
        <v>388.6</v>
      </c>
      <c r="AD298" s="42" t="s">
        <v>536</v>
      </c>
    </row>
    <row r="299" spans="1:30" ht="15.75" x14ac:dyDescent="0.25">
      <c r="B299" s="216" t="s">
        <v>10</v>
      </c>
      <c r="C299" s="217" t="s">
        <v>10</v>
      </c>
      <c r="D299" s="54" t="s">
        <v>10</v>
      </c>
      <c r="E299" s="54" t="s">
        <v>10</v>
      </c>
      <c r="F299" s="55" t="s">
        <v>10</v>
      </c>
      <c r="G299" s="54" t="s">
        <v>10</v>
      </c>
      <c r="H299" s="54" t="s">
        <v>10</v>
      </c>
      <c r="I299" s="54" t="s">
        <v>10</v>
      </c>
      <c r="J299" s="54" t="s">
        <v>10</v>
      </c>
      <c r="K299" s="56" t="s">
        <v>10</v>
      </c>
      <c r="L299" s="53" t="s">
        <v>10</v>
      </c>
      <c r="M299" s="55" t="s">
        <v>10</v>
      </c>
      <c r="N299" s="53" t="s">
        <v>10</v>
      </c>
      <c r="O299" s="53" t="s">
        <v>10</v>
      </c>
      <c r="P299" s="53" t="s">
        <v>10</v>
      </c>
      <c r="Q299" s="55" t="s">
        <v>10</v>
      </c>
      <c r="R299" s="54" t="s">
        <v>10</v>
      </c>
      <c r="S299" s="53" t="s">
        <v>10</v>
      </c>
      <c r="T299" s="55" t="s">
        <v>10</v>
      </c>
      <c r="U299" s="56" t="s">
        <v>10</v>
      </c>
      <c r="V299" s="53" t="s">
        <v>10</v>
      </c>
      <c r="W299" s="53" t="s">
        <v>10</v>
      </c>
      <c r="X299" s="53" t="s">
        <v>10</v>
      </c>
      <c r="Y299" s="55" t="s">
        <v>10</v>
      </c>
      <c r="Z299" s="55" t="s">
        <v>10</v>
      </c>
      <c r="AA299" s="55" t="s">
        <v>10</v>
      </c>
      <c r="AB299" s="55" t="s">
        <v>10</v>
      </c>
      <c r="AC299" s="364">
        <v>392.39</v>
      </c>
      <c r="AD299" s="42" t="s">
        <v>535</v>
      </c>
    </row>
    <row r="300" spans="1:30" ht="15.75" x14ac:dyDescent="0.25">
      <c r="B300" s="216" t="s">
        <v>10</v>
      </c>
      <c r="C300" s="215">
        <v>112</v>
      </c>
      <c r="D300" s="54">
        <f>VLOOKUP(C300,table_DI,2)</f>
        <v>8.3000000000000007</v>
      </c>
      <c r="E300" s="54" t="s">
        <v>10</v>
      </c>
      <c r="F300" s="55">
        <f>VLOOKUP(C300,table_DI,5)</f>
        <v>0.41521686746987946</v>
      </c>
      <c r="G300" s="54">
        <f>VLOOKUP(C300,table_DI,3)</f>
        <v>3.1769999999999996</v>
      </c>
      <c r="H300" s="54" t="s">
        <v>10</v>
      </c>
      <c r="I300" s="54">
        <f>VLOOKUP(C300,table_DI,4)</f>
        <v>3.4462999999999999</v>
      </c>
      <c r="J300" s="54" t="s">
        <v>10</v>
      </c>
      <c r="K300" s="56">
        <f>VLOOKUP(C300,table_DI,9)</f>
        <v>8.4892086330934924E-3</v>
      </c>
      <c r="L300" s="53">
        <f>VLOOKUP(C300,table_DI,8)</f>
        <v>695</v>
      </c>
      <c r="M300" s="55">
        <f>(0.84*(K300^0.5)*(cell_GUTDEP^0.6666)/cell_NRD)</f>
        <v>2.7130068100787419</v>
      </c>
      <c r="N300" s="53">
        <f>VLOOKUP(C300,table_DI,10)</f>
        <v>20</v>
      </c>
      <c r="O300" s="53">
        <f>(L300/(M300*60))</f>
        <v>4.2695555684938142</v>
      </c>
      <c r="P300" s="53">
        <f>N300+O300</f>
        <v>24.269555568493814</v>
      </c>
      <c r="Q300" s="55">
        <f>cell_P*(P300^cell_E)</f>
        <v>0.75210436930121782</v>
      </c>
      <c r="R300" s="54">
        <f>Q300*I300</f>
        <v>2.5919772879227869</v>
      </c>
      <c r="S300" s="53" t="s">
        <v>10</v>
      </c>
      <c r="T300" s="55" t="s">
        <v>10</v>
      </c>
      <c r="U300" s="56" t="s">
        <v>10</v>
      </c>
      <c r="V300" s="53" t="s">
        <v>10</v>
      </c>
      <c r="W300" s="53" t="s">
        <v>10</v>
      </c>
      <c r="X300" s="53" t="s">
        <v>10</v>
      </c>
      <c r="Y300" s="55" t="s">
        <v>10</v>
      </c>
      <c r="Z300" s="55" t="s">
        <v>10</v>
      </c>
      <c r="AA300" s="55" t="s">
        <v>10</v>
      </c>
      <c r="AB300" s="55" t="s">
        <v>10</v>
      </c>
      <c r="AC300" s="364">
        <v>395.74</v>
      </c>
      <c r="AD300" s="42" t="s">
        <v>537</v>
      </c>
    </row>
    <row r="301" spans="1:30" x14ac:dyDescent="0.2">
      <c r="B301" s="216">
        <v>95.1</v>
      </c>
      <c r="C301" s="217" t="s">
        <v>10</v>
      </c>
      <c r="D301" s="54" t="s">
        <v>10</v>
      </c>
      <c r="E301" s="54">
        <f>VLOOKUP(112,table_CIA_INLETS,2,FALSE)</f>
        <v>8.3000000000000007</v>
      </c>
      <c r="F301" s="55" t="s">
        <v>10</v>
      </c>
      <c r="G301" s="54" t="s">
        <v>10</v>
      </c>
      <c r="H301" s="54">
        <f>VLOOKUP(112,table_CIA_INLETS,5,FALSE)</f>
        <v>3.1769999999999996</v>
      </c>
      <c r="I301" s="54" t="s">
        <v>10</v>
      </c>
      <c r="J301" s="54">
        <f>VLOOKUP(112,table_CIA_INLETS,7,FALSE)</f>
        <v>3.4462999999999999</v>
      </c>
      <c r="K301" s="56" t="s">
        <v>10</v>
      </c>
      <c r="L301" s="53" t="s">
        <v>10</v>
      </c>
      <c r="M301" s="55" t="s">
        <v>10</v>
      </c>
      <c r="N301" s="53" t="s">
        <v>10</v>
      </c>
      <c r="O301" s="53" t="s">
        <v>10</v>
      </c>
      <c r="P301" s="53">
        <f>VLOOKUP(112,table_CIA_INLETS,14,FALSE)</f>
        <v>24.269555568493814</v>
      </c>
      <c r="Q301" s="55">
        <f>cell_P*(P301^cell_E)</f>
        <v>0.75210436930121782</v>
      </c>
      <c r="R301" s="54">
        <f>J301*Q301</f>
        <v>2.5919772879227869</v>
      </c>
      <c r="S301" s="53">
        <v>18</v>
      </c>
      <c r="T301" s="55">
        <f>(4*R301)/(3.14159*(S301/12)^2)</f>
        <v>1.4667603420477666</v>
      </c>
      <c r="U301" s="56">
        <f>((R301/((0.463135/cell_NP)*((S301/12)^(8/3))))^2)*cell_FF</f>
        <v>7.0029067182573708E-4</v>
      </c>
      <c r="V301" s="53">
        <v>380</v>
      </c>
      <c r="W301" s="53">
        <f>V301/(T301*60)</f>
        <v>4.3179060353453993</v>
      </c>
      <c r="X301" s="53">
        <f>W301+P301</f>
        <v>28.587461603839213</v>
      </c>
      <c r="Y301" s="55">
        <f>U301*V301</f>
        <v>0.26611045529378008</v>
      </c>
      <c r="Z301" s="55">
        <f>IF(VLOOKUP(95.15,table_CIA_JCTS,25,FALSE)+VLOOKUP(95.1,table_CIA_JCTS,24,FALSE)&lt;VLOOKUP(95.1,table_CIA_JCTS,28,FALSE),VLOOKUP(95.1,table_CIA_JCTS,28,FALSE),VLOOKUP(95.15,table_CIA_JCTS,25,FALSE)+VLOOKUP(95.1,table_CIA_JCTS,24,FALSE))</f>
        <v>388.44611045529376</v>
      </c>
      <c r="AA301" s="55">
        <v>391.1</v>
      </c>
      <c r="AB301" s="55">
        <f>(AA301-0.5)-Z301</f>
        <v>2.15388954470626</v>
      </c>
      <c r="AC301" s="57" t="s">
        <v>10</v>
      </c>
      <c r="AD301" t="s">
        <v>10</v>
      </c>
    </row>
    <row r="302" spans="1:30" x14ac:dyDescent="0.2">
      <c r="A302" s="536"/>
      <c r="B302" s="529" t="s">
        <v>10</v>
      </c>
      <c r="C302" s="530">
        <v>112.1</v>
      </c>
      <c r="D302" s="531">
        <f>VLOOKUP(C302,table_DI,2)</f>
        <v>2.6</v>
      </c>
      <c r="E302" s="531" t="s">
        <v>10</v>
      </c>
      <c r="F302" s="532">
        <f>VLOOKUP(C302,table_DI,5)</f>
        <v>0.5</v>
      </c>
      <c r="G302" s="531">
        <f>VLOOKUP(C302,table_DI,3)</f>
        <v>1.3</v>
      </c>
      <c r="H302" s="531" t="s">
        <v>10</v>
      </c>
      <c r="I302" s="531">
        <f>VLOOKUP(C302,table_DI,4)</f>
        <v>1.3</v>
      </c>
      <c r="J302" s="531" t="s">
        <v>10</v>
      </c>
      <c r="K302" s="533">
        <f>VLOOKUP(C302,table_DI,9)</f>
        <v>4.3229166666666581E-3</v>
      </c>
      <c r="L302" s="320">
        <f>VLOOKUP(C302,table_DI,8)</f>
        <v>768</v>
      </c>
      <c r="M302" s="532">
        <f>(0.84*(K302^0.5)*(cell_GUTDEP^0.6666)/cell_NRD)</f>
        <v>1.9360016014629324</v>
      </c>
      <c r="N302" s="320">
        <f>VLOOKUP(C302,table_DI,10)</f>
        <v>20</v>
      </c>
      <c r="O302" s="320">
        <f>(L302/(M302*60))</f>
        <v>6.6115647788347527</v>
      </c>
      <c r="P302" s="320">
        <f>N302+O302</f>
        <v>26.611564778834754</v>
      </c>
      <c r="Q302" s="532">
        <f>cell_P*(P302^cell_E)</f>
        <v>0.70994504673680003</v>
      </c>
      <c r="R302" s="531">
        <f>Q302*I302</f>
        <v>0.92292856075784002</v>
      </c>
      <c r="S302" s="320" t="s">
        <v>10</v>
      </c>
      <c r="T302" s="532" t="s">
        <v>10</v>
      </c>
      <c r="U302" s="533" t="s">
        <v>10</v>
      </c>
      <c r="V302" s="320" t="s">
        <v>10</v>
      </c>
      <c r="W302" s="320" t="s">
        <v>10</v>
      </c>
      <c r="X302" s="320" t="s">
        <v>10</v>
      </c>
      <c r="Y302" s="532" t="s">
        <v>10</v>
      </c>
      <c r="Z302" s="532" t="s">
        <v>10</v>
      </c>
      <c r="AA302" s="532" t="s">
        <v>10</v>
      </c>
      <c r="AB302" s="532" t="s">
        <v>10</v>
      </c>
      <c r="AC302" s="534" t="s">
        <v>10</v>
      </c>
      <c r="AD302" t="s">
        <v>10</v>
      </c>
    </row>
    <row r="303" spans="1:30" x14ac:dyDescent="0.2">
      <c r="A303" s="536"/>
      <c r="B303" s="529">
        <v>95.15</v>
      </c>
      <c r="C303" s="535" t="s">
        <v>10</v>
      </c>
      <c r="D303" s="531" t="s">
        <v>10</v>
      </c>
      <c r="E303" s="531">
        <f>VLOOKUP(95.1,table_CIA_JCTS,4,FALSE)+VLOOKUP(112.1,table_CIA_INLETS,2,FALSE)</f>
        <v>10.9</v>
      </c>
      <c r="F303" s="532" t="s">
        <v>10</v>
      </c>
      <c r="G303" s="531" t="s">
        <v>10</v>
      </c>
      <c r="H303" s="531">
        <f>VLOOKUP(95.1,table_CIA_JCTS,7,FALSE)+VLOOKUP(112.1,table_CIA_INLETS,5,FALSE)</f>
        <v>4.4769999999999994</v>
      </c>
      <c r="I303" s="531" t="s">
        <v>10</v>
      </c>
      <c r="J303" s="531">
        <f>VLOOKUP(95.1,table_CIA_JCTS,9,FALSE)+VLOOKUP(112.1,table_CIA_INLETS,7,FALSE)</f>
        <v>4.7462999999999997</v>
      </c>
      <c r="K303" s="533" t="s">
        <v>10</v>
      </c>
      <c r="L303" s="320" t="s">
        <v>10</v>
      </c>
      <c r="M303" s="532" t="s">
        <v>10</v>
      </c>
      <c r="N303" s="320" t="s">
        <v>10</v>
      </c>
      <c r="O303" s="320" t="s">
        <v>10</v>
      </c>
      <c r="P303" s="320">
        <f>VLOOKUP(95.1,table_CIA_JCTS,23,FALSE)</f>
        <v>28.587461603839213</v>
      </c>
      <c r="Q303" s="532">
        <f>cell_P*(P303^cell_E)</f>
        <v>0.67880755672570292</v>
      </c>
      <c r="R303" s="531">
        <f>J303*Q303</f>
        <v>3.2218243064872034</v>
      </c>
      <c r="S303" s="320">
        <v>18</v>
      </c>
      <c r="T303" s="532">
        <f>(4*R303)/(3.14159*(S303/12)^2)</f>
        <v>1.8231811458456548</v>
      </c>
      <c r="U303" s="533">
        <f>((R303/((0.463135/cell_NP)*((S303/12)^(8/3))))^2)*cell_FF</f>
        <v>1.0819810766652829E-3</v>
      </c>
      <c r="V303" s="320">
        <v>293</v>
      </c>
      <c r="W303" s="320">
        <f>V303/(T303*60)</f>
        <v>2.6784685353183999</v>
      </c>
      <c r="X303" s="320">
        <f>W303+P303</f>
        <v>31.265930139157611</v>
      </c>
      <c r="Y303" s="532">
        <f>U303*V303</f>
        <v>0.3170204554629279</v>
      </c>
      <c r="Z303" s="532">
        <f>IF(VLOOKUP(95.2,table_CIA_JCTS,25,FALSE)+VLOOKUP(95.15,table_CIA_JCTS,24,FALSE)&lt;VLOOKUP(95.15,table_CIA_JCTS,28,FALSE),VLOOKUP(95.15,table_CIA_JCTS,28,FALSE),VLOOKUP(95.2,table_CIA_JCTS,25,FALSE)+VLOOKUP(95.15,table_CIA_JCTS,24,FALSE))</f>
        <v>388.18</v>
      </c>
      <c r="AA303" s="532">
        <v>394</v>
      </c>
      <c r="AB303" s="532">
        <f>(AA303-0.5)-Z303</f>
        <v>5.3199999999999932</v>
      </c>
      <c r="AC303" s="534">
        <v>388.18</v>
      </c>
      <c r="AD303" t="s">
        <v>565</v>
      </c>
    </row>
    <row r="304" spans="1:30" x14ac:dyDescent="0.2">
      <c r="A304" s="537" t="s">
        <v>564</v>
      </c>
      <c r="B304" s="529" t="s">
        <v>10</v>
      </c>
      <c r="C304" s="530">
        <v>112.2</v>
      </c>
      <c r="D304" s="531">
        <f>VLOOKUP(C304,table_DI,2)</f>
        <v>2</v>
      </c>
      <c r="E304" s="531" t="s">
        <v>10</v>
      </c>
      <c r="F304" s="532">
        <f>VLOOKUP(C304,table_DI,5)</f>
        <v>0.5</v>
      </c>
      <c r="G304" s="531">
        <f>VLOOKUP(C304,table_DI,3)</f>
        <v>1</v>
      </c>
      <c r="H304" s="531" t="s">
        <v>10</v>
      </c>
      <c r="I304" s="531">
        <f>VLOOKUP(C304,table_DI,4)</f>
        <v>1</v>
      </c>
      <c r="J304" s="531" t="s">
        <v>10</v>
      </c>
      <c r="K304" s="533">
        <f>VLOOKUP(C304,table_DI,9)</f>
        <v>6.5660377358490911E-3</v>
      </c>
      <c r="L304" s="320">
        <f>VLOOKUP(C304,table_DI,8)</f>
        <v>530</v>
      </c>
      <c r="M304" s="532">
        <f>(0.84*(K304^0.5)*(cell_GUTDEP^0.6666)/cell_NRD)</f>
        <v>2.3859919141221502</v>
      </c>
      <c r="N304" s="320">
        <f>VLOOKUP(C304,table_DI,10)</f>
        <v>20</v>
      </c>
      <c r="O304" s="320">
        <f>(L304/(M304*60))</f>
        <v>3.702163985154693</v>
      </c>
      <c r="P304" s="320">
        <f>N304+O304</f>
        <v>23.702163985154694</v>
      </c>
      <c r="Q304" s="532">
        <f>cell_P*(P304^cell_E)</f>
        <v>0.76332868134978804</v>
      </c>
      <c r="R304" s="531">
        <f>Q304*I304</f>
        <v>0.76332868134978804</v>
      </c>
      <c r="S304" s="320" t="s">
        <v>10</v>
      </c>
      <c r="T304" s="532" t="s">
        <v>10</v>
      </c>
      <c r="U304" s="533" t="s">
        <v>10</v>
      </c>
      <c r="V304" s="320" t="s">
        <v>10</v>
      </c>
      <c r="W304" s="320" t="s">
        <v>10</v>
      </c>
      <c r="X304" s="320" t="s">
        <v>10</v>
      </c>
      <c r="Y304" s="532" t="s">
        <v>10</v>
      </c>
      <c r="Z304" s="532" t="s">
        <v>10</v>
      </c>
      <c r="AA304" s="532" t="s">
        <v>10</v>
      </c>
      <c r="AB304" s="532" t="s">
        <v>10</v>
      </c>
      <c r="AC304" s="534" t="s">
        <v>10</v>
      </c>
      <c r="AD304" t="s">
        <v>10</v>
      </c>
    </row>
    <row r="305" spans="1:30" x14ac:dyDescent="0.2">
      <c r="A305" s="536"/>
      <c r="B305" s="529" t="s">
        <v>10</v>
      </c>
      <c r="C305" s="530">
        <v>113</v>
      </c>
      <c r="D305" s="531">
        <f>VLOOKUP(C305,table_DI,2)</f>
        <v>4.7</v>
      </c>
      <c r="E305" s="531" t="s">
        <v>10</v>
      </c>
      <c r="F305" s="532">
        <f>VLOOKUP(C305,table_DI,5)</f>
        <v>0.5</v>
      </c>
      <c r="G305" s="531">
        <f>VLOOKUP(C305,table_DI,3)</f>
        <v>2.35</v>
      </c>
      <c r="H305" s="531" t="s">
        <v>10</v>
      </c>
      <c r="I305" s="531">
        <f>VLOOKUP(C305,table_DI,4)</f>
        <v>2.35</v>
      </c>
      <c r="J305" s="531" t="s">
        <v>10</v>
      </c>
      <c r="K305" s="533">
        <f>VLOOKUP(C305,table_DI,9)</f>
        <v>3.5779816513761705E-3</v>
      </c>
      <c r="L305" s="320">
        <f>VLOOKUP(C305,table_DI,8)</f>
        <v>763</v>
      </c>
      <c r="M305" s="532">
        <f>(0.84*(K305^0.5)*(cell_GUTDEP^0.6666)/cell_NRD)</f>
        <v>1.7613121659852347</v>
      </c>
      <c r="N305" s="320">
        <f>VLOOKUP(C305,table_DI,10)</f>
        <v>20</v>
      </c>
      <c r="O305" s="320">
        <f>(L305/(M305*60))</f>
        <v>7.219995928179646</v>
      </c>
      <c r="P305" s="320">
        <f>N305+O305</f>
        <v>27.219995928179646</v>
      </c>
      <c r="Q305" s="532">
        <f t="shared" ref="Q305:Q311" si="20">cell_P*(P305^cell_E)</f>
        <v>0.69996596735365335</v>
      </c>
      <c r="R305" s="531">
        <f>Q305*I305</f>
        <v>1.6449200232810854</v>
      </c>
      <c r="S305" s="320" t="s">
        <v>10</v>
      </c>
      <c r="T305" s="532" t="s">
        <v>10</v>
      </c>
      <c r="U305" s="533" t="s">
        <v>10</v>
      </c>
      <c r="V305" s="320" t="s">
        <v>10</v>
      </c>
      <c r="W305" s="320" t="s">
        <v>10</v>
      </c>
      <c r="X305" s="320" t="s">
        <v>10</v>
      </c>
      <c r="Y305" s="532" t="s">
        <v>10</v>
      </c>
      <c r="Z305" s="532" t="s">
        <v>10</v>
      </c>
      <c r="AA305" s="532" t="s">
        <v>10</v>
      </c>
      <c r="AB305" s="532" t="s">
        <v>10</v>
      </c>
      <c r="AC305" s="534" t="s">
        <v>10</v>
      </c>
      <c r="AD305" t="s">
        <v>10</v>
      </c>
    </row>
    <row r="306" spans="1:30" x14ac:dyDescent="0.2">
      <c r="A306" s="536"/>
      <c r="B306" s="529">
        <v>95.2</v>
      </c>
      <c r="C306" s="535" t="s">
        <v>10</v>
      </c>
      <c r="D306" s="531" t="s">
        <v>10</v>
      </c>
      <c r="E306" s="531">
        <f>VLOOKUP(112.2,table_CIA_INLETS,2,FALSE)+VLOOKUP(113,table_CIA_INLETS,2,FALSE)+VLOOKUP(95.15,table_CIA_JCTS,4,FALSE)</f>
        <v>17.600000000000001</v>
      </c>
      <c r="F306" s="532" t="s">
        <v>10</v>
      </c>
      <c r="G306" s="531" t="s">
        <v>10</v>
      </c>
      <c r="H306" s="531">
        <f>VLOOKUP(112.2,table_CIA_INLETS,5,FALSE)+VLOOKUP(113,table_CIA_INLETS,5,FALSE)+VLOOKUP(95.15,table_CIA_JCTS,7,FALSE)</f>
        <v>7.827</v>
      </c>
      <c r="I306" s="531" t="s">
        <v>10</v>
      </c>
      <c r="J306" s="531">
        <f>VLOOKUP(112.2,table_CIA_INLETS,7,FALSE)+VLOOKUP(113,table_CIA_INLETS,7,FALSE)+VLOOKUP(95.15,table_CIA_JCTS,9,FALSE)</f>
        <v>8.0962999999999994</v>
      </c>
      <c r="K306" s="533" t="s">
        <v>10</v>
      </c>
      <c r="L306" s="320" t="s">
        <v>10</v>
      </c>
      <c r="M306" s="532" t="s">
        <v>10</v>
      </c>
      <c r="N306" s="320" t="s">
        <v>10</v>
      </c>
      <c r="O306" s="320" t="s">
        <v>10</v>
      </c>
      <c r="P306" s="320">
        <f>VLOOKUP(95.15,table_CIA_JCTS,23,FALSE)</f>
        <v>31.265930139157611</v>
      </c>
      <c r="Q306" s="532">
        <f t="shared" si="20"/>
        <v>0.64178585974637625</v>
      </c>
      <c r="R306" s="531">
        <f>J306*Q306</f>
        <v>5.1960908562645853</v>
      </c>
      <c r="S306" s="320">
        <v>24</v>
      </c>
      <c r="T306" s="532">
        <f>(4*R306)/(3.14159*(S306/12)^2)</f>
        <v>1.6539684861056299</v>
      </c>
      <c r="U306" s="533">
        <f>((R306/((0.463135/cell_NP)*((S306/12)^(8/3))))^2)*cell_FF</f>
        <v>6.0677754712325151E-4</v>
      </c>
      <c r="V306" s="320">
        <v>132</v>
      </c>
      <c r="W306" s="320">
        <f>V306/(T306*60)</f>
        <v>1.3301341703190699</v>
      </c>
      <c r="X306" s="320">
        <f>W306+P306</f>
        <v>32.596064309476681</v>
      </c>
      <c r="Y306" s="532">
        <f>U306*V306</f>
        <v>8.0094636220269202E-2</v>
      </c>
      <c r="Z306" s="532">
        <f>IF(VLOOKUP(95.3,table_CIA_JCTS,25,FALSE)+VLOOKUP(95.2,table_CIA_JCTS,24,FALSE)&lt;VLOOKUP(95.2,table_CIA_JCTS,28,FALSE),VLOOKUP(95.2,table_CIA_JCTS,28,FALSE),VLOOKUP(95.3,table_CIA_JCTS,25,FALSE)+VLOOKUP(95.2,table_CIA_JCTS,24,FALSE))</f>
        <v>387.74</v>
      </c>
      <c r="AA306" s="532">
        <v>393.84</v>
      </c>
      <c r="AB306" s="532">
        <f>(AA306-0.5)-Z306</f>
        <v>5.5999999999999659</v>
      </c>
      <c r="AC306" s="534">
        <v>387.74</v>
      </c>
      <c r="AD306" t="s">
        <v>445</v>
      </c>
    </row>
    <row r="307" spans="1:30" x14ac:dyDescent="0.2">
      <c r="A307" s="663" t="s">
        <v>540</v>
      </c>
      <c r="B307" s="328">
        <v>95.3</v>
      </c>
      <c r="C307" s="334" t="s">
        <v>10</v>
      </c>
      <c r="D307" s="329" t="s">
        <v>10</v>
      </c>
      <c r="E307" s="329">
        <f>VLOOKUP(95.2,table_CIA_JCTS,4,FALSE)</f>
        <v>17.600000000000001</v>
      </c>
      <c r="F307" s="330" t="s">
        <v>10</v>
      </c>
      <c r="G307" s="329" t="s">
        <v>10</v>
      </c>
      <c r="H307" s="329">
        <f>VLOOKUP(95.2,table_CIA_JCTS,7,FALSE)</f>
        <v>7.827</v>
      </c>
      <c r="I307" s="329" t="s">
        <v>10</v>
      </c>
      <c r="J307" s="329">
        <f>VLOOKUP(95.2,table_CIA_JCTS,9,FALSE)</f>
        <v>8.0962999999999994</v>
      </c>
      <c r="K307" s="331" t="s">
        <v>10</v>
      </c>
      <c r="L307" s="332" t="s">
        <v>10</v>
      </c>
      <c r="M307" s="330" t="s">
        <v>10</v>
      </c>
      <c r="N307" s="332" t="s">
        <v>10</v>
      </c>
      <c r="O307" s="332" t="s">
        <v>10</v>
      </c>
      <c r="P307" s="332">
        <f>VLOOKUP(95.2,table_CIA_JCTS,23,FALSE)</f>
        <v>32.596064309476681</v>
      </c>
      <c r="Q307" s="330">
        <f t="shared" si="20"/>
        <v>0.62525877961727028</v>
      </c>
      <c r="R307" s="329">
        <f>IF(J307*Q307&gt;J306*Q306,J307*Q307,J306*Q306)</f>
        <v>5.1960908562645853</v>
      </c>
      <c r="S307" s="332">
        <v>24</v>
      </c>
      <c r="T307" s="330">
        <f>(4*R307)/(3.14159*(S307/12)^2)</f>
        <v>1.6539684861056299</v>
      </c>
      <c r="U307" s="331">
        <f>((R307/((0.463135/cell_NP)*((S307/12)^(8/3))))^2)*cell_FF</f>
        <v>6.0677754712325151E-4</v>
      </c>
      <c r="V307" s="332">
        <v>145</v>
      </c>
      <c r="W307" s="332">
        <f>V307/(T307*60)</f>
        <v>1.4611322325474632</v>
      </c>
      <c r="X307" s="332">
        <f>W307+P307</f>
        <v>34.057196542024144</v>
      </c>
      <c r="Y307" s="330">
        <f>U307*V307</f>
        <v>8.7982744332871468E-2</v>
      </c>
      <c r="Z307" s="330">
        <f>IF(VLOOKUP(95.4,table_CIA_JCTS,25,FALSE)+VLOOKUP(95.3,table_CIA_JCTS,24,FALSE)&lt;VLOOKUP(95.3,table_CIA_JCTS,28,FALSE),VLOOKUP(95.3,table_CIA_JCTS,28,FALSE),VLOOKUP(95.4,table_CIA_JCTS,25,FALSE)+VLOOKUP(95.3,table_CIA_JCTS,24,FALSE))</f>
        <v>387.27795327380545</v>
      </c>
      <c r="AA307" s="330">
        <v>395</v>
      </c>
      <c r="AB307" s="330">
        <f>(AA307-0.5)-Z307</f>
        <v>7.2220467261945487</v>
      </c>
      <c r="AC307" s="415">
        <v>384.39</v>
      </c>
      <c r="AD307" t="s">
        <v>454</v>
      </c>
    </row>
    <row r="308" spans="1:30" x14ac:dyDescent="0.2">
      <c r="A308" s="664"/>
      <c r="B308" s="328">
        <v>95.4</v>
      </c>
      <c r="C308" s="334" t="s">
        <v>10</v>
      </c>
      <c r="D308" s="329" t="s">
        <v>10</v>
      </c>
      <c r="E308" s="329">
        <f>VLOOKUP(95,table_CIA_JCTS,4,FALSE)+VLOOKUP(95.3,table_CIA_JCTS,4,FALSE)</f>
        <v>285.82</v>
      </c>
      <c r="F308" s="330" t="s">
        <v>10</v>
      </c>
      <c r="G308" s="329" t="s">
        <v>10</v>
      </c>
      <c r="H308" s="329">
        <f>VLOOKUP(95,table_CIA_JCTS,7,FALSE)+VLOOKUP(95.3,table_CIA_JCTS,7,FALSE)</f>
        <v>118.5504</v>
      </c>
      <c r="I308" s="329" t="s">
        <v>10</v>
      </c>
      <c r="J308" s="329">
        <f>VLOOKUP(95,table_CIA_JCTS,9,FALSE)+VLOOKUP(95.3,table_CIA_JCTS,9,FALSE)</f>
        <v>125.6926</v>
      </c>
      <c r="K308" s="331" t="s">
        <v>10</v>
      </c>
      <c r="L308" s="332" t="s">
        <v>10</v>
      </c>
      <c r="M308" s="330" t="s">
        <v>10</v>
      </c>
      <c r="N308" s="332" t="s">
        <v>10</v>
      </c>
      <c r="O308" s="332" t="s">
        <v>10</v>
      </c>
      <c r="P308" s="332">
        <f>VLOOKUP(95,table_CIA_JCTS,23,FALSE)</f>
        <v>74.431841230546198</v>
      </c>
      <c r="Q308" s="330">
        <f t="shared" si="20"/>
        <v>0.37282797204709012</v>
      </c>
      <c r="R308" s="329">
        <f>J308*Q308</f>
        <v>46.861717159326076</v>
      </c>
      <c r="S308" s="332">
        <v>48</v>
      </c>
      <c r="T308" s="330">
        <f>(4*R308)/(3.14159*(S308/12)^2)</f>
        <v>3.7291401137104203</v>
      </c>
      <c r="U308" s="331">
        <f>((R308/((0.463135/cell_NP)*((S308/12)^(8/3))))^2)*cell_FF</f>
        <v>1.2241062520113245E-3</v>
      </c>
      <c r="V308" s="332">
        <v>554</v>
      </c>
      <c r="W308" s="332">
        <f>V308/(T308*60)</f>
        <v>2.4759952835739258</v>
      </c>
      <c r="X308" s="332">
        <f>W308+P308</f>
        <v>76.90783651412012</v>
      </c>
      <c r="Y308" s="330">
        <f>U308*V308</f>
        <v>0.6781548636142738</v>
      </c>
      <c r="Z308" s="330">
        <f>IF(VLOOKUP(96,table_CIA_JCTS,25,FALSE)+VLOOKUP(95.4,table_CIA_JCTS,24,FALSE)&lt;VLOOKUP(95.4,table_CIA_JCTS,28,FALSE),VLOOKUP(95.4,table_CIA_JCTS,28,FALSE),VLOOKUP(96,table_CIA_JCTS,25,FALSE)+VLOOKUP(95.4,table_CIA_JCTS,24,FALSE))</f>
        <v>387.18997052947259</v>
      </c>
      <c r="AA308" s="330">
        <v>391.49</v>
      </c>
      <c r="AB308" s="330">
        <f>(AA308-0.5)-Z308</f>
        <v>3.80002947052742</v>
      </c>
      <c r="AC308" s="415">
        <v>384.18</v>
      </c>
      <c r="AD308" t="s">
        <v>477</v>
      </c>
    </row>
    <row r="309" spans="1:30" x14ac:dyDescent="0.2">
      <c r="A309" s="664"/>
      <c r="B309" s="328" t="s">
        <v>10</v>
      </c>
      <c r="C309" s="328">
        <v>114</v>
      </c>
      <c r="D309" s="329">
        <f>VLOOKUP(C309,table_DI,2)</f>
        <v>18</v>
      </c>
      <c r="E309" s="329" t="s">
        <v>10</v>
      </c>
      <c r="F309" s="330">
        <f>VLOOKUP(C309,table_DI,5)</f>
        <v>0.5</v>
      </c>
      <c r="G309" s="329">
        <f>VLOOKUP(C309,table_DI,3)</f>
        <v>9</v>
      </c>
      <c r="H309" s="329" t="s">
        <v>10</v>
      </c>
      <c r="I309" s="329">
        <f>VLOOKUP(C309,table_DI,4)</f>
        <v>9</v>
      </c>
      <c r="J309" s="329" t="s">
        <v>10</v>
      </c>
      <c r="K309" s="331">
        <f>VLOOKUP(C309,table_DI,9)</f>
        <v>4.5352112676056086E-3</v>
      </c>
      <c r="L309" s="332">
        <f>VLOOKUP(C309,table_DI,8)</f>
        <v>1775</v>
      </c>
      <c r="M309" s="330">
        <f>(0.84*(K309^0.5)*(cell_GUTDEP^0.6666)/cell_NRD)</f>
        <v>1.9829695341922817</v>
      </c>
      <c r="N309" s="332">
        <f>VLOOKUP(C309,table_DI,10)</f>
        <v>20</v>
      </c>
      <c r="O309" s="332">
        <f>(L309/(M309*60))</f>
        <v>14.918702896453446</v>
      </c>
      <c r="P309" s="332">
        <f>N309+O309</f>
        <v>34.918702896453446</v>
      </c>
      <c r="Q309" s="330">
        <f t="shared" si="20"/>
        <v>0.59888142277704737</v>
      </c>
      <c r="R309" s="329">
        <f>Q309*I309</f>
        <v>5.3899328049934265</v>
      </c>
      <c r="S309" s="332" t="s">
        <v>10</v>
      </c>
      <c r="T309" s="330" t="s">
        <v>10</v>
      </c>
      <c r="U309" s="331" t="s">
        <v>10</v>
      </c>
      <c r="V309" s="332" t="s">
        <v>10</v>
      </c>
      <c r="W309" s="332" t="s">
        <v>10</v>
      </c>
      <c r="X309" s="332" t="s">
        <v>10</v>
      </c>
      <c r="Y309" s="330" t="s">
        <v>10</v>
      </c>
      <c r="Z309" s="330" t="s">
        <v>10</v>
      </c>
      <c r="AA309" s="330" t="s">
        <v>10</v>
      </c>
      <c r="AB309" s="330" t="s">
        <v>10</v>
      </c>
      <c r="AC309" s="415">
        <v>383.68</v>
      </c>
      <c r="AD309" t="s">
        <v>531</v>
      </c>
    </row>
    <row r="310" spans="1:30" x14ac:dyDescent="0.2">
      <c r="A310" s="664"/>
      <c r="B310" s="328" t="s">
        <v>10</v>
      </c>
      <c r="C310" s="328">
        <v>115</v>
      </c>
      <c r="D310" s="329">
        <f>VLOOKUP(C310,table_DI,2)</f>
        <v>7.7</v>
      </c>
      <c r="E310" s="329" t="s">
        <v>10</v>
      </c>
      <c r="F310" s="330">
        <f>VLOOKUP(C310,table_DI,5)</f>
        <v>0.5</v>
      </c>
      <c r="G310" s="329">
        <f>VLOOKUP(C310,table_DI,3)</f>
        <v>3.85</v>
      </c>
      <c r="H310" s="329" t="s">
        <v>10</v>
      </c>
      <c r="I310" s="329">
        <f>VLOOKUP(C310,table_DI,4)</f>
        <v>3.85</v>
      </c>
      <c r="J310" s="329" t="s">
        <v>10</v>
      </c>
      <c r="K310" s="331">
        <f>VLOOKUP(C310,table_DI,9)</f>
        <v>2.2222222222222188E-3</v>
      </c>
      <c r="L310" s="332">
        <f>VLOOKUP(C310,table_DI,8)</f>
        <v>648</v>
      </c>
      <c r="M310" s="330">
        <f>(0.84*(K310^0.5)*(cell_GUTDEP^0.6666)/cell_NRD)</f>
        <v>1.3880688988359287</v>
      </c>
      <c r="N310" s="332">
        <f>VLOOKUP(C310,table_DI,10)</f>
        <v>20</v>
      </c>
      <c r="O310" s="332">
        <f>(L310/(M310*60))</f>
        <v>7.7805936067418315</v>
      </c>
      <c r="P310" s="332">
        <f>N310+O310</f>
        <v>27.780593606741832</v>
      </c>
      <c r="Q310" s="330">
        <f t="shared" si="20"/>
        <v>0.69108725669695792</v>
      </c>
      <c r="R310" s="329">
        <f>Q310*I310</f>
        <v>2.6606859382832879</v>
      </c>
      <c r="S310" s="332" t="s">
        <v>10</v>
      </c>
      <c r="T310" s="330" t="s">
        <v>10</v>
      </c>
      <c r="U310" s="331" t="s">
        <v>10</v>
      </c>
      <c r="V310" s="332" t="s">
        <v>10</v>
      </c>
      <c r="W310" s="332" t="s">
        <v>10</v>
      </c>
      <c r="X310" s="332" t="s">
        <v>10</v>
      </c>
      <c r="Y310" s="330" t="s">
        <v>10</v>
      </c>
      <c r="Z310" s="330" t="s">
        <v>10</v>
      </c>
      <c r="AA310" s="330" t="s">
        <v>10</v>
      </c>
      <c r="AB310" s="330" t="s">
        <v>10</v>
      </c>
      <c r="AC310" s="333" t="s">
        <v>10</v>
      </c>
      <c r="AD310" t="s">
        <v>10</v>
      </c>
    </row>
    <row r="311" spans="1:30" x14ac:dyDescent="0.2">
      <c r="A311" s="665"/>
      <c r="B311" s="328">
        <v>96</v>
      </c>
      <c r="C311" s="334" t="s">
        <v>10</v>
      </c>
      <c r="D311" s="329" t="s">
        <v>10</v>
      </c>
      <c r="E311" s="329">
        <f>VLOOKUP(95.4,table_CIA_JCTS,4,FALSE)+VLOOKUP(114,table_CIA_INLETS,2,FALSE)+VLOOKUP(115,table_CIA_INLETS,2,FALSE)</f>
        <v>311.52</v>
      </c>
      <c r="F311" s="330" t="s">
        <v>10</v>
      </c>
      <c r="G311" s="329" t="s">
        <v>10</v>
      </c>
      <c r="H311" s="329">
        <f>VLOOKUP(95.4,table_CIA_JCTS,7,FALSE)+VLOOKUP(114,table_CIA_INLETS,5,FALSE)+VLOOKUP(115,table_CIA_INLETS,5,FALSE)</f>
        <v>131.40039999999999</v>
      </c>
      <c r="I311" s="329" t="s">
        <v>10</v>
      </c>
      <c r="J311" s="329">
        <f>VLOOKUP(95.4,table_CIA_JCTS,9,FALSE)+VLOOKUP(114,table_CIA_INLETS,7,FALSE)+VLOOKUP(115,table_CIA_INLETS,7,FALSE)</f>
        <v>138.54259999999999</v>
      </c>
      <c r="K311" s="331" t="s">
        <v>10</v>
      </c>
      <c r="L311" s="332" t="s">
        <v>10</v>
      </c>
      <c r="M311" s="330" t="s">
        <v>10</v>
      </c>
      <c r="N311" s="332" t="s">
        <v>10</v>
      </c>
      <c r="O311" s="332" t="s">
        <v>10</v>
      </c>
      <c r="P311" s="332">
        <f>VLOOKUP(95.4,table_CIA_JCTS,23,FALSE)</f>
        <v>76.90783651412012</v>
      </c>
      <c r="Q311" s="330">
        <f t="shared" si="20"/>
        <v>0.36526582387193723</v>
      </c>
      <c r="R311" s="329">
        <f>J311*Q311</f>
        <v>50.604876930360248</v>
      </c>
      <c r="S311" s="332">
        <v>48</v>
      </c>
      <c r="T311" s="330">
        <f>(4*R311)/(3.14159*(S311/12)^2)</f>
        <v>4.0270115554830719</v>
      </c>
      <c r="U311" s="331">
        <f>((R311/((0.463135/cell_NP)*((S311/12)^(8/3))))^2)*cell_FF</f>
        <v>1.427471562461387E-3</v>
      </c>
      <c r="V311" s="332">
        <v>338</v>
      </c>
      <c r="W311" s="332">
        <f>V311/(T311*60)</f>
        <v>1.3988868061883597</v>
      </c>
      <c r="X311" s="332">
        <f>W311+P311</f>
        <v>78.306723320308478</v>
      </c>
      <c r="Y311" s="330">
        <f>U311*V311</f>
        <v>0.4824853881119488</v>
      </c>
      <c r="Z311" s="330">
        <f>IF(VLOOKUP(98,table_CIA_JCTS,25,FALSE)+VLOOKUP(96,table_CIA_JCTS,24,FALSE)&lt;VLOOKUP(96,table_CIA_JCTS,28,FALSE),VLOOKUP(96,table_CIA_JCTS,28,FALSE),VLOOKUP(98,table_CIA_JCTS,25,FALSE)+VLOOKUP(96,table_CIA_JCTS,24,FALSE))</f>
        <v>386.51181566585831</v>
      </c>
      <c r="AA311" s="330">
        <v>390.06</v>
      </c>
      <c r="AB311" s="330">
        <f>(AA311-0.5)-Z311</f>
        <v>3.0481843341416948</v>
      </c>
      <c r="AC311" s="415">
        <v>383.91</v>
      </c>
      <c r="AD311" s="403" t="s">
        <v>530</v>
      </c>
    </row>
    <row r="312" spans="1:30" x14ac:dyDescent="0.2">
      <c r="A312" s="369"/>
      <c r="B312" s="216" t="s">
        <v>10</v>
      </c>
      <c r="C312" s="217" t="s">
        <v>10</v>
      </c>
      <c r="D312" s="54" t="s">
        <v>10</v>
      </c>
      <c r="E312" s="54" t="s">
        <v>10</v>
      </c>
      <c r="F312" s="55" t="s">
        <v>10</v>
      </c>
      <c r="G312" s="54" t="s">
        <v>10</v>
      </c>
      <c r="H312" s="54" t="s">
        <v>10</v>
      </c>
      <c r="I312" s="54" t="s">
        <v>10</v>
      </c>
      <c r="J312" s="54" t="s">
        <v>10</v>
      </c>
      <c r="K312" s="56" t="s">
        <v>10</v>
      </c>
      <c r="L312" s="53" t="s">
        <v>10</v>
      </c>
      <c r="M312" s="55" t="s">
        <v>10</v>
      </c>
      <c r="N312" s="53" t="s">
        <v>10</v>
      </c>
      <c r="O312" s="53" t="s">
        <v>10</v>
      </c>
      <c r="P312" s="53" t="s">
        <v>10</v>
      </c>
      <c r="Q312" s="55" t="s">
        <v>10</v>
      </c>
      <c r="R312" s="54" t="s">
        <v>10</v>
      </c>
      <c r="S312" s="53" t="s">
        <v>10</v>
      </c>
      <c r="T312" s="55" t="s">
        <v>10</v>
      </c>
      <c r="U312" s="56" t="s">
        <v>10</v>
      </c>
      <c r="V312" s="53" t="s">
        <v>10</v>
      </c>
      <c r="W312" s="53" t="s">
        <v>10</v>
      </c>
      <c r="X312" s="53" t="s">
        <v>10</v>
      </c>
      <c r="Y312" s="55" t="s">
        <v>10</v>
      </c>
      <c r="Z312" s="55" t="s">
        <v>10</v>
      </c>
      <c r="AA312" s="55" t="s">
        <v>10</v>
      </c>
      <c r="AB312" s="55" t="s">
        <v>10</v>
      </c>
      <c r="AC312" s="57" t="s">
        <v>10</v>
      </c>
      <c r="AD312" t="s">
        <v>10</v>
      </c>
    </row>
    <row r="313" spans="1:30" x14ac:dyDescent="0.2">
      <c r="A313" s="369"/>
      <c r="B313" s="216" t="s">
        <v>10</v>
      </c>
      <c r="C313" s="412">
        <v>115.1</v>
      </c>
      <c r="D313" s="408">
        <f>VLOOKUP(C313,table_DI,2)</f>
        <v>5</v>
      </c>
      <c r="E313" s="408" t="s">
        <v>10</v>
      </c>
      <c r="F313" s="409">
        <f>VLOOKUP(C313,table_DI,5)</f>
        <v>0.5</v>
      </c>
      <c r="G313" s="408">
        <f>VLOOKUP(C313,table_DI,3)</f>
        <v>2.5</v>
      </c>
      <c r="H313" s="408" t="s">
        <v>10</v>
      </c>
      <c r="I313" s="408">
        <f>VLOOKUP(C313,table_DI,4)</f>
        <v>2.5</v>
      </c>
      <c r="J313" s="408" t="s">
        <v>10</v>
      </c>
      <c r="K313" s="410">
        <f>VLOOKUP(C313,table_DI,9)</f>
        <v>4.8164464023494457E-3</v>
      </c>
      <c r="L313" s="411">
        <f>VLOOKUP(C313,table_DI,8)</f>
        <v>681</v>
      </c>
      <c r="M313" s="409">
        <f>(0.84*(K313^0.5)*(cell_GUTDEP^0.6666)/cell_NRD)</f>
        <v>2.0435282521277576</v>
      </c>
      <c r="N313" s="411">
        <f>VLOOKUP(C313,table_DI,10)</f>
        <v>20</v>
      </c>
      <c r="O313" s="411">
        <f>(L313/(M313*60))</f>
        <v>5.5541194442416835</v>
      </c>
      <c r="P313" s="411">
        <f>N313+O313</f>
        <v>25.554119444241685</v>
      </c>
      <c r="Q313" s="409">
        <f t="shared" ref="Q313:Q321" si="21">cell_P*(P313^cell_E)</f>
        <v>0.72820188227838967</v>
      </c>
      <c r="R313" s="408">
        <f>Q313*I313</f>
        <v>1.8205047056959742</v>
      </c>
      <c r="S313" s="53" t="s">
        <v>10</v>
      </c>
      <c r="T313" s="55" t="s">
        <v>10</v>
      </c>
      <c r="U313" s="56" t="s">
        <v>10</v>
      </c>
      <c r="V313" s="53" t="s">
        <v>10</v>
      </c>
      <c r="W313" s="53" t="s">
        <v>10</v>
      </c>
      <c r="X313" s="53" t="s">
        <v>10</v>
      </c>
      <c r="Y313" s="55" t="s">
        <v>10</v>
      </c>
      <c r="Z313" s="55" t="s">
        <v>10</v>
      </c>
      <c r="AA313" s="55" t="s">
        <v>10</v>
      </c>
      <c r="AB313" s="55" t="s">
        <v>10</v>
      </c>
      <c r="AC313" s="57" t="s">
        <v>10</v>
      </c>
      <c r="AD313" t="s">
        <v>10</v>
      </c>
    </row>
    <row r="314" spans="1:30" x14ac:dyDescent="0.2">
      <c r="A314" s="369"/>
      <c r="B314" s="406">
        <v>96.1</v>
      </c>
      <c r="C314" s="407" t="s">
        <v>10</v>
      </c>
      <c r="D314" s="408" t="s">
        <v>10</v>
      </c>
      <c r="E314" s="408">
        <f>VLOOKUP(115.1,table_CIA_INLETS,2,FALSE)</f>
        <v>5</v>
      </c>
      <c r="F314" s="409" t="s">
        <v>10</v>
      </c>
      <c r="G314" s="408" t="s">
        <v>10</v>
      </c>
      <c r="H314" s="408">
        <f>VLOOKUP(115.1,table_CIA_INLETS,5,FALSE)</f>
        <v>2.5</v>
      </c>
      <c r="I314" s="408" t="s">
        <v>10</v>
      </c>
      <c r="J314" s="408">
        <f>VLOOKUP(115.1,table_CIA_INLETS,7,FALSE)</f>
        <v>2.5</v>
      </c>
      <c r="K314" s="410" t="s">
        <v>10</v>
      </c>
      <c r="L314" s="411" t="s">
        <v>10</v>
      </c>
      <c r="M314" s="409" t="s">
        <v>10</v>
      </c>
      <c r="N314" s="411" t="s">
        <v>10</v>
      </c>
      <c r="O314" s="411" t="s">
        <v>10</v>
      </c>
      <c r="P314" s="411">
        <f>VLOOKUP(115.1,table_CIA_INLETS,14,FALSE)</f>
        <v>25.554119444241685</v>
      </c>
      <c r="Q314" s="409">
        <f t="shared" si="21"/>
        <v>0.72820188227838967</v>
      </c>
      <c r="R314" s="408">
        <f>J314*Q314</f>
        <v>1.8205047056959742</v>
      </c>
      <c r="S314" s="411">
        <v>18</v>
      </c>
      <c r="T314" s="409">
        <f>(4*R314)/(3.14159*(S314/12)^2)</f>
        <v>1.0301957957996353</v>
      </c>
      <c r="U314" s="410">
        <f>((R314/((0.463135/cell_NP)*((S314/12)^(8/3))))^2)*cell_FF</f>
        <v>3.4546143256858358E-4</v>
      </c>
      <c r="V314" s="411">
        <v>436</v>
      </c>
      <c r="W314" s="411">
        <f>V314/(T314*60)</f>
        <v>7.0536753268598797</v>
      </c>
      <c r="X314" s="411">
        <f>W314+P314</f>
        <v>32.607794771101567</v>
      </c>
      <c r="Y314" s="409">
        <f>U314*V314</f>
        <v>0.15062118459990245</v>
      </c>
      <c r="Z314" s="409">
        <f>IF(VLOOKUP(97,table_CIA_JCTS,25,FALSE)+VLOOKUP(96.1,table_CIA_JCTS,24,FALSE)&lt;VLOOKUP(96.1,table_CIA_JCTS,28,FALSE),VLOOKUP(96.1,table_CIA_JCTS,28,FALSE),VLOOKUP(97,table_CIA_JCTS,25,FALSE)+VLOOKUP(96.1,table_CIA_JCTS,24,FALSE))</f>
        <v>386.32111361950138</v>
      </c>
      <c r="AA314" s="409">
        <v>390</v>
      </c>
      <c r="AB314" s="409">
        <f>(AA314-0.5)-Z314</f>
        <v>3.1788863804986249</v>
      </c>
      <c r="AC314" s="57" t="s">
        <v>10</v>
      </c>
      <c r="AD314" t="s">
        <v>10</v>
      </c>
    </row>
    <row r="315" spans="1:30" x14ac:dyDescent="0.2">
      <c r="A315" s="666" t="s">
        <v>541</v>
      </c>
      <c r="B315" s="440" t="s">
        <v>10</v>
      </c>
      <c r="C315" s="440">
        <v>116</v>
      </c>
      <c r="D315" s="441">
        <f>VLOOKUP(C315,table_DI,2)</f>
        <v>2.6</v>
      </c>
      <c r="E315" s="441" t="s">
        <v>10</v>
      </c>
      <c r="F315" s="442">
        <f>VLOOKUP(C315,table_DI,5)</f>
        <v>0.5</v>
      </c>
      <c r="G315" s="441">
        <f>VLOOKUP(C315,table_DI,3)</f>
        <v>1.3</v>
      </c>
      <c r="H315" s="441" t="s">
        <v>10</v>
      </c>
      <c r="I315" s="441">
        <f>VLOOKUP(C315,table_DI,4)</f>
        <v>1.3</v>
      </c>
      <c r="J315" s="441" t="s">
        <v>10</v>
      </c>
      <c r="K315" s="443">
        <f>VLOOKUP(C315,table_DI,9)</f>
        <v>1.527377521613918E-3</v>
      </c>
      <c r="L315" s="444">
        <f>VLOOKUP(C315,table_DI,8)</f>
        <v>347</v>
      </c>
      <c r="M315" s="442">
        <f>(0.84*(K315^0.5)*(cell_GUTDEP^0.6666)/cell_NRD)</f>
        <v>1.1507751571187872</v>
      </c>
      <c r="N315" s="444">
        <f>VLOOKUP(C315,table_DI,10)</f>
        <v>20</v>
      </c>
      <c r="O315" s="444">
        <f>(L315/(M315*60))</f>
        <v>5.0255980045773239</v>
      </c>
      <c r="P315" s="444">
        <f>N315+O315</f>
        <v>25.025598004577326</v>
      </c>
      <c r="Q315" s="442">
        <f t="shared" si="21"/>
        <v>0.73779460323709856</v>
      </c>
      <c r="R315" s="441">
        <f>Q315*I315</f>
        <v>0.95913298420822812</v>
      </c>
      <c r="S315" s="444" t="s">
        <v>10</v>
      </c>
      <c r="T315" s="442" t="s">
        <v>10</v>
      </c>
      <c r="U315" s="443" t="s">
        <v>10</v>
      </c>
      <c r="V315" s="444" t="s">
        <v>10</v>
      </c>
      <c r="W315" s="444" t="s">
        <v>10</v>
      </c>
      <c r="X315" s="444" t="s">
        <v>10</v>
      </c>
      <c r="Y315" s="442" t="s">
        <v>10</v>
      </c>
      <c r="Z315" s="442" t="s">
        <v>10</v>
      </c>
      <c r="AA315" s="442" t="s">
        <v>10</v>
      </c>
      <c r="AB315" s="442" t="s">
        <v>10</v>
      </c>
      <c r="AC315" s="445" t="s">
        <v>10</v>
      </c>
      <c r="AD315" t="s">
        <v>10</v>
      </c>
    </row>
    <row r="316" spans="1:30" x14ac:dyDescent="0.2">
      <c r="A316" s="667"/>
      <c r="B316" s="440">
        <v>97</v>
      </c>
      <c r="C316" s="446" t="s">
        <v>10</v>
      </c>
      <c r="D316" s="441" t="s">
        <v>10</v>
      </c>
      <c r="E316" s="447">
        <f>VLOOKUP(116,table_CIA_INLETS,2,FALSE)+VLOOKUP(96.1,table_CIA_JCTS,4,FALSE)</f>
        <v>7.6</v>
      </c>
      <c r="F316" s="448" t="s">
        <v>10</v>
      </c>
      <c r="G316" s="447" t="s">
        <v>10</v>
      </c>
      <c r="H316" s="447">
        <f>VLOOKUP(116,table_CIA_INLETS,5,FALSE)+VLOOKUP(96.1,table_CIA_JCTS,7,FALSE)</f>
        <v>3.8</v>
      </c>
      <c r="I316" s="447" t="s">
        <v>10</v>
      </c>
      <c r="J316" s="447">
        <f>VLOOKUP(116,table_CIA_INLETS,7,FALSE)+VLOOKUP(96.1,table_CIA_JCTS,9,FALSE)</f>
        <v>3.8</v>
      </c>
      <c r="K316" s="443" t="s">
        <v>10</v>
      </c>
      <c r="L316" s="444" t="s">
        <v>10</v>
      </c>
      <c r="M316" s="442" t="s">
        <v>10</v>
      </c>
      <c r="N316" s="444" t="s">
        <v>10</v>
      </c>
      <c r="O316" s="444" t="s">
        <v>10</v>
      </c>
      <c r="P316" s="449">
        <f>VLOOKUP(96.1,table_CIA_JCTS,23,FALSE)</f>
        <v>32.607794771101567</v>
      </c>
      <c r="Q316" s="448">
        <f t="shared" si="21"/>
        <v>0.62511791700430508</v>
      </c>
      <c r="R316" s="447">
        <f>J316*Q316</f>
        <v>2.3754480846163593</v>
      </c>
      <c r="S316" s="444">
        <v>18</v>
      </c>
      <c r="T316" s="442">
        <f>(4*R316)/(3.14159*(S316/12)^2)</f>
        <v>1.3442297744440712</v>
      </c>
      <c r="U316" s="443">
        <f>((R316/((0.463135/cell_NP)*((S316/12)^(8/3))))^2)*cell_FF</f>
        <v>5.8817565481296158E-4</v>
      </c>
      <c r="V316" s="444">
        <v>240</v>
      </c>
      <c r="W316" s="444">
        <f>V316/(T316*60)</f>
        <v>2.9756817443314456</v>
      </c>
      <c r="X316" s="444">
        <f>W316+P316</f>
        <v>35.583476515433013</v>
      </c>
      <c r="Y316" s="442">
        <f>U316*V316</f>
        <v>0.14116215715511077</v>
      </c>
      <c r="Z316" s="442">
        <f>IF(VLOOKUP(98,table_CIA_JCTS,25,FALSE)+VLOOKUP(97,table_CIA_JCTS,24,FALSE)&lt;VLOOKUP(97,table_CIA_JCTS,28,FALSE),VLOOKUP(97,table_CIA_JCTS,28,FALSE),VLOOKUP(98,table_CIA_JCTS,25,FALSE)+VLOOKUP(97,table_CIA_JCTS,24,FALSE))</f>
        <v>386.17049243490146</v>
      </c>
      <c r="AA316" s="442">
        <v>389.5</v>
      </c>
      <c r="AB316" s="442">
        <f>(AA316-0.5)-Z316</f>
        <v>2.8295075650985382</v>
      </c>
      <c r="AC316" s="445" t="s">
        <v>10</v>
      </c>
      <c r="AD316" t="s">
        <v>10</v>
      </c>
    </row>
    <row r="317" spans="1:30" x14ac:dyDescent="0.2">
      <c r="A317" s="667"/>
      <c r="B317" s="440" t="s">
        <v>10</v>
      </c>
      <c r="C317" s="450">
        <v>116.01</v>
      </c>
      <c r="D317" s="441">
        <f>VLOOKUP(C317,table_DI,2)</f>
        <v>1.8</v>
      </c>
      <c r="E317" s="441" t="s">
        <v>10</v>
      </c>
      <c r="F317" s="442">
        <f>VLOOKUP(C317,table_DI,5)</f>
        <v>0.5</v>
      </c>
      <c r="G317" s="441">
        <f>VLOOKUP(C317,table_DI,3)</f>
        <v>0.9</v>
      </c>
      <c r="H317" s="441" t="s">
        <v>10</v>
      </c>
      <c r="I317" s="441">
        <f>VLOOKUP(C317,table_DI,4)</f>
        <v>0.9</v>
      </c>
      <c r="J317" s="441" t="s">
        <v>10</v>
      </c>
      <c r="K317" s="443">
        <f>VLOOKUP(C317,table_DI,9)</f>
        <v>1.6099071207429777E-3</v>
      </c>
      <c r="L317" s="444">
        <f>VLOOKUP(C317,table_DI,8)</f>
        <v>323</v>
      </c>
      <c r="M317" s="442">
        <f>(0.84*(K317^0.5)*(cell_GUTDEP^0.6666)/cell_NRD)</f>
        <v>1.1814563777058265</v>
      </c>
      <c r="N317" s="444">
        <f>VLOOKUP(C317,table_DI,10)</f>
        <v>20</v>
      </c>
      <c r="O317" s="444">
        <f>(L317/(M317*60))</f>
        <v>4.5565231479699557</v>
      </c>
      <c r="P317" s="444">
        <f>N317+O317</f>
        <v>24.556523147969955</v>
      </c>
      <c r="Q317" s="442">
        <f t="shared" si="21"/>
        <v>0.74658855359496601</v>
      </c>
      <c r="R317" s="441">
        <f>Q317*I317</f>
        <v>0.67192969823546944</v>
      </c>
      <c r="S317" s="444" t="s">
        <v>10</v>
      </c>
      <c r="T317" s="442" t="s">
        <v>10</v>
      </c>
      <c r="U317" s="443" t="s">
        <v>10</v>
      </c>
      <c r="V317" s="444" t="s">
        <v>10</v>
      </c>
      <c r="W317" s="444" t="s">
        <v>10</v>
      </c>
      <c r="X317" s="444" t="s">
        <v>10</v>
      </c>
      <c r="Y317" s="442" t="s">
        <v>10</v>
      </c>
      <c r="Z317" s="442" t="s">
        <v>10</v>
      </c>
      <c r="AA317" s="442" t="s">
        <v>10</v>
      </c>
      <c r="AB317" s="442" t="s">
        <v>10</v>
      </c>
      <c r="AC317" s="445" t="s">
        <v>10</v>
      </c>
      <c r="AD317" t="s">
        <v>10</v>
      </c>
    </row>
    <row r="318" spans="1:30" x14ac:dyDescent="0.2">
      <c r="A318" s="667"/>
      <c r="B318" s="440" t="s">
        <v>10</v>
      </c>
      <c r="C318" s="450">
        <v>116.02</v>
      </c>
      <c r="D318" s="441">
        <f>VLOOKUP(C318,table_DI,2)</f>
        <v>1.1000000000000001</v>
      </c>
      <c r="E318" s="441" t="s">
        <v>10</v>
      </c>
      <c r="F318" s="442">
        <f>VLOOKUP(C318,table_DI,5)</f>
        <v>0.5</v>
      </c>
      <c r="G318" s="441">
        <f>VLOOKUP(C318,table_DI,3)</f>
        <v>0.55000000000000004</v>
      </c>
      <c r="H318" s="441" t="s">
        <v>10</v>
      </c>
      <c r="I318" s="441">
        <f>VLOOKUP(C318,table_DI,4)</f>
        <v>0.55000000000000004</v>
      </c>
      <c r="J318" s="441" t="s">
        <v>10</v>
      </c>
      <c r="K318" s="443">
        <f>VLOOKUP(C318,table_DI,9)</f>
        <v>2.1551724137931034E-3</v>
      </c>
      <c r="L318" s="444">
        <f>VLOOKUP(C318,table_DI,8)</f>
        <v>232</v>
      </c>
      <c r="M318" s="442">
        <f>(0.84*(K318^0.5)*(cell_GUTDEP^0.6666)/cell_NRD)</f>
        <v>1.3669678175225175</v>
      </c>
      <c r="N318" s="444">
        <f>VLOOKUP(C318,table_DI,10)</f>
        <v>20</v>
      </c>
      <c r="O318" s="444">
        <f>(L318/(M318*60))</f>
        <v>2.8286449886395899</v>
      </c>
      <c r="P318" s="444">
        <f>N318+O318</f>
        <v>22.828644988639589</v>
      </c>
      <c r="Q318" s="442">
        <f t="shared" si="21"/>
        <v>0.78149025241052161</v>
      </c>
      <c r="R318" s="441">
        <f>Q318*I318</f>
        <v>0.42981963882578694</v>
      </c>
      <c r="S318" s="444" t="s">
        <v>10</v>
      </c>
      <c r="T318" s="442" t="s">
        <v>10</v>
      </c>
      <c r="U318" s="443" t="s">
        <v>10</v>
      </c>
      <c r="V318" s="444" t="s">
        <v>10</v>
      </c>
      <c r="W318" s="444" t="s">
        <v>10</v>
      </c>
      <c r="X318" s="444" t="s">
        <v>10</v>
      </c>
      <c r="Y318" s="442" t="s">
        <v>10</v>
      </c>
      <c r="Z318" s="442" t="s">
        <v>10</v>
      </c>
      <c r="AA318" s="442" t="s">
        <v>10</v>
      </c>
      <c r="AB318" s="442" t="s">
        <v>10</v>
      </c>
      <c r="AC318" s="445" t="s">
        <v>10</v>
      </c>
      <c r="AD318" t="s">
        <v>10</v>
      </c>
    </row>
    <row r="319" spans="1:30" x14ac:dyDescent="0.2">
      <c r="A319" s="667"/>
      <c r="B319" s="450">
        <v>97.1</v>
      </c>
      <c r="C319" s="451" t="s">
        <v>10</v>
      </c>
      <c r="D319" s="447" t="s">
        <v>10</v>
      </c>
      <c r="E319" s="447">
        <f>VLOOKUP(116.01,table_CIA_INLETS,2,FALSE)+VLOOKUP(116.02,table_CIA_INLETS,2,FALSE)</f>
        <v>2.9000000000000004</v>
      </c>
      <c r="F319" s="448" t="s">
        <v>10</v>
      </c>
      <c r="G319" s="447" t="s">
        <v>10</v>
      </c>
      <c r="H319" s="447">
        <f>VLOOKUP(116.01,table_CIA_INLETS,5,FALSE)+VLOOKUP(116.02,table_CIA_INLETS,5,FALSE)</f>
        <v>1.4500000000000002</v>
      </c>
      <c r="I319" s="447" t="s">
        <v>10</v>
      </c>
      <c r="J319" s="447">
        <f>VLOOKUP(116.01,table_CIA_INLETS,7,FALSE)+VLOOKUP(116.02,table_CIA_INLETS,7,FALSE)</f>
        <v>1.4500000000000002</v>
      </c>
      <c r="K319" s="452" t="s">
        <v>10</v>
      </c>
      <c r="L319" s="449" t="s">
        <v>10</v>
      </c>
      <c r="M319" s="448" t="s">
        <v>10</v>
      </c>
      <c r="N319" s="449" t="s">
        <v>10</v>
      </c>
      <c r="O319" s="449" t="s">
        <v>10</v>
      </c>
      <c r="P319" s="449">
        <f>VLOOKUP(97,table_CIA_JCTS,23,FALSE)</f>
        <v>35.583476515433013</v>
      </c>
      <c r="Q319" s="448">
        <f t="shared" si="21"/>
        <v>0.59185059993833355</v>
      </c>
      <c r="R319" s="447">
        <f>J319*Q319</f>
        <v>0.85818336991058375</v>
      </c>
      <c r="S319" s="449">
        <v>18</v>
      </c>
      <c r="T319" s="448">
        <f>(4*R319)/(3.14159*(S319/12)^2)</f>
        <v>0.48563285606507606</v>
      </c>
      <c r="U319" s="452">
        <f>((R319/((0.463135/cell_NP)*((S319/12)^(8/3))))^2)*cell_FF</f>
        <v>7.6767278886282319E-5</v>
      </c>
      <c r="V319" s="449">
        <v>178</v>
      </c>
      <c r="W319" s="449">
        <f>V319/(T319*60)</f>
        <v>6.108867284443221</v>
      </c>
      <c r="X319" s="449">
        <f>W319+P319</f>
        <v>41.692343799876234</v>
      </c>
      <c r="Y319" s="448">
        <f>U319*V319</f>
        <v>1.3664575641758252E-2</v>
      </c>
      <c r="Z319" s="448">
        <f>IF(VLOOKUP(98,table_CIA_JCTS,25,FALSE)+VLOOKUP(97.1,table_CIA_JCTS,24,FALSE)&lt;VLOOKUP(97.1,table_CIA_JCTS,28,FALSE),VLOOKUP(97.1,table_CIA_JCTS,28,FALSE),VLOOKUP(98,table_CIA_JCTS,25,FALSE)+VLOOKUP(97.1,table_CIA_JCTS,24,FALSE))</f>
        <v>386.04299485338811</v>
      </c>
      <c r="AA319" s="448">
        <v>389.51</v>
      </c>
      <c r="AB319" s="448">
        <f>(AA319-0.5)-Z319</f>
        <v>2.9670051466118821</v>
      </c>
      <c r="AC319" s="445" t="s">
        <v>10</v>
      </c>
      <c r="AD319" t="s">
        <v>10</v>
      </c>
    </row>
    <row r="320" spans="1:30" x14ac:dyDescent="0.2">
      <c r="A320" s="667"/>
      <c r="B320" s="440" t="s">
        <v>10</v>
      </c>
      <c r="C320" s="440">
        <v>116.1</v>
      </c>
      <c r="D320" s="453">
        <f>VLOOKUP(C320,table_DI,2)</f>
        <v>11.5</v>
      </c>
      <c r="E320" s="453" t="s">
        <v>10</v>
      </c>
      <c r="F320" s="454">
        <f>VLOOKUP(C320,table_DI,5)</f>
        <v>0.5</v>
      </c>
      <c r="G320" s="453">
        <f>VLOOKUP(C320,table_DI,3)</f>
        <v>5.75</v>
      </c>
      <c r="H320" s="453" t="s">
        <v>10</v>
      </c>
      <c r="I320" s="453">
        <f>VLOOKUP(C320,table_DI,4)</f>
        <v>5.75</v>
      </c>
      <c r="J320" s="441" t="s">
        <v>10</v>
      </c>
      <c r="K320" s="443">
        <f>VLOOKUP(C320,table_DI,9)</f>
        <v>2.9286977018267691E-3</v>
      </c>
      <c r="L320" s="444">
        <f>VLOOKUP(C320,table_DI,8)</f>
        <v>1697</v>
      </c>
      <c r="M320" s="442">
        <f>(0.84*(K320^0.5)*(cell_GUTDEP^0.6666)/cell_NRD)</f>
        <v>1.5935091207858958</v>
      </c>
      <c r="N320" s="444">
        <f>VLOOKUP(C320,table_DI,10)</f>
        <v>20</v>
      </c>
      <c r="O320" s="444">
        <f>(L320/(M320*60))</f>
        <v>17.749087824100059</v>
      </c>
      <c r="P320" s="444">
        <f>N320+O320</f>
        <v>37.749087824100059</v>
      </c>
      <c r="Q320" s="442">
        <f t="shared" si="21"/>
        <v>0.57035466654221256</v>
      </c>
      <c r="R320" s="441">
        <f>Q320*I320</f>
        <v>3.2795393326177225</v>
      </c>
      <c r="S320" s="444" t="s">
        <v>10</v>
      </c>
      <c r="T320" s="442" t="s">
        <v>10</v>
      </c>
      <c r="U320" s="443" t="s">
        <v>10</v>
      </c>
      <c r="V320" s="444" t="s">
        <v>10</v>
      </c>
      <c r="W320" s="444" t="s">
        <v>10</v>
      </c>
      <c r="X320" s="444" t="s">
        <v>10</v>
      </c>
      <c r="Y320" s="442" t="s">
        <v>10</v>
      </c>
      <c r="Z320" s="442" t="s">
        <v>10</v>
      </c>
      <c r="AA320" s="442" t="s">
        <v>10</v>
      </c>
      <c r="AB320" s="442" t="s">
        <v>10</v>
      </c>
      <c r="AC320" s="445" t="s">
        <v>10</v>
      </c>
      <c r="AD320" t="s">
        <v>10</v>
      </c>
    </row>
    <row r="321" spans="1:30" x14ac:dyDescent="0.2">
      <c r="A321" s="667"/>
      <c r="B321" s="440">
        <v>98</v>
      </c>
      <c r="C321" s="446" t="s">
        <v>10</v>
      </c>
      <c r="D321" s="441" t="s">
        <v>10</v>
      </c>
      <c r="E321" s="447">
        <f>VLOOKUP(96,table_CIA_JCTS,4,FALSE)+VLOOKUP(97.1,table_CIA_JCTS,4,FALSE)+VLOOKUP(116.1,table_CIA_INLETS,2,FALSE)</f>
        <v>325.91999999999996</v>
      </c>
      <c r="F321" s="442" t="s">
        <v>10</v>
      </c>
      <c r="G321" s="441" t="s">
        <v>10</v>
      </c>
      <c r="H321" s="447">
        <f>VLOOKUP(96,table_CIA_JCTS,7,FALSE)+VLOOKUP(97.1,table_CIA_JCTS,7,FALSE)+VLOOKUP(116.1,table_CIA_INLETS,5,FALSE)</f>
        <v>138.60039999999998</v>
      </c>
      <c r="I321" s="441" t="s">
        <v>10</v>
      </c>
      <c r="J321" s="447">
        <f>VLOOKUP(96,table_CIA_JCTS,9,FALSE)+VLOOKUP(97.1,table_CIA_JCTS,9,FALSE)+VLOOKUP(116.1,table_CIA_INLETS,7,FALSE)</f>
        <v>145.74259999999998</v>
      </c>
      <c r="K321" s="443" t="s">
        <v>10</v>
      </c>
      <c r="L321" s="444" t="s">
        <v>10</v>
      </c>
      <c r="M321" s="442" t="s">
        <v>10</v>
      </c>
      <c r="N321" s="444" t="s">
        <v>10</v>
      </c>
      <c r="O321" s="444" t="s">
        <v>10</v>
      </c>
      <c r="P321" s="444">
        <f>VLOOKUP(96,table_CIA_JCTS,23,FALSE)</f>
        <v>78.306723320308478</v>
      </c>
      <c r="Q321" s="442">
        <f t="shared" si="21"/>
        <v>0.36116600009734784</v>
      </c>
      <c r="R321" s="441">
        <f>J321*Q321</f>
        <v>52.637271885787719</v>
      </c>
      <c r="S321" s="444">
        <v>48</v>
      </c>
      <c r="T321" s="442">
        <f>(4*R321)/(3.14159*(S321/12)^2)</f>
        <v>4.1887445438287401</v>
      </c>
      <c r="U321" s="443">
        <f>((R321/((0.463135/cell_NP)*((S321/12)^(8/3))))^2)*cell_FF</f>
        <v>1.5444343910392243E-3</v>
      </c>
      <c r="V321" s="444">
        <v>656</v>
      </c>
      <c r="W321" s="444">
        <f>V321/(T321*60)</f>
        <v>2.6101695195142343</v>
      </c>
      <c r="X321" s="444">
        <f>W321+P321</f>
        <v>80.916892839822708</v>
      </c>
      <c r="Y321" s="442">
        <f>U321*V321</f>
        <v>1.0131489605217312</v>
      </c>
      <c r="Z321" s="442">
        <f>IF(VLOOKUP(100,table_CIA_JCTS,25,FALSE)+VLOOKUP(98,table_CIA_JCTS,24,FALSE)&lt;VLOOKUP(98,table_CIA_JCTS,28,FALSE),VLOOKUP(98,table_CIA_JCTS,28,FALSE),VLOOKUP(100,table_CIA_JCTS,25,FALSE)+VLOOKUP(98,table_CIA_JCTS,24,FALSE))</f>
        <v>386.02933027774634</v>
      </c>
      <c r="AA321" s="442">
        <v>390.2</v>
      </c>
      <c r="AB321" s="442">
        <f>(AA321-0.5)-Z321</f>
        <v>3.6706697222536491</v>
      </c>
      <c r="AC321" s="455">
        <v>383.73</v>
      </c>
      <c r="AD321" s="403" t="s">
        <v>532</v>
      </c>
    </row>
    <row r="322" spans="1:30" x14ac:dyDescent="0.2">
      <c r="A322" s="667"/>
      <c r="B322" s="440" t="s">
        <v>10</v>
      </c>
      <c r="C322" s="446" t="s">
        <v>10</v>
      </c>
      <c r="D322" s="441" t="s">
        <v>10</v>
      </c>
      <c r="E322" s="441" t="s">
        <v>10</v>
      </c>
      <c r="F322" s="442" t="s">
        <v>10</v>
      </c>
      <c r="G322" s="441" t="s">
        <v>10</v>
      </c>
      <c r="H322" s="441" t="s">
        <v>10</v>
      </c>
      <c r="I322" s="441" t="s">
        <v>10</v>
      </c>
      <c r="J322" s="441" t="s">
        <v>10</v>
      </c>
      <c r="K322" s="443" t="s">
        <v>10</v>
      </c>
      <c r="L322" s="444" t="s">
        <v>10</v>
      </c>
      <c r="M322" s="442" t="s">
        <v>10</v>
      </c>
      <c r="N322" s="444" t="s">
        <v>10</v>
      </c>
      <c r="O322" s="444" t="s">
        <v>10</v>
      </c>
      <c r="P322" s="444" t="s">
        <v>10</v>
      </c>
      <c r="Q322" s="442" t="s">
        <v>10</v>
      </c>
      <c r="R322" s="441" t="s">
        <v>10</v>
      </c>
      <c r="S322" s="444" t="s">
        <v>10</v>
      </c>
      <c r="T322" s="442" t="s">
        <v>10</v>
      </c>
      <c r="U322" s="443" t="s">
        <v>10</v>
      </c>
      <c r="V322" s="444" t="s">
        <v>10</v>
      </c>
      <c r="W322" s="444" t="s">
        <v>10</v>
      </c>
      <c r="X322" s="444" t="s">
        <v>10</v>
      </c>
      <c r="Y322" s="442" t="s">
        <v>10</v>
      </c>
      <c r="Z322" s="442" t="s">
        <v>10</v>
      </c>
      <c r="AA322" s="442" t="s">
        <v>10</v>
      </c>
      <c r="AB322" s="442" t="s">
        <v>10</v>
      </c>
      <c r="AC322" s="455">
        <v>381.23</v>
      </c>
      <c r="AD322" s="403" t="s">
        <v>462</v>
      </c>
    </row>
    <row r="323" spans="1:30" x14ac:dyDescent="0.2">
      <c r="A323" s="667"/>
      <c r="B323" s="440" t="s">
        <v>10</v>
      </c>
      <c r="C323" s="440">
        <v>116.2</v>
      </c>
      <c r="D323" s="441">
        <f>VLOOKUP(C323,table_DI,2)</f>
        <v>0.8</v>
      </c>
      <c r="E323" s="441" t="s">
        <v>10</v>
      </c>
      <c r="F323" s="442">
        <f>VLOOKUP(C323,table_DI,5)</f>
        <v>0.5</v>
      </c>
      <c r="G323" s="441">
        <f>VLOOKUP(C323,table_DI,3)</f>
        <v>0.4</v>
      </c>
      <c r="H323" s="441" t="s">
        <v>10</v>
      </c>
      <c r="I323" s="441">
        <f>VLOOKUP(C323,table_DI,4)</f>
        <v>0.4</v>
      </c>
      <c r="J323" s="441" t="s">
        <v>10</v>
      </c>
      <c r="K323" s="443">
        <f>VLOOKUP(C323,table_DI,9)</f>
        <v>2.2751322751323111E-3</v>
      </c>
      <c r="L323" s="444">
        <f>VLOOKUP(C323,table_DI,8)</f>
        <v>189</v>
      </c>
      <c r="M323" s="442">
        <f>(0.84*(K323^0.5)*(cell_GUTDEP^0.6666)/cell_NRD)</f>
        <v>1.4044963215159045</v>
      </c>
      <c r="N323" s="444">
        <f>VLOOKUP(C323,table_DI,10)</f>
        <v>20</v>
      </c>
      <c r="O323" s="444">
        <f>(L323/(M323*60))</f>
        <v>2.2427969028784167</v>
      </c>
      <c r="P323" s="444">
        <f>N323+O323</f>
        <v>22.242796902878418</v>
      </c>
      <c r="Q323" s="442">
        <f>cell_P*(P323^cell_E)</f>
        <v>0.79431694168095612</v>
      </c>
      <c r="R323" s="441">
        <f>Q323*I323</f>
        <v>0.31772677667238247</v>
      </c>
      <c r="S323" s="444" t="s">
        <v>10</v>
      </c>
      <c r="T323" s="442" t="s">
        <v>10</v>
      </c>
      <c r="U323" s="443" t="s">
        <v>10</v>
      </c>
      <c r="V323" s="444" t="s">
        <v>10</v>
      </c>
      <c r="W323" s="444" t="s">
        <v>10</v>
      </c>
      <c r="X323" s="444" t="s">
        <v>10</v>
      </c>
      <c r="Y323" s="442" t="s">
        <v>10</v>
      </c>
      <c r="Z323" s="442" t="s">
        <v>10</v>
      </c>
      <c r="AA323" s="442" t="s">
        <v>10</v>
      </c>
      <c r="AB323" s="442" t="s">
        <v>10</v>
      </c>
      <c r="AC323" s="445" t="s">
        <v>10</v>
      </c>
      <c r="AD323" t="s">
        <v>10</v>
      </c>
    </row>
    <row r="324" spans="1:30" x14ac:dyDescent="0.2">
      <c r="A324" s="667"/>
      <c r="B324" s="440" t="s">
        <v>10</v>
      </c>
      <c r="C324" s="440">
        <v>116.3</v>
      </c>
      <c r="D324" s="441">
        <f>VLOOKUP(C324,table_DI,2)</f>
        <v>2.2999999999999998</v>
      </c>
      <c r="E324" s="441" t="s">
        <v>10</v>
      </c>
      <c r="F324" s="442">
        <f>VLOOKUP(C324,table_DI,5)</f>
        <v>0.5</v>
      </c>
      <c r="G324" s="441">
        <f>VLOOKUP(C324,table_DI,3)</f>
        <v>1.1499999999999999</v>
      </c>
      <c r="H324" s="441" t="s">
        <v>10</v>
      </c>
      <c r="I324" s="441">
        <f>VLOOKUP(C324,table_DI,4)</f>
        <v>1.1499999999999999</v>
      </c>
      <c r="J324" s="441" t="s">
        <v>10</v>
      </c>
      <c r="K324" s="443">
        <f>VLOOKUP(C324,table_DI,9)</f>
        <v>1.5727002967359928E-3</v>
      </c>
      <c r="L324" s="444">
        <f>VLOOKUP(C324,table_DI,8)</f>
        <v>337</v>
      </c>
      <c r="M324" s="442">
        <f>(0.84*(K324^0.5)*(cell_GUTDEP^0.6666)/cell_NRD)</f>
        <v>1.1677241572444017</v>
      </c>
      <c r="N324" s="444">
        <f>VLOOKUP(C324,table_DI,10)</f>
        <v>20</v>
      </c>
      <c r="O324" s="444">
        <f>(L324/(M324*60))</f>
        <v>4.8099258988705778</v>
      </c>
      <c r="P324" s="444">
        <f>N324+O324</f>
        <v>24.809925898870578</v>
      </c>
      <c r="Q324" s="442">
        <f>cell_P*(P324^cell_E)</f>
        <v>0.74180431974269556</v>
      </c>
      <c r="R324" s="441">
        <f>Q324*I324</f>
        <v>0.85307496770409985</v>
      </c>
      <c r="S324" s="444" t="s">
        <v>10</v>
      </c>
      <c r="T324" s="442" t="s">
        <v>10</v>
      </c>
      <c r="U324" s="443" t="s">
        <v>10</v>
      </c>
      <c r="V324" s="444" t="s">
        <v>10</v>
      </c>
      <c r="W324" s="444" t="s">
        <v>10</v>
      </c>
      <c r="X324" s="444" t="s">
        <v>10</v>
      </c>
      <c r="Y324" s="442" t="s">
        <v>10</v>
      </c>
      <c r="Z324" s="442" t="s">
        <v>10</v>
      </c>
      <c r="AA324" s="442" t="s">
        <v>10</v>
      </c>
      <c r="AB324" s="442" t="s">
        <v>10</v>
      </c>
      <c r="AC324" s="445" t="s">
        <v>10</v>
      </c>
      <c r="AD324" t="s">
        <v>10</v>
      </c>
    </row>
    <row r="325" spans="1:30" x14ac:dyDescent="0.2">
      <c r="A325" s="667"/>
      <c r="B325" s="440" t="s">
        <v>10</v>
      </c>
      <c r="C325" s="440">
        <v>116.4</v>
      </c>
      <c r="D325" s="441">
        <f>VLOOKUP(C325,table_DI,2)</f>
        <v>1.2</v>
      </c>
      <c r="E325" s="441" t="s">
        <v>10</v>
      </c>
      <c r="F325" s="442">
        <f>VLOOKUP(C325,table_DI,5)</f>
        <v>0.5</v>
      </c>
      <c r="G325" s="441">
        <f>VLOOKUP(C325,table_DI,3)</f>
        <v>0.6</v>
      </c>
      <c r="H325" s="441" t="s">
        <v>10</v>
      </c>
      <c r="I325" s="441">
        <f>VLOOKUP(C325,table_DI,4)</f>
        <v>0.6</v>
      </c>
      <c r="J325" s="441" t="s">
        <v>10</v>
      </c>
      <c r="K325" s="443">
        <f>VLOOKUP(C325,table_DI,9)</f>
        <v>1.6199376947039932E-3</v>
      </c>
      <c r="L325" s="444">
        <f>VLOOKUP(C325,table_DI,8)</f>
        <v>321</v>
      </c>
      <c r="M325" s="442">
        <f>(0.84*(K325^0.5)*(cell_GUTDEP^0.6666)/cell_NRD)</f>
        <v>1.1851312120163862</v>
      </c>
      <c r="N325" s="444">
        <f>VLOOKUP(C325,table_DI,10)</f>
        <v>20</v>
      </c>
      <c r="O325" s="444">
        <f>(L325/(M325*60))</f>
        <v>4.514268079141627</v>
      </c>
      <c r="P325" s="444">
        <f>N325+O325</f>
        <v>24.514268079141626</v>
      </c>
      <c r="Q325" s="442">
        <f>cell_P*(P325^cell_E)</f>
        <v>0.74739414430465201</v>
      </c>
      <c r="R325" s="441">
        <f>Q325*I325</f>
        <v>0.44843648658279117</v>
      </c>
      <c r="S325" s="444" t="s">
        <v>10</v>
      </c>
      <c r="T325" s="442" t="s">
        <v>10</v>
      </c>
      <c r="U325" s="443" t="s">
        <v>10</v>
      </c>
      <c r="V325" s="444" t="s">
        <v>10</v>
      </c>
      <c r="W325" s="444" t="s">
        <v>10</v>
      </c>
      <c r="X325" s="444" t="s">
        <v>10</v>
      </c>
      <c r="Y325" s="442" t="s">
        <v>10</v>
      </c>
      <c r="Z325" s="442" t="s">
        <v>10</v>
      </c>
      <c r="AA325" s="442" t="s">
        <v>10</v>
      </c>
      <c r="AB325" s="442" t="s">
        <v>10</v>
      </c>
      <c r="AC325" s="445" t="s">
        <v>10</v>
      </c>
      <c r="AD325" t="s">
        <v>10</v>
      </c>
    </row>
    <row r="326" spans="1:30" x14ac:dyDescent="0.2">
      <c r="A326" s="667"/>
      <c r="B326" s="440">
        <v>99</v>
      </c>
      <c r="C326" s="446" t="s">
        <v>10</v>
      </c>
      <c r="D326" s="441" t="s">
        <v>10</v>
      </c>
      <c r="E326" s="441">
        <f>VLOOKUP(116.2,table_CIA_INLETS,2,FALSE)+VLOOKUP(116.3,table_CIA_INLETS,2,FALSE)+VLOOKUP(116.4,table_CIA_INLETS,2,FALSE)</f>
        <v>4.3</v>
      </c>
      <c r="F326" s="442" t="s">
        <v>10</v>
      </c>
      <c r="G326" s="441" t="s">
        <v>10</v>
      </c>
      <c r="H326" s="441">
        <f>VLOOKUP(116.2,table_CIA_INLETS,5,FALSE)+VLOOKUP(116.3,table_CIA_INLETS,5,FALSE)+VLOOKUP(116.4,table_CIA_INLETS,5,FALSE)</f>
        <v>2.15</v>
      </c>
      <c r="I326" s="441" t="s">
        <v>10</v>
      </c>
      <c r="J326" s="441">
        <f>VLOOKUP(116.2,table_CIA_INLETS,7,FALSE)+VLOOKUP(116.3,table_CIA_INLETS,7,FALSE)+VLOOKUP(116.4,table_CIA_INLETS,7,FALSE)</f>
        <v>2.15</v>
      </c>
      <c r="K326" s="443" t="s">
        <v>10</v>
      </c>
      <c r="L326" s="444" t="s">
        <v>10</v>
      </c>
      <c r="M326" s="442" t="s">
        <v>10</v>
      </c>
      <c r="N326" s="444" t="s">
        <v>10</v>
      </c>
      <c r="O326" s="444" t="s">
        <v>10</v>
      </c>
      <c r="P326" s="444">
        <f>VLOOKUP(116.3,table_CIA_INLETS,14,FALSE)</f>
        <v>24.809925898870578</v>
      </c>
      <c r="Q326" s="442">
        <f>cell_P*(P326^cell_E)</f>
        <v>0.74180431974269556</v>
      </c>
      <c r="R326" s="441">
        <f>J326*Q326</f>
        <v>1.5948792874467954</v>
      </c>
      <c r="S326" s="444">
        <v>18</v>
      </c>
      <c r="T326" s="442">
        <f>(4*R326)/(3.14159*(S326/12)^2)</f>
        <v>0.90251781914921092</v>
      </c>
      <c r="U326" s="443">
        <f>((R326/((0.463135/cell_NP)*((S326/12)^(8/3))))^2)*cell_FF</f>
        <v>2.6513776669214459E-4</v>
      </c>
      <c r="V326" s="444">
        <v>240</v>
      </c>
      <c r="W326" s="444">
        <f>V326/(T326*60)</f>
        <v>4.432045456754234</v>
      </c>
      <c r="X326" s="444">
        <f>W326+P326</f>
        <v>29.241971355624813</v>
      </c>
      <c r="Y326" s="442">
        <f>U326*V326</f>
        <v>6.3633064006114709E-2</v>
      </c>
      <c r="Z326" s="442">
        <f>IF(VLOOKUP(100,table_CIA_JCTS,25,FALSE)+VLOOKUP(99,table_CIA_JCTS,24,FALSE)&lt;VLOOKUP(99,table_CIA_JCTS,28,FALSE),VLOOKUP(99,table_CIA_JCTS,28,FALSE),VLOOKUP(100,table_CIA_JCTS,25,FALSE)+VLOOKUP(99,table_CIA_JCTS,24,FALSE))</f>
        <v>385.07981438123073</v>
      </c>
      <c r="AA326" s="442">
        <v>389</v>
      </c>
      <c r="AB326" s="442">
        <f>(AA326-0.5)-Z326</f>
        <v>3.420185618769267</v>
      </c>
      <c r="AC326" s="445" t="s">
        <v>10</v>
      </c>
      <c r="AD326" t="s">
        <v>10</v>
      </c>
    </row>
    <row r="327" spans="1:30" x14ac:dyDescent="0.2">
      <c r="A327" s="667"/>
      <c r="B327" s="440">
        <v>100</v>
      </c>
      <c r="C327" s="446" t="s">
        <v>10</v>
      </c>
      <c r="D327" s="441" t="s">
        <v>10</v>
      </c>
      <c r="E327" s="441">
        <f>VLOOKUP(98,table_CIA_JCTS,4,FALSE)+VLOOKUP(99,table_CIA_JCTS,4,FALSE)</f>
        <v>330.21999999999997</v>
      </c>
      <c r="F327" s="442" t="s">
        <v>10</v>
      </c>
      <c r="G327" s="441" t="s">
        <v>10</v>
      </c>
      <c r="H327" s="441">
        <f>VLOOKUP(98,table_CIA_JCTS,7,FALSE)+VLOOKUP(99,table_CIA_JCTS,7,FALSE)</f>
        <v>140.75039999999998</v>
      </c>
      <c r="I327" s="441" t="s">
        <v>10</v>
      </c>
      <c r="J327" s="441">
        <f>VLOOKUP(98,table_CIA_JCTS,9,FALSE)+VLOOKUP(99,table_CIA_JCTS,9,FALSE)</f>
        <v>147.89259999999999</v>
      </c>
      <c r="K327" s="443" t="s">
        <v>10</v>
      </c>
      <c r="L327" s="444" t="s">
        <v>10</v>
      </c>
      <c r="M327" s="442" t="s">
        <v>10</v>
      </c>
      <c r="N327" s="444" t="s">
        <v>10</v>
      </c>
      <c r="O327" s="444" t="s">
        <v>10</v>
      </c>
      <c r="P327" s="444">
        <f>VLOOKUP(98,table_CIA_JCTS,23,FALSE)</f>
        <v>80.916892839822708</v>
      </c>
      <c r="Q327" s="442">
        <f>cell_P*(P327^cell_E)</f>
        <v>0.35382594878470652</v>
      </c>
      <c r="R327" s="441">
        <f>J327*Q327</f>
        <v>52.328239513237087</v>
      </c>
      <c r="S327" s="444">
        <v>54</v>
      </c>
      <c r="T327" s="442">
        <f>(4*R327)/(3.14159*(S327/12)^2)</f>
        <v>3.2901945743986656</v>
      </c>
      <c r="U327" s="443">
        <f>((R327/((0.463135/cell_NP)*((S327/12)^(8/3))))^2)*cell_FF</f>
        <v>8.1440703026363628E-4</v>
      </c>
      <c r="V327" s="444">
        <v>376</v>
      </c>
      <c r="W327" s="444">
        <f>V327/(T327*60)</f>
        <v>1.9046492616054471</v>
      </c>
      <c r="X327" s="444">
        <f>W327+P327</f>
        <v>82.82154210142815</v>
      </c>
      <c r="Y327" s="442">
        <f>U327*V327</f>
        <v>0.30621704337912725</v>
      </c>
      <c r="Z327" s="442">
        <f>IF(VLOOKUP(132,table_CIA_JCTS,25,FALSE)+VLOOKUP(100,table_CIA_JCTS,24,FALSE)&lt;VLOOKUP(100,table_CIA_JCTS,28,FALSE),VLOOKUP(100,table_CIA_JCTS,28,FALSE),VLOOKUP(132,table_CIA_JCTS,25,FALSE)+VLOOKUP(100,table_CIA_JCTS,24,FALSE))</f>
        <v>385.01618131722461</v>
      </c>
      <c r="AA327" s="442">
        <v>390.51</v>
      </c>
      <c r="AB327" s="442">
        <f>(AA327-0.5)-Z327</f>
        <v>4.9938186827753839</v>
      </c>
      <c r="AC327" s="455">
        <v>383.9</v>
      </c>
      <c r="AD327" s="403" t="s">
        <v>525</v>
      </c>
    </row>
    <row r="328" spans="1:30" x14ac:dyDescent="0.2">
      <c r="A328" s="668"/>
      <c r="B328" s="440" t="s">
        <v>10</v>
      </c>
      <c r="C328" s="446" t="s">
        <v>10</v>
      </c>
      <c r="D328" s="441" t="s">
        <v>10</v>
      </c>
      <c r="E328" s="441" t="s">
        <v>10</v>
      </c>
      <c r="F328" s="442" t="s">
        <v>10</v>
      </c>
      <c r="G328" s="441" t="s">
        <v>10</v>
      </c>
      <c r="H328" s="441" t="s">
        <v>10</v>
      </c>
      <c r="I328" s="441" t="s">
        <v>10</v>
      </c>
      <c r="J328" s="441" t="s">
        <v>10</v>
      </c>
      <c r="K328" s="443" t="s">
        <v>10</v>
      </c>
      <c r="L328" s="444" t="s">
        <v>10</v>
      </c>
      <c r="M328" s="442" t="s">
        <v>10</v>
      </c>
      <c r="N328" s="444" t="s">
        <v>10</v>
      </c>
      <c r="O328" s="444" t="s">
        <v>10</v>
      </c>
      <c r="P328" s="444" t="s">
        <v>10</v>
      </c>
      <c r="Q328" s="442" t="s">
        <v>10</v>
      </c>
      <c r="R328" s="441" t="s">
        <v>10</v>
      </c>
      <c r="S328" s="444" t="s">
        <v>10</v>
      </c>
      <c r="T328" s="442" t="s">
        <v>10</v>
      </c>
      <c r="U328" s="443" t="s">
        <v>10</v>
      </c>
      <c r="V328" s="444" t="s">
        <v>10</v>
      </c>
      <c r="W328" s="444" t="s">
        <v>10</v>
      </c>
      <c r="X328" s="444" t="s">
        <v>10</v>
      </c>
      <c r="Y328" s="442" t="s">
        <v>10</v>
      </c>
      <c r="Z328" s="442" t="s">
        <v>10</v>
      </c>
      <c r="AA328" s="442" t="s">
        <v>10</v>
      </c>
      <c r="AB328" s="442" t="s">
        <v>10</v>
      </c>
      <c r="AC328" s="455">
        <v>383.4</v>
      </c>
      <c r="AD328" s="403" t="s">
        <v>533</v>
      </c>
    </row>
    <row r="329" spans="1:30" x14ac:dyDescent="0.2">
      <c r="A329" s="632" t="s">
        <v>585</v>
      </c>
      <c r="B329" s="633" t="s">
        <v>10</v>
      </c>
      <c r="C329" s="634">
        <v>117</v>
      </c>
      <c r="D329" s="635">
        <f>VLOOKUP(C329,table_DI,2)</f>
        <v>11.44</v>
      </c>
      <c r="E329" s="635" t="s">
        <v>10</v>
      </c>
      <c r="F329" s="636">
        <f>VLOOKUP(C329,table_DI,5)</f>
        <v>0.29807692307692313</v>
      </c>
      <c r="G329" s="635">
        <f>VLOOKUP(C329,table_DI,3)</f>
        <v>3</v>
      </c>
      <c r="H329" s="635" t="s">
        <v>10</v>
      </c>
      <c r="I329" s="635">
        <f>VLOOKUP(C329,table_DI,4)</f>
        <v>3.41</v>
      </c>
      <c r="J329" s="635" t="s">
        <v>10</v>
      </c>
      <c r="K329" s="637">
        <f>VLOOKUP(C329,table_DI,9)</f>
        <v>3.6698717948718275E-3</v>
      </c>
      <c r="L329" s="638">
        <f>VLOOKUP(C329,table_DI,8)</f>
        <v>624</v>
      </c>
      <c r="M329" s="636">
        <f>(0.84*(K329^0.5)*(cell_GUTDEP^0.6666)/cell_NRD)</f>
        <v>1.7837859000336076</v>
      </c>
      <c r="N329" s="638">
        <f>VLOOKUP(C329,table_DI,10)</f>
        <v>20</v>
      </c>
      <c r="O329" s="638">
        <f>(L329/(M329*60))</f>
        <v>5.8302961133418858</v>
      </c>
      <c r="P329" s="638">
        <f>N329+O329</f>
        <v>25.830296113341888</v>
      </c>
      <c r="Q329" s="636">
        <f t="shared" ref="Q329:Q335" si="22">cell_P*(P329^cell_E)</f>
        <v>0.72331655427340891</v>
      </c>
      <c r="R329" s="635">
        <f>Q329*I329</f>
        <v>2.4665094500723246</v>
      </c>
      <c r="S329" s="638" t="s">
        <v>10</v>
      </c>
      <c r="T329" s="636" t="s">
        <v>10</v>
      </c>
      <c r="U329" s="637" t="s">
        <v>10</v>
      </c>
      <c r="V329" s="638" t="s">
        <v>10</v>
      </c>
      <c r="W329" s="638" t="s">
        <v>10</v>
      </c>
      <c r="X329" s="638" t="s">
        <v>10</v>
      </c>
      <c r="Y329" s="636" t="s">
        <v>10</v>
      </c>
      <c r="Z329" s="636" t="s">
        <v>10</v>
      </c>
      <c r="AA329" s="636" t="s">
        <v>10</v>
      </c>
      <c r="AB329" s="636" t="s">
        <v>10</v>
      </c>
      <c r="AC329" s="639" t="s">
        <v>10</v>
      </c>
      <c r="AD329" t="s">
        <v>10</v>
      </c>
    </row>
    <row r="330" spans="1:30" x14ac:dyDescent="0.2">
      <c r="A330" s="632" t="s">
        <v>586</v>
      </c>
      <c r="B330" s="633" t="s">
        <v>10</v>
      </c>
      <c r="C330" s="634">
        <v>117.1</v>
      </c>
      <c r="D330" s="635">
        <f>VLOOKUP(C330,table_DI,2)</f>
        <v>1.8499999999999999</v>
      </c>
      <c r="E330" s="635" t="s">
        <v>10</v>
      </c>
      <c r="F330" s="636">
        <f>VLOOKUP(C330,table_DI,5)</f>
        <v>0.60540540540540555</v>
      </c>
      <c r="G330" s="635">
        <f>VLOOKUP(C330,table_DI,3)</f>
        <v>1.06</v>
      </c>
      <c r="H330" s="635" t="s">
        <v>10</v>
      </c>
      <c r="I330" s="635">
        <f>VLOOKUP(C330,table_DI,4)</f>
        <v>1.1200000000000001</v>
      </c>
      <c r="J330" s="635" t="s">
        <v>10</v>
      </c>
      <c r="K330" s="637">
        <f>VLOOKUP(C330,table_DI,9)</f>
        <v>4.602510460251022E-3</v>
      </c>
      <c r="L330" s="638">
        <f>VLOOKUP(C330,table_DI,8)</f>
        <v>478</v>
      </c>
      <c r="M330" s="636">
        <f>(0.84*(K330^0.5)*(cell_GUTDEP^0.6666)/cell_NRD)</f>
        <v>1.997628256488736</v>
      </c>
      <c r="N330" s="638">
        <f>VLOOKUP(C330,table_DI,10)</f>
        <v>20</v>
      </c>
      <c r="O330" s="638">
        <f>(L330/(M330*60))</f>
        <v>3.988062664206506</v>
      </c>
      <c r="P330" s="638">
        <f>N330+O330</f>
        <v>23.988062664206506</v>
      </c>
      <c r="Q330" s="636">
        <f t="shared" si="22"/>
        <v>0.75761898176920095</v>
      </c>
      <c r="R330" s="635">
        <f>Q330*I330</f>
        <v>0.84853325958150516</v>
      </c>
      <c r="S330" s="638" t="s">
        <v>10</v>
      </c>
      <c r="T330" s="636" t="s">
        <v>10</v>
      </c>
      <c r="U330" s="637" t="s">
        <v>10</v>
      </c>
      <c r="V330" s="638" t="s">
        <v>10</v>
      </c>
      <c r="W330" s="638" t="s">
        <v>10</v>
      </c>
      <c r="X330" s="638" t="s">
        <v>10</v>
      </c>
      <c r="Y330" s="636" t="s">
        <v>10</v>
      </c>
      <c r="Z330" s="636" t="s">
        <v>10</v>
      </c>
      <c r="AA330" s="636" t="s">
        <v>10</v>
      </c>
      <c r="AB330" s="636" t="s">
        <v>10</v>
      </c>
      <c r="AC330" s="639" t="s">
        <v>10</v>
      </c>
      <c r="AD330" t="s">
        <v>10</v>
      </c>
    </row>
    <row r="331" spans="1:30" x14ac:dyDescent="0.2">
      <c r="A331" s="632"/>
      <c r="B331" s="633" t="s">
        <v>10</v>
      </c>
      <c r="C331" s="634">
        <v>117.2</v>
      </c>
      <c r="D331" s="635">
        <f>VLOOKUP(C331,table_DI,2)</f>
        <v>2.16</v>
      </c>
      <c r="E331" s="635" t="s">
        <v>10</v>
      </c>
      <c r="F331" s="636">
        <f>VLOOKUP(C331,table_DI,5)</f>
        <v>0.55092592592592582</v>
      </c>
      <c r="G331" s="635">
        <f>VLOOKUP(C331,table_DI,3)</f>
        <v>1.19</v>
      </c>
      <c r="H331" s="635" t="s">
        <v>10</v>
      </c>
      <c r="I331" s="635">
        <f>VLOOKUP(C331,table_DI,4)</f>
        <v>1.19</v>
      </c>
      <c r="J331" s="635" t="s">
        <v>10</v>
      </c>
      <c r="K331" s="637">
        <f>VLOOKUP(C331,table_DI,9)</f>
        <v>3.6861313868612805E-3</v>
      </c>
      <c r="L331" s="638">
        <f>VLOOKUP(C331,table_DI,8)</f>
        <v>548</v>
      </c>
      <c r="M331" s="636">
        <f>(0.84*(K331^0.5)*(cell_GUTDEP^0.6666)/cell_NRD)</f>
        <v>1.7877331191641292</v>
      </c>
      <c r="N331" s="638">
        <f>VLOOKUP(C331,table_DI,10)</f>
        <v>20</v>
      </c>
      <c r="O331" s="638">
        <f>(L331/(M331*60))</f>
        <v>5.108890826838687</v>
      </c>
      <c r="P331" s="638">
        <f>N331+O331</f>
        <v>25.108890826838689</v>
      </c>
      <c r="Q331" s="636">
        <f t="shared" si="22"/>
        <v>0.73626105241151252</v>
      </c>
      <c r="R331" s="635">
        <f>Q331*I331</f>
        <v>0.87615065236969991</v>
      </c>
      <c r="S331" s="638" t="s">
        <v>10</v>
      </c>
      <c r="T331" s="636" t="s">
        <v>10</v>
      </c>
      <c r="U331" s="637" t="s">
        <v>10</v>
      </c>
      <c r="V331" s="638" t="s">
        <v>10</v>
      </c>
      <c r="W331" s="638" t="s">
        <v>10</v>
      </c>
      <c r="X331" s="638" t="s">
        <v>10</v>
      </c>
      <c r="Y331" s="636" t="s">
        <v>10</v>
      </c>
      <c r="Z331" s="636" t="s">
        <v>10</v>
      </c>
      <c r="AA331" s="636" t="s">
        <v>10</v>
      </c>
      <c r="AB331" s="636" t="s">
        <v>10</v>
      </c>
      <c r="AC331" s="639" t="s">
        <v>10</v>
      </c>
      <c r="AD331" t="s">
        <v>10</v>
      </c>
    </row>
    <row r="332" spans="1:30" ht="15.75" x14ac:dyDescent="0.25">
      <c r="A332" s="641"/>
      <c r="B332" s="633">
        <v>101</v>
      </c>
      <c r="C332" s="640" t="s">
        <v>10</v>
      </c>
      <c r="D332" s="635" t="s">
        <v>10</v>
      </c>
      <c r="E332" s="635">
        <f>VLOOKUP(117,table_CIA_INLETS,2,FALSE)+VLOOKUP(117.1,table_CIA_INLETS,2,FALSE)+VLOOKUP(117.2,table_CIA_INLETS,2,FALSE)</f>
        <v>15.45</v>
      </c>
      <c r="F332" s="636" t="s">
        <v>10</v>
      </c>
      <c r="G332" s="635" t="s">
        <v>10</v>
      </c>
      <c r="H332" s="635">
        <f>VLOOKUP(117,table_CIA_INLETS,5,FALSE)+VLOOKUP(117.1,table_CIA_INLETS,5,FALSE)+VLOOKUP(117.2,table_CIA_INLETS,5,FALSE)</f>
        <v>5.25</v>
      </c>
      <c r="I332" s="635" t="s">
        <v>10</v>
      </c>
      <c r="J332" s="635">
        <f>VLOOKUP(117,table_CIA_INLETS,7,FALSE)+VLOOKUP(117.1,table_CIA_INLETS,7,FALSE)+VLOOKUP(117.2,table_CIA_INLETS,7,FALSE)</f>
        <v>5.7200000000000006</v>
      </c>
      <c r="K332" s="637" t="s">
        <v>10</v>
      </c>
      <c r="L332" s="638" t="s">
        <v>10</v>
      </c>
      <c r="M332" s="636" t="s">
        <v>10</v>
      </c>
      <c r="N332" s="638"/>
      <c r="O332" s="645"/>
      <c r="P332" s="638">
        <f>VLOOKUP(117,table_CIA_INLETS,14,FALSE)</f>
        <v>25.830296113341888</v>
      </c>
      <c r="Q332" s="636">
        <f t="shared" si="22"/>
        <v>0.72331655427340891</v>
      </c>
      <c r="R332" s="635">
        <f>J332*Q332</f>
        <v>4.1373706904438992</v>
      </c>
      <c r="S332" s="646">
        <v>18</v>
      </c>
      <c r="T332" s="636">
        <f>(4*R332)/(3.14159*(S332/12)^2)</f>
        <v>2.3412748550575553</v>
      </c>
      <c r="U332" s="637">
        <f>((R332/((0.463135/cell_NP)*((S332/12)^(8/3))))^2)*cell_FF</f>
        <v>1.7842874671711885E-3</v>
      </c>
      <c r="V332" s="646">
        <v>626</v>
      </c>
      <c r="W332" s="638">
        <f>V332/(T332*60)</f>
        <v>4.4562616434356457</v>
      </c>
      <c r="X332" s="638">
        <f>W332+P332</f>
        <v>30.286557756777533</v>
      </c>
      <c r="Y332" s="636">
        <f>U332*V332</f>
        <v>1.1169639544491641</v>
      </c>
      <c r="Z332" s="636">
        <f>IF(VLOOKUP(101.1,table_CIA_JCTS,25,FALSE)+VLOOKUP(101,table_CIA_JCTS,24,FALSE)&lt;VLOOKUP(101,table_CIA_JCTS,28,FALSE),VLOOKUP(101,table_CIA_JCTS,28,FALSE),VLOOKUP(101.1,table_CIA_JCTS,25,FALSE)+VLOOKUP(101,table_CIA_JCTS,24,FALSE))</f>
        <v>395.09238083305024</v>
      </c>
      <c r="AA332" s="636">
        <v>401.35</v>
      </c>
      <c r="AB332" s="636">
        <f>(AA332-0.5)-Z332</f>
        <v>5.7576191669497803</v>
      </c>
      <c r="AC332" s="639" t="s">
        <v>10</v>
      </c>
      <c r="AD332" t="s">
        <v>10</v>
      </c>
    </row>
    <row r="333" spans="1:30" x14ac:dyDescent="0.2">
      <c r="A333" s="641"/>
      <c r="B333" s="633" t="s">
        <v>10</v>
      </c>
      <c r="C333" s="634">
        <v>118</v>
      </c>
      <c r="D333" s="635">
        <f>VLOOKUP(C333,table_DI,2)</f>
        <v>5.3199999999999994</v>
      </c>
      <c r="E333" s="635" t="s">
        <v>10</v>
      </c>
      <c r="F333" s="636">
        <f>VLOOKUP(C333,table_DI,5)</f>
        <v>0.59962406015037595</v>
      </c>
      <c r="G333" s="635">
        <f>VLOOKUP(C333,table_DI,3)</f>
        <v>2.78</v>
      </c>
      <c r="H333" s="635" t="s">
        <v>10</v>
      </c>
      <c r="I333" s="635">
        <f>VLOOKUP(C333,table_DI,4)</f>
        <v>3.19</v>
      </c>
      <c r="J333" s="635" t="s">
        <v>10</v>
      </c>
      <c r="K333" s="637">
        <f>VLOOKUP(C333,table_DI,9)</f>
        <v>1.9927536231884469E-3</v>
      </c>
      <c r="L333" s="638">
        <f>VLOOKUP(C333,table_DI,8)</f>
        <v>552</v>
      </c>
      <c r="M333" s="636">
        <f>(0.84*(K333^0.5)*(cell_GUTDEP^0.6666)/cell_NRD)</f>
        <v>1.314450040408037</v>
      </c>
      <c r="N333" s="638">
        <f>VLOOKUP(C333,table_DI,10)</f>
        <v>10</v>
      </c>
      <c r="O333" s="638">
        <f>(L333/(M333*60))</f>
        <v>6.9991248941984114</v>
      </c>
      <c r="P333" s="638">
        <f>N333+O333</f>
        <v>16.99912489419841</v>
      </c>
      <c r="Q333" s="636">
        <f t="shared" si="22"/>
        <v>0.93996289618840323</v>
      </c>
      <c r="R333" s="635">
        <f>Q333*I333</f>
        <v>2.9984816388410063</v>
      </c>
      <c r="S333" s="638" t="s">
        <v>10</v>
      </c>
      <c r="T333" s="636" t="s">
        <v>10</v>
      </c>
      <c r="U333" s="637" t="s">
        <v>10</v>
      </c>
      <c r="V333" s="638" t="s">
        <v>10</v>
      </c>
      <c r="W333" s="638" t="s">
        <v>10</v>
      </c>
      <c r="X333" s="638" t="s">
        <v>10</v>
      </c>
      <c r="Y333" s="636" t="s">
        <v>10</v>
      </c>
      <c r="Z333" s="636" t="s">
        <v>10</v>
      </c>
      <c r="AA333" s="636" t="s">
        <v>10</v>
      </c>
      <c r="AB333" s="636" t="s">
        <v>10</v>
      </c>
      <c r="AC333" s="639" t="s">
        <v>10</v>
      </c>
      <c r="AD333" t="s">
        <v>10</v>
      </c>
    </row>
    <row r="334" spans="1:30" x14ac:dyDescent="0.2">
      <c r="A334" s="641"/>
      <c r="B334" s="633" t="s">
        <v>10</v>
      </c>
      <c r="C334" s="634">
        <v>118.1</v>
      </c>
      <c r="D334" s="635">
        <f>VLOOKUP(C334,table_DI,2)</f>
        <v>7.65</v>
      </c>
      <c r="E334" s="635" t="s">
        <v>10</v>
      </c>
      <c r="F334" s="636">
        <f>VLOOKUP(C334,table_DI,5)</f>
        <v>0.55032679738562085</v>
      </c>
      <c r="G334" s="635">
        <f>VLOOKUP(C334,table_DI,3)</f>
        <v>4.21</v>
      </c>
      <c r="H334" s="635" t="s">
        <v>10</v>
      </c>
      <c r="I334" s="635">
        <f>VLOOKUP(C334,table_DI,4)</f>
        <v>4.21</v>
      </c>
      <c r="J334" s="635" t="s">
        <v>10</v>
      </c>
      <c r="K334" s="637">
        <f>VLOOKUP(C334,table_DI,9)</f>
        <v>2.361751152073746E-3</v>
      </c>
      <c r="L334" s="638">
        <f>VLOOKUP(C334,table_DI,8)</f>
        <v>868</v>
      </c>
      <c r="M334" s="636">
        <f>(0.84*(K334^0.5)*(cell_GUTDEP^0.6666)/cell_NRD)</f>
        <v>1.4309825846016937</v>
      </c>
      <c r="N334" s="638">
        <f>VLOOKUP(C334,table_DI,10)</f>
        <v>20</v>
      </c>
      <c r="O334" s="638">
        <f>(L334/(M334*60))</f>
        <v>10.109603584514193</v>
      </c>
      <c r="P334" s="638">
        <f>N334+O334</f>
        <v>30.109603584514193</v>
      </c>
      <c r="Q334" s="636">
        <f t="shared" si="22"/>
        <v>0.65711099031820264</v>
      </c>
      <c r="R334" s="635">
        <f>Q334*I334</f>
        <v>2.7664372692396331</v>
      </c>
      <c r="S334" s="638" t="s">
        <v>10</v>
      </c>
      <c r="T334" s="636" t="s">
        <v>10</v>
      </c>
      <c r="U334" s="637" t="s">
        <v>10</v>
      </c>
      <c r="V334" s="638" t="s">
        <v>10</v>
      </c>
      <c r="W334" s="638" t="s">
        <v>10</v>
      </c>
      <c r="X334" s="638" t="s">
        <v>10</v>
      </c>
      <c r="Y334" s="636" t="s">
        <v>10</v>
      </c>
      <c r="Z334" s="636" t="s">
        <v>10</v>
      </c>
      <c r="AA334" s="636" t="s">
        <v>10</v>
      </c>
      <c r="AB334" s="636" t="s">
        <v>10</v>
      </c>
      <c r="AC334" s="639" t="s">
        <v>10</v>
      </c>
      <c r="AD334" t="s">
        <v>10</v>
      </c>
    </row>
    <row r="335" spans="1:30" ht="15.75" x14ac:dyDescent="0.25">
      <c r="A335" s="641"/>
      <c r="B335" s="633">
        <v>101.1</v>
      </c>
      <c r="C335" s="640" t="s">
        <v>10</v>
      </c>
      <c r="D335" s="635" t="s">
        <v>10</v>
      </c>
      <c r="E335" s="635">
        <f>VLOOKUP(101,table_CIA_JCTS,4,FALSE)+VLOOKUP(118,table_CIA_INLETS,2,FALSE)+VLOOKUP(118.1,table_CIA_INLETS,2,FALSE)</f>
        <v>28.42</v>
      </c>
      <c r="F335" s="636" t="s">
        <v>10</v>
      </c>
      <c r="G335" s="635" t="s">
        <v>10</v>
      </c>
      <c r="H335" s="635">
        <f>VLOOKUP(101,table_CIA_JCTS,7,FALSE)+VLOOKUP(118,table_CIA_INLETS,5,FALSE)+VLOOKUP(118.1,table_CIA_INLETS,5,FALSE)</f>
        <v>12.239999999999998</v>
      </c>
      <c r="I335" s="635" t="s">
        <v>10</v>
      </c>
      <c r="J335" s="635">
        <f>VLOOKUP(101,table_CIA_JCTS,9,FALSE)+VLOOKUP(118,table_CIA_INLETS,7,FALSE)+VLOOKUP(118.1,table_CIA_INLETS,7,FALSE)</f>
        <v>13.120000000000001</v>
      </c>
      <c r="K335" s="637" t="s">
        <v>10</v>
      </c>
      <c r="L335" s="638" t="s">
        <v>10</v>
      </c>
      <c r="M335" s="636" t="s">
        <v>10</v>
      </c>
      <c r="N335" s="638" t="s">
        <v>10</v>
      </c>
      <c r="O335" s="638" t="s">
        <v>10</v>
      </c>
      <c r="P335" s="638">
        <f>VLOOKUP(101,table_CIA_JCTS,23,FALSE)</f>
        <v>30.286557756777533</v>
      </c>
      <c r="Q335" s="636">
        <f t="shared" si="22"/>
        <v>0.65470420172130073</v>
      </c>
      <c r="R335" s="635">
        <f>J335*Q335</f>
        <v>8.589719126583466</v>
      </c>
      <c r="S335" s="646">
        <v>24</v>
      </c>
      <c r="T335" s="636">
        <f>(4*R335)/(3.14159*(S335/12)^2)</f>
        <v>2.7341948270090835</v>
      </c>
      <c r="U335" s="637">
        <f>((R335/((0.463135/cell_NP)*((S335/12)^(8/3))))^2)*cell_FF</f>
        <v>1.6581887169110166E-3</v>
      </c>
      <c r="V335" s="646">
        <v>1716</v>
      </c>
      <c r="W335" s="638">
        <f>V335/(T335*60)</f>
        <v>10.460117807802796</v>
      </c>
      <c r="X335" s="638">
        <f>W335+P335</f>
        <v>40.746675564580329</v>
      </c>
      <c r="Y335" s="636">
        <f>U335*V335</f>
        <v>2.8454518382193044</v>
      </c>
      <c r="Z335" s="636">
        <f>IF(VLOOKUP(107,table_CIA_JCTS,25,FALSE)+VLOOKUP(101.1,table_CIA_JCTS,24,FALSE)&lt;VLOOKUP(101.1,table_CIA_JCTS,28,FALSE),VLOOKUP(101.1,table_CIA_JCTS,28,FALSE),VLOOKUP(107,table_CIA_JCTS,25,FALSE)+VLOOKUP(101.1,table_CIA_JCTS,24,FALSE))</f>
        <v>393.9754168786011</v>
      </c>
      <c r="AA335" s="636">
        <v>401.51</v>
      </c>
      <c r="AB335" s="636">
        <f>(AA335-0.5)-Z335</f>
        <v>7.0345831213988959</v>
      </c>
      <c r="AC335" s="639" t="s">
        <v>10</v>
      </c>
      <c r="AD335" t="s">
        <v>10</v>
      </c>
    </row>
    <row r="336" spans="1:30" x14ac:dyDescent="0.2">
      <c r="A336" s="641"/>
      <c r="B336" s="633" t="s">
        <v>10</v>
      </c>
      <c r="C336" s="640" t="s">
        <v>10</v>
      </c>
      <c r="D336" s="635" t="s">
        <v>10</v>
      </c>
      <c r="E336" s="635" t="s">
        <v>10</v>
      </c>
      <c r="F336" s="636" t="s">
        <v>10</v>
      </c>
      <c r="G336" s="635" t="s">
        <v>10</v>
      </c>
      <c r="H336" s="635" t="s">
        <v>10</v>
      </c>
      <c r="I336" s="635" t="s">
        <v>10</v>
      </c>
      <c r="J336" s="635" t="s">
        <v>10</v>
      </c>
      <c r="K336" s="637" t="s">
        <v>10</v>
      </c>
      <c r="L336" s="638" t="s">
        <v>10</v>
      </c>
      <c r="M336" s="636" t="s">
        <v>10</v>
      </c>
      <c r="N336" s="638" t="s">
        <v>10</v>
      </c>
      <c r="O336" s="638" t="s">
        <v>10</v>
      </c>
      <c r="P336" s="638" t="s">
        <v>10</v>
      </c>
      <c r="Q336" s="636" t="s">
        <v>10</v>
      </c>
      <c r="R336" s="635" t="s">
        <v>10</v>
      </c>
      <c r="S336" s="638" t="s">
        <v>10</v>
      </c>
      <c r="T336" s="636" t="s">
        <v>10</v>
      </c>
      <c r="U336" s="637" t="s">
        <v>10</v>
      </c>
      <c r="V336" s="638" t="s">
        <v>10</v>
      </c>
      <c r="W336" s="638" t="s">
        <v>10</v>
      </c>
      <c r="X336" s="638" t="s">
        <v>10</v>
      </c>
      <c r="Y336" s="636" t="s">
        <v>10</v>
      </c>
      <c r="Z336" s="636" t="s">
        <v>10</v>
      </c>
      <c r="AA336" s="636" t="s">
        <v>10</v>
      </c>
      <c r="AB336" s="636" t="s">
        <v>10</v>
      </c>
      <c r="AC336" s="639" t="s">
        <v>10</v>
      </c>
      <c r="AD336" t="s">
        <v>10</v>
      </c>
    </row>
    <row r="337" spans="1:30" x14ac:dyDescent="0.2">
      <c r="A337" s="641"/>
      <c r="B337" s="633" t="s">
        <v>10</v>
      </c>
      <c r="C337" s="634">
        <v>119</v>
      </c>
      <c r="D337" s="635">
        <f>VLOOKUP(C337,table_DI,2)</f>
        <v>0.99</v>
      </c>
      <c r="E337" s="635" t="s">
        <v>10</v>
      </c>
      <c r="F337" s="636">
        <f>VLOOKUP(C337,table_DI,5)</f>
        <v>0.54545454545454553</v>
      </c>
      <c r="G337" s="635">
        <f>VLOOKUP(C337,table_DI,3)</f>
        <v>0.54</v>
      </c>
      <c r="H337" s="635" t="s">
        <v>10</v>
      </c>
      <c r="I337" s="635">
        <f>VLOOKUP(C337,table_DI,4)</f>
        <v>0.54</v>
      </c>
      <c r="J337" s="635" t="s">
        <v>10</v>
      </c>
      <c r="K337" s="637">
        <f>VLOOKUP(C337,table_DI,9)</f>
        <v>3.2943925233644114E-3</v>
      </c>
      <c r="L337" s="638">
        <f>VLOOKUP(C337,table_DI,8)</f>
        <v>428</v>
      </c>
      <c r="M337" s="636">
        <f>(0.84*(K337^0.5)*(cell_GUTDEP^0.6666)/cell_NRD)</f>
        <v>1.6900710096045202</v>
      </c>
      <c r="N337" s="638">
        <f>VLOOKUP(C337,table_DI,10)</f>
        <v>20</v>
      </c>
      <c r="O337" s="638">
        <f>(L337/(M337*60))</f>
        <v>4.2207299532358391</v>
      </c>
      <c r="P337" s="638">
        <f>N337+O337</f>
        <v>24.220729953235839</v>
      </c>
      <c r="Q337" s="636">
        <f>cell_P*(P337^cell_E)</f>
        <v>0.75305341727306629</v>
      </c>
      <c r="R337" s="635">
        <f>Q337*I337</f>
        <v>0.40664884532745582</v>
      </c>
      <c r="S337" s="638" t="s">
        <v>10</v>
      </c>
      <c r="T337" s="636" t="s">
        <v>10</v>
      </c>
      <c r="U337" s="637" t="s">
        <v>10</v>
      </c>
      <c r="V337" s="638" t="s">
        <v>10</v>
      </c>
      <c r="W337" s="638" t="s">
        <v>10</v>
      </c>
      <c r="X337" s="638" t="s">
        <v>10</v>
      </c>
      <c r="Y337" s="636" t="s">
        <v>10</v>
      </c>
      <c r="Z337" s="636" t="s">
        <v>10</v>
      </c>
      <c r="AA337" s="636" t="s">
        <v>10</v>
      </c>
      <c r="AB337" s="636" t="s">
        <v>10</v>
      </c>
      <c r="AC337" s="639" t="s">
        <v>10</v>
      </c>
      <c r="AD337" t="s">
        <v>10</v>
      </c>
    </row>
    <row r="338" spans="1:30" x14ac:dyDescent="0.2">
      <c r="A338" s="641"/>
      <c r="B338" s="633" t="s">
        <v>10</v>
      </c>
      <c r="C338" s="634">
        <v>119.1</v>
      </c>
      <c r="D338" s="635">
        <f>VLOOKUP(C338,table_DI,2)</f>
        <v>6.17</v>
      </c>
      <c r="E338" s="635" t="s">
        <v>10</v>
      </c>
      <c r="F338" s="636">
        <f>VLOOKUP(C338,table_DI,5)</f>
        <v>0.50405186385737433</v>
      </c>
      <c r="G338" s="635">
        <f>VLOOKUP(C338,table_DI,3)</f>
        <v>2.59</v>
      </c>
      <c r="H338" s="635" t="s">
        <v>10</v>
      </c>
      <c r="I338" s="635">
        <f>VLOOKUP(C338,table_DI,4)</f>
        <v>3.11</v>
      </c>
      <c r="J338" s="635" t="s">
        <v>10</v>
      </c>
      <c r="K338" s="637" t="str">
        <f>VLOOKUP(C338,table_DI,9)</f>
        <v>N/A</v>
      </c>
      <c r="L338" s="638" t="str">
        <f>VLOOKUP(C338,table_DI,8)</f>
        <v>N/A</v>
      </c>
      <c r="M338" s="636">
        <f>(0.84*(K338^0.5)*(cell_GUTDEP^0.6666)/cell_NRD)</f>
        <v>0</v>
      </c>
      <c r="N338" s="638">
        <f>VLOOKUP(C338,table_DI,10)</f>
        <v>20</v>
      </c>
      <c r="O338" s="647" t="s">
        <v>254</v>
      </c>
      <c r="P338" s="638">
        <f>N338+O338</f>
        <v>20</v>
      </c>
      <c r="Q338" s="636">
        <f>cell_P*(P338^cell_E)</f>
        <v>0.84898270330636005</v>
      </c>
      <c r="R338" s="635">
        <f>Q338*I338</f>
        <v>2.6403362072827798</v>
      </c>
      <c r="S338" s="638" t="s">
        <v>10</v>
      </c>
      <c r="T338" s="636" t="s">
        <v>10</v>
      </c>
      <c r="U338" s="637" t="s">
        <v>10</v>
      </c>
      <c r="V338" s="638" t="s">
        <v>10</v>
      </c>
      <c r="W338" s="638" t="s">
        <v>10</v>
      </c>
      <c r="X338" s="638" t="s">
        <v>10</v>
      </c>
      <c r="Y338" s="636" t="s">
        <v>10</v>
      </c>
      <c r="Z338" s="636" t="s">
        <v>10</v>
      </c>
      <c r="AA338" s="636" t="s">
        <v>10</v>
      </c>
      <c r="AB338" s="636" t="s">
        <v>10</v>
      </c>
      <c r="AC338" s="639" t="s">
        <v>10</v>
      </c>
      <c r="AD338" t="s">
        <v>10</v>
      </c>
    </row>
    <row r="339" spans="1:30" ht="15.75" x14ac:dyDescent="0.25">
      <c r="A339" s="641"/>
      <c r="B339" s="633">
        <v>102</v>
      </c>
      <c r="C339" s="640" t="s">
        <v>10</v>
      </c>
      <c r="D339" s="635" t="s">
        <v>10</v>
      </c>
      <c r="E339" s="635">
        <f>VLOOKUP(119,table_CIA_INLETS,2,FALSE)+VLOOKUP(119.1,table_CIA_INLETS,2,FALSE)</f>
        <v>7.16</v>
      </c>
      <c r="F339" s="636" t="s">
        <v>10</v>
      </c>
      <c r="G339" s="635" t="s">
        <v>10</v>
      </c>
      <c r="H339" s="635">
        <f>VLOOKUP(119,table_CIA_INLETS,5,FALSE)+VLOOKUP(119.1,table_CIA_INLETS,5,FALSE)</f>
        <v>3.13</v>
      </c>
      <c r="I339" s="635" t="s">
        <v>10</v>
      </c>
      <c r="J339" s="635">
        <f>VLOOKUP(119,table_CIA_INLETS,7,FALSE)+VLOOKUP(119.1,table_CIA_INLETS,7,FALSE)</f>
        <v>3.65</v>
      </c>
      <c r="K339" s="637" t="s">
        <v>10</v>
      </c>
      <c r="L339" s="638" t="s">
        <v>10</v>
      </c>
      <c r="M339" s="636" t="s">
        <v>10</v>
      </c>
      <c r="N339" s="638" t="s">
        <v>10</v>
      </c>
      <c r="O339" s="638" t="s">
        <v>10</v>
      </c>
      <c r="P339" s="638">
        <f>VLOOKUP(119.1,table_CIA_INLETS,14,FALSE)</f>
        <v>20</v>
      </c>
      <c r="Q339" s="636">
        <f>cell_P*(P339^cell_E)</f>
        <v>0.84898270330636005</v>
      </c>
      <c r="R339" s="635">
        <f>J339*Q339</f>
        <v>3.0987868670682142</v>
      </c>
      <c r="S339" s="646">
        <v>18</v>
      </c>
      <c r="T339" s="636">
        <f>(4*R339)/(3.14159*(S339/12)^2)</f>
        <v>1.7535561388798322</v>
      </c>
      <c r="U339" s="637">
        <f>((R339/((0.463135/cell_NP)*((S339/12)^(8/3))))^2)*cell_FF</f>
        <v>1.0009200095260548E-3</v>
      </c>
      <c r="V339" s="646">
        <v>89</v>
      </c>
      <c r="W339" s="638">
        <f>V339/(T339*60)</f>
        <v>0.84590011146200517</v>
      </c>
      <c r="X339" s="638">
        <f>W339+P339</f>
        <v>20.845900111462004</v>
      </c>
      <c r="Y339" s="636">
        <f>U339*V339</f>
        <v>8.9081880847818887E-2</v>
      </c>
      <c r="Z339" s="636">
        <f>IF(VLOOKUP(102.1,table_CIA_JCTS,25,FALSE)+VLOOKUP(102,table_CIA_JCTS,24,FALSE)&lt;VLOOKUP(102,table_CIA_JCTS,28,FALSE),VLOOKUP(102,table_CIA_JCTS,28,FALSE),VLOOKUP(102.1,table_CIA_JCTS,25,FALSE)+VLOOKUP(102,table_CIA_JCTS,24,FALSE))</f>
        <v>392.76140216813701</v>
      </c>
      <c r="AA339" s="636">
        <v>402.4</v>
      </c>
      <c r="AB339" s="636">
        <f>(AA339-0.5)-Z339</f>
        <v>9.1385978318629668</v>
      </c>
      <c r="AC339" s="639" t="s">
        <v>10</v>
      </c>
      <c r="AD339" t="s">
        <v>10</v>
      </c>
    </row>
    <row r="340" spans="1:30" x14ac:dyDescent="0.2">
      <c r="A340" s="641"/>
      <c r="B340" s="633" t="s">
        <v>10</v>
      </c>
      <c r="C340" s="634">
        <v>119.2</v>
      </c>
      <c r="D340" s="635">
        <f>VLOOKUP(C340,table_DI,2)</f>
        <v>3.8600000000000003</v>
      </c>
      <c r="E340" s="635" t="s">
        <v>10</v>
      </c>
      <c r="F340" s="636">
        <f>VLOOKUP(C340,table_DI,5)</f>
        <v>0.67616580310880836</v>
      </c>
      <c r="G340" s="635">
        <f>VLOOKUP(C340,table_DI,3)</f>
        <v>2.21</v>
      </c>
      <c r="H340" s="635" t="s">
        <v>10</v>
      </c>
      <c r="I340" s="635">
        <f>VLOOKUP(C340,table_DI,4)</f>
        <v>2.6100000000000003</v>
      </c>
      <c r="J340" s="635" t="s">
        <v>10</v>
      </c>
      <c r="K340" s="637">
        <f>VLOOKUP(C340,table_DI,9)</f>
        <v>2.5238970588235118E-3</v>
      </c>
      <c r="L340" s="638">
        <f>VLOOKUP(C340,table_DI,8)</f>
        <v>1088</v>
      </c>
      <c r="M340" s="636">
        <f>(0.84*(K340^0.5)*(cell_GUTDEP^0.6666)/cell_NRD)</f>
        <v>1.4792892428868198</v>
      </c>
      <c r="N340" s="638">
        <f>VLOOKUP(C340,table_DI,10)</f>
        <v>20</v>
      </c>
      <c r="O340" s="638">
        <f>(L340/(M340*60))</f>
        <v>12.258139116827683</v>
      </c>
      <c r="P340" s="638">
        <f>N340+O340</f>
        <v>32.258139116827685</v>
      </c>
      <c r="Q340" s="636">
        <f>cell_P*(P340^cell_E)</f>
        <v>0.62935239508043284</v>
      </c>
      <c r="R340" s="635">
        <f>Q340*I340</f>
        <v>1.6426097511599298</v>
      </c>
      <c r="S340" s="638" t="s">
        <v>10</v>
      </c>
      <c r="T340" s="636" t="s">
        <v>10</v>
      </c>
      <c r="U340" s="637" t="s">
        <v>10</v>
      </c>
      <c r="V340" s="638" t="s">
        <v>10</v>
      </c>
      <c r="W340" s="638" t="s">
        <v>10</v>
      </c>
      <c r="X340" s="638" t="s">
        <v>10</v>
      </c>
      <c r="Y340" s="636" t="s">
        <v>10</v>
      </c>
      <c r="Z340" s="636" t="s">
        <v>10</v>
      </c>
      <c r="AA340" s="636" t="s">
        <v>10</v>
      </c>
      <c r="AB340" s="636" t="s">
        <v>10</v>
      </c>
      <c r="AC340" s="639" t="s">
        <v>10</v>
      </c>
      <c r="AD340" t="s">
        <v>10</v>
      </c>
    </row>
    <row r="341" spans="1:30" ht="15.75" x14ac:dyDescent="0.25">
      <c r="A341" s="641"/>
      <c r="B341" s="633">
        <v>102.1</v>
      </c>
      <c r="C341" s="640" t="s">
        <v>10</v>
      </c>
      <c r="D341" s="635" t="s">
        <v>10</v>
      </c>
      <c r="E341" s="635">
        <f>VLOOKUP(102,table_CIA_JCTS,4,FALSE)+VLOOKUP(119.2,table_CIA_INLETS,2,FALSE)</f>
        <v>11.02</v>
      </c>
      <c r="F341" s="636" t="s">
        <v>10</v>
      </c>
      <c r="G341" s="635" t="s">
        <v>10</v>
      </c>
      <c r="H341" s="635">
        <f>VLOOKUP(102,table_CIA_JCTS,7,FALSE)+VLOOKUP(119.2,table_CIA_INLETS,5,FALSE)</f>
        <v>5.34</v>
      </c>
      <c r="I341" s="635" t="s">
        <v>10</v>
      </c>
      <c r="J341" s="635">
        <f>VLOOKUP(102,table_CIA_JCTS,9,FALSE)+VLOOKUP(119.2,table_CIA_INLETS,7,FALSE)</f>
        <v>6.26</v>
      </c>
      <c r="K341" s="637" t="s">
        <v>10</v>
      </c>
      <c r="L341" s="638" t="s">
        <v>10</v>
      </c>
      <c r="M341" s="636" t="s">
        <v>10</v>
      </c>
      <c r="N341" s="638" t="s">
        <v>10</v>
      </c>
      <c r="O341" s="638" t="s">
        <v>10</v>
      </c>
      <c r="P341" s="638">
        <f>VLOOKUP(102,table_CIA_JCTS,23,FALSE)</f>
        <v>20.845900111462004</v>
      </c>
      <c r="Q341" s="636">
        <f>cell_P*(P341^cell_E)</f>
        <v>0.82724298495087556</v>
      </c>
      <c r="R341" s="635">
        <f>J341*Q341</f>
        <v>5.1785410857924807</v>
      </c>
      <c r="S341" s="646">
        <v>24</v>
      </c>
      <c r="T341" s="636">
        <f>(4*R341)/(3.14159*(S341/12)^2)</f>
        <v>1.6483822159455821</v>
      </c>
      <c r="U341" s="637">
        <f>((R341/((0.463135/cell_NP)*((S341/12)^(8/3))))^2)*cell_FF</f>
        <v>6.0268569275485093E-4</v>
      </c>
      <c r="V341" s="646">
        <v>38</v>
      </c>
      <c r="W341" s="638">
        <f>V341/(T341*60)</f>
        <v>0.3842150972067036</v>
      </c>
      <c r="X341" s="638">
        <f>W341+P341</f>
        <v>21.230115208668707</v>
      </c>
      <c r="Y341" s="636">
        <f>U341*V341</f>
        <v>2.2902056324684335E-2</v>
      </c>
      <c r="Z341" s="636">
        <f>IF(VLOOKUP(102.3,table_CIA_JCTS,25,FALSE)+VLOOKUP(102.1,table_CIA_JCTS,24,FALSE)&lt;VLOOKUP(102.1,table_CIA_JCTS,28,FALSE),VLOOKUP(102.1,table_CIA_JCTS,28,FALSE),VLOOKUP(102.3,table_CIA_JCTS,25,FALSE)+VLOOKUP(102.1,table_CIA_JCTS,24,FALSE))</f>
        <v>392.67232028728921</v>
      </c>
      <c r="AA341" s="636">
        <v>402.4</v>
      </c>
      <c r="AB341" s="636">
        <f>(AA341-0.5)-Z341</f>
        <v>9.227679712710767</v>
      </c>
      <c r="AC341" s="639" t="s">
        <v>10</v>
      </c>
      <c r="AD341" t="s">
        <v>10</v>
      </c>
    </row>
    <row r="342" spans="1:30" x14ac:dyDescent="0.2">
      <c r="A342" s="641"/>
      <c r="B342" s="633" t="s">
        <v>10</v>
      </c>
      <c r="C342" s="640" t="s">
        <v>10</v>
      </c>
      <c r="D342" s="635" t="s">
        <v>10</v>
      </c>
      <c r="E342" s="635" t="s">
        <v>10</v>
      </c>
      <c r="F342" s="636" t="s">
        <v>10</v>
      </c>
      <c r="G342" s="635" t="s">
        <v>10</v>
      </c>
      <c r="H342" s="635" t="s">
        <v>10</v>
      </c>
      <c r="I342" s="635" t="s">
        <v>10</v>
      </c>
      <c r="J342" s="635" t="s">
        <v>10</v>
      </c>
      <c r="K342" s="637" t="s">
        <v>10</v>
      </c>
      <c r="L342" s="638" t="s">
        <v>10</v>
      </c>
      <c r="M342" s="636" t="s">
        <v>10</v>
      </c>
      <c r="N342" s="638" t="s">
        <v>10</v>
      </c>
      <c r="O342" s="638" t="s">
        <v>10</v>
      </c>
      <c r="P342" s="638" t="s">
        <v>10</v>
      </c>
      <c r="Q342" s="636" t="s">
        <v>10</v>
      </c>
      <c r="R342" s="635" t="s">
        <v>10</v>
      </c>
      <c r="S342" s="638" t="s">
        <v>10</v>
      </c>
      <c r="T342" s="636" t="s">
        <v>10</v>
      </c>
      <c r="U342" s="637" t="s">
        <v>10</v>
      </c>
      <c r="V342" s="638" t="s">
        <v>10</v>
      </c>
      <c r="W342" s="638" t="s">
        <v>10</v>
      </c>
      <c r="X342" s="638" t="s">
        <v>10</v>
      </c>
      <c r="Y342" s="636" t="s">
        <v>10</v>
      </c>
      <c r="Z342" s="636" t="s">
        <v>10</v>
      </c>
      <c r="AA342" s="636" t="s">
        <v>10</v>
      </c>
      <c r="AB342" s="636" t="s">
        <v>10</v>
      </c>
      <c r="AC342" s="639" t="s">
        <v>10</v>
      </c>
      <c r="AD342" t="s">
        <v>10</v>
      </c>
    </row>
    <row r="343" spans="1:30" x14ac:dyDescent="0.2">
      <c r="A343" s="641"/>
      <c r="B343" s="633" t="s">
        <v>10</v>
      </c>
      <c r="C343" s="634">
        <v>120</v>
      </c>
      <c r="D343" s="635">
        <f>VLOOKUP(C343,table_DI,2)</f>
        <v>0.2</v>
      </c>
      <c r="E343" s="635" t="s">
        <v>10</v>
      </c>
      <c r="F343" s="636">
        <f>VLOOKUP(C343,table_DI,5)</f>
        <v>0.89999999999999991</v>
      </c>
      <c r="G343" s="635">
        <f>VLOOKUP(C343,table_DI,3)</f>
        <v>0.18</v>
      </c>
      <c r="H343" s="635" t="s">
        <v>10</v>
      </c>
      <c r="I343" s="635">
        <f>VLOOKUP(C343,table_DI,4)</f>
        <v>0.18</v>
      </c>
      <c r="J343" s="635" t="s">
        <v>10</v>
      </c>
      <c r="K343" s="637">
        <f>VLOOKUP(C343,table_DI,9)</f>
        <v>1.3793103448275917E-2</v>
      </c>
      <c r="L343" s="638">
        <f>VLOOKUP(C343,table_DI,8)</f>
        <v>203</v>
      </c>
      <c r="M343" s="636">
        <f>(0.84*(K343^0.5)*(cell_GUTDEP^0.6666)/cell_NRD)</f>
        <v>3.4581854332164732</v>
      </c>
      <c r="N343" s="638">
        <f>VLOOKUP(C343,table_DI,10)</f>
        <v>5</v>
      </c>
      <c r="O343" s="638">
        <f>(L343/(M343*60))</f>
        <v>0.97835509363836526</v>
      </c>
      <c r="P343" s="638">
        <f>N343+O343</f>
        <v>5.9783550936383651</v>
      </c>
      <c r="Q343" s="636">
        <f>cell_P*(P343^cell_E)</f>
        <v>1.8084577231536938</v>
      </c>
      <c r="R343" s="635">
        <f>Q343*I343</f>
        <v>0.32552239016766488</v>
      </c>
      <c r="S343" s="638" t="s">
        <v>10</v>
      </c>
      <c r="T343" s="636" t="s">
        <v>10</v>
      </c>
      <c r="U343" s="637" t="s">
        <v>10</v>
      </c>
      <c r="V343" s="638" t="s">
        <v>10</v>
      </c>
      <c r="W343" s="638" t="s">
        <v>10</v>
      </c>
      <c r="X343" s="638" t="s">
        <v>10</v>
      </c>
      <c r="Y343" s="636" t="s">
        <v>10</v>
      </c>
      <c r="Z343" s="636" t="s">
        <v>10</v>
      </c>
      <c r="AA343" s="636" t="s">
        <v>10</v>
      </c>
      <c r="AB343" s="636" t="s">
        <v>10</v>
      </c>
      <c r="AC343" s="639" t="s">
        <v>10</v>
      </c>
      <c r="AD343" t="s">
        <v>10</v>
      </c>
    </row>
    <row r="344" spans="1:30" ht="15.75" x14ac:dyDescent="0.25">
      <c r="A344" s="641"/>
      <c r="B344" s="633">
        <v>102.2</v>
      </c>
      <c r="C344" s="640" t="s">
        <v>10</v>
      </c>
      <c r="D344" s="635" t="s">
        <v>10</v>
      </c>
      <c r="E344" s="635">
        <f>VLOOKUP(120,table_CIA_INLETS,2,FALSE)</f>
        <v>0.2</v>
      </c>
      <c r="F344" s="636" t="s">
        <v>10</v>
      </c>
      <c r="G344" s="635" t="s">
        <v>10</v>
      </c>
      <c r="H344" s="635">
        <f>VLOOKUP(120,table_CIA_INLETS,5,FALSE)</f>
        <v>0.18</v>
      </c>
      <c r="I344" s="635" t="s">
        <v>10</v>
      </c>
      <c r="J344" s="635">
        <f>VLOOKUP(120,table_CIA_INLETS,7,FALSE)</f>
        <v>0.18</v>
      </c>
      <c r="K344" s="637" t="s">
        <v>10</v>
      </c>
      <c r="L344" s="638" t="s">
        <v>10</v>
      </c>
      <c r="M344" s="636" t="s">
        <v>10</v>
      </c>
      <c r="N344" s="638" t="s">
        <v>10</v>
      </c>
      <c r="O344" s="638" t="s">
        <v>10</v>
      </c>
      <c r="P344" s="638">
        <f>VLOOKUP(120,table_CIA_INLETS,14,FALSE)</f>
        <v>5.9783550936383651</v>
      </c>
      <c r="Q344" s="636">
        <f>cell_P*(P344^cell_E)</f>
        <v>1.8084577231536938</v>
      </c>
      <c r="R344" s="635">
        <f>J344*Q344</f>
        <v>0.32552239016766488</v>
      </c>
      <c r="S344" s="646">
        <v>18</v>
      </c>
      <c r="T344" s="636">
        <f>(4*R344)/(3.14159*(S344/12)^2)</f>
        <v>0.18420814664204496</v>
      </c>
      <c r="U344" s="637">
        <f>((R344/((0.463135/cell_NP)*((S344/12)^(8/3))))^2)*cell_FF</f>
        <v>1.1045304403181801E-5</v>
      </c>
      <c r="V344" s="646">
        <v>52</v>
      </c>
      <c r="W344" s="638">
        <f>V344/(T344*60)</f>
        <v>4.7048226827382491</v>
      </c>
      <c r="X344" s="638">
        <f>W344+P344</f>
        <v>10.683177776376613</v>
      </c>
      <c r="Y344" s="636">
        <f>U344*V344</f>
        <v>5.7435582896545371E-4</v>
      </c>
      <c r="Z344" s="636">
        <f>IF(VLOOKUP(102.3,table_CIA_JCTS,25,FALSE)+VLOOKUP(102.2,table_CIA_JCTS,24,FALSE)&lt;VLOOKUP(102.2,table_CIA_JCTS,28,FALSE),VLOOKUP(102.2,table_CIA_JCTS,28,FALSE),VLOOKUP(102.3,table_CIA_JCTS,25,FALSE)+VLOOKUP(102.2,table_CIA_JCTS,24,FALSE))</f>
        <v>392.64999258679347</v>
      </c>
      <c r="AA344" s="636">
        <v>403.03</v>
      </c>
      <c r="AB344" s="636">
        <f>(AA344-0.5)-Z344</f>
        <v>9.8800074132064992</v>
      </c>
      <c r="AC344" s="639" t="s">
        <v>10</v>
      </c>
      <c r="AD344" t="s">
        <v>10</v>
      </c>
    </row>
    <row r="345" spans="1:30" ht="15.75" x14ac:dyDescent="0.25">
      <c r="A345" s="641"/>
      <c r="B345" s="633">
        <v>102.3</v>
      </c>
      <c r="C345" s="640" t="s">
        <v>10</v>
      </c>
      <c r="D345" s="635" t="s">
        <v>10</v>
      </c>
      <c r="E345" s="635">
        <f>VLOOKUP(102.1,table_CIA_JCTS,4,FALSE)+VLOOKUP(102.2,table_CIA_JCTS,4,FALSE)</f>
        <v>11.219999999999999</v>
      </c>
      <c r="F345" s="636" t="s">
        <v>10</v>
      </c>
      <c r="G345" s="635" t="s">
        <v>10</v>
      </c>
      <c r="H345" s="635">
        <f>VLOOKUP(102.1,table_CIA_JCTS,7,FALSE)+VLOOKUP(102.2,table_CIA_JCTS,7,FALSE)</f>
        <v>5.52</v>
      </c>
      <c r="I345" s="635" t="s">
        <v>10</v>
      </c>
      <c r="J345" s="635">
        <f>VLOOKUP(102.1,table_CIA_JCTS,9,FALSE)+VLOOKUP(102.2,table_CIA_JCTS,9,FALSE)</f>
        <v>6.4399999999999995</v>
      </c>
      <c r="K345" s="637" t="s">
        <v>10</v>
      </c>
      <c r="L345" s="638" t="s">
        <v>10</v>
      </c>
      <c r="M345" s="636" t="s">
        <v>10</v>
      </c>
      <c r="N345" s="638" t="s">
        <v>10</v>
      </c>
      <c r="O345" s="638" t="s">
        <v>10</v>
      </c>
      <c r="P345" s="638">
        <f>VLOOKUP(102.1,table_CIA_JCTS,23,FALSE)</f>
        <v>21.230115208668707</v>
      </c>
      <c r="Q345" s="636">
        <f>cell_P*(P345^cell_E)</f>
        <v>0.8178360747837975</v>
      </c>
      <c r="R345" s="635">
        <f>J345*Q345</f>
        <v>5.2668643216076552</v>
      </c>
      <c r="S345" s="646">
        <v>24</v>
      </c>
      <c r="T345" s="636">
        <f>(4*R345)/(3.14159*(S345/12)^2)</f>
        <v>1.6764963988323287</v>
      </c>
      <c r="U345" s="637">
        <f>((R345/((0.463135/cell_NP)*((S345/12)^(8/3))))^2)*cell_FF</f>
        <v>6.2341936845531601E-4</v>
      </c>
      <c r="V345" s="646">
        <v>567</v>
      </c>
      <c r="W345" s="638">
        <f>V345/(T345*60)</f>
        <v>5.6367553229353051</v>
      </c>
      <c r="X345" s="638">
        <f>W345+P345</f>
        <v>26.866870531604011</v>
      </c>
      <c r="Y345" s="636">
        <f>U345*V345</f>
        <v>0.35347878191416415</v>
      </c>
      <c r="Z345" s="636">
        <f>IF(VLOOKUP(102.4,table_CIA_JCTS,25,FALSE)+VLOOKUP(102.3,table_CIA_JCTS,24,FALSE)&lt;VLOOKUP(102.3,table_CIA_JCTS,28,FALSE),VLOOKUP(102.3,table_CIA_JCTS,28,FALSE),VLOOKUP(102.4,table_CIA_JCTS,25,FALSE)+VLOOKUP(102.3,table_CIA_JCTS,24,FALSE))</f>
        <v>392.6494182309645</v>
      </c>
      <c r="AA345" s="636">
        <v>403.03</v>
      </c>
      <c r="AB345" s="636">
        <f>(AA345-0.5)-Z345</f>
        <v>9.8805817690354729</v>
      </c>
      <c r="AC345" s="639" t="s">
        <v>10</v>
      </c>
      <c r="AD345" t="s">
        <v>10</v>
      </c>
    </row>
    <row r="346" spans="1:30" x14ac:dyDescent="0.2">
      <c r="A346" s="641"/>
      <c r="B346" s="633" t="s">
        <v>10</v>
      </c>
      <c r="C346" s="634">
        <v>121</v>
      </c>
      <c r="D346" s="635">
        <f>VLOOKUP(C346,table_DI,2)</f>
        <v>6.2899999999999991</v>
      </c>
      <c r="E346" s="635" t="s">
        <v>10</v>
      </c>
      <c r="F346" s="636">
        <f>VLOOKUP(C346,table_DI,5)</f>
        <v>0.31637519872813996</v>
      </c>
      <c r="G346" s="635">
        <f>VLOOKUP(C346,table_DI,3)</f>
        <v>1.77</v>
      </c>
      <c r="H346" s="635" t="s">
        <v>10</v>
      </c>
      <c r="I346" s="635">
        <f>VLOOKUP(C346,table_DI,4)</f>
        <v>1.9900000000000002</v>
      </c>
      <c r="J346" s="635" t="s">
        <v>10</v>
      </c>
      <c r="K346" s="637">
        <f>VLOOKUP(C346,table_DI,9)</f>
        <v>1.7195512820512486E-3</v>
      </c>
      <c r="L346" s="638">
        <f>VLOOKUP(C346,table_DI,8)</f>
        <v>1248</v>
      </c>
      <c r="M346" s="636">
        <f>(0.84*(K346^0.5)*(cell_GUTDEP^0.6666)/cell_NRD)</f>
        <v>1.2210258167020565</v>
      </c>
      <c r="N346" s="638">
        <f>VLOOKUP(C346,table_DI,10)</f>
        <v>20</v>
      </c>
      <c r="O346" s="638">
        <f>(L346/(M346*60))</f>
        <v>17.034856851905062</v>
      </c>
      <c r="P346" s="638">
        <f>N346+O346</f>
        <v>37.034856851905062</v>
      </c>
      <c r="Q346" s="636">
        <f>cell_P*(P346^cell_E)</f>
        <v>0.57721794428658924</v>
      </c>
      <c r="R346" s="635">
        <f>Q346*I346</f>
        <v>1.1486637091303127</v>
      </c>
      <c r="S346" s="638" t="s">
        <v>10</v>
      </c>
      <c r="T346" s="636" t="s">
        <v>10</v>
      </c>
      <c r="U346" s="637" t="s">
        <v>10</v>
      </c>
      <c r="V346" s="638" t="s">
        <v>10</v>
      </c>
      <c r="W346" s="638" t="s">
        <v>10</v>
      </c>
      <c r="X346" s="638" t="s">
        <v>10</v>
      </c>
      <c r="Y346" s="636" t="s">
        <v>10</v>
      </c>
      <c r="Z346" s="636" t="s">
        <v>10</v>
      </c>
      <c r="AA346" s="636" t="s">
        <v>10</v>
      </c>
      <c r="AB346" s="636" t="s">
        <v>10</v>
      </c>
      <c r="AC346" s="639" t="s">
        <v>10</v>
      </c>
      <c r="AD346" t="s">
        <v>10</v>
      </c>
    </row>
    <row r="347" spans="1:30" ht="15.75" x14ac:dyDescent="0.25">
      <c r="A347" s="641"/>
      <c r="B347" s="633">
        <v>102.4</v>
      </c>
      <c r="C347" s="640" t="s">
        <v>10</v>
      </c>
      <c r="D347" s="635" t="s">
        <v>10</v>
      </c>
      <c r="E347" s="635">
        <f>VLOOKUP(102.3,table_CIA_JCTS,4,FALSE)+VLOOKUP(121,table_CIA_INLETS,2,FALSE)</f>
        <v>17.509999999999998</v>
      </c>
      <c r="F347" s="636" t="s">
        <v>10</v>
      </c>
      <c r="G347" s="635" t="s">
        <v>10</v>
      </c>
      <c r="H347" s="635">
        <f>VLOOKUP(102.3,table_CIA_JCTS,7,FALSE)+VLOOKUP(121,table_CIA_INLETS,5,FALSE)</f>
        <v>7.2899999999999991</v>
      </c>
      <c r="I347" s="635" t="s">
        <v>10</v>
      </c>
      <c r="J347" s="635">
        <f>VLOOKUP(102.3,table_CIA_JCTS,9,FALSE)+VLOOKUP(121,table_CIA_INLETS,7,FALSE)</f>
        <v>8.43</v>
      </c>
      <c r="K347" s="637" t="s">
        <v>10</v>
      </c>
      <c r="L347" s="638" t="s">
        <v>10</v>
      </c>
      <c r="M347" s="636" t="s">
        <v>10</v>
      </c>
      <c r="N347" s="638" t="s">
        <v>10</v>
      </c>
      <c r="O347" s="638" t="s">
        <v>10</v>
      </c>
      <c r="P347" s="638">
        <f>VLOOKUP(102.3,table_CIA_JCTS,23,FALSE)</f>
        <v>26.866870531604011</v>
      </c>
      <c r="Q347" s="636">
        <f>cell_P*(P347^cell_E)</f>
        <v>0.70571295254578736</v>
      </c>
      <c r="R347" s="635">
        <f>J347*Q347</f>
        <v>5.9491601899609874</v>
      </c>
      <c r="S347" s="646">
        <v>24</v>
      </c>
      <c r="T347" s="636">
        <f>(4*R347)/(3.14159*(S347/12)^2)</f>
        <v>1.8936781024770857</v>
      </c>
      <c r="U347" s="637">
        <f>((R347/((0.463135/cell_NP)*((S347/12)^(8/3))))^2)*cell_FF</f>
        <v>7.9540323973876549E-4</v>
      </c>
      <c r="V347" s="646">
        <v>315</v>
      </c>
      <c r="W347" s="638">
        <f>V347/(T347*60)</f>
        <v>2.7723824831329944</v>
      </c>
      <c r="X347" s="638">
        <f>W347+P347</f>
        <v>29.639253014737005</v>
      </c>
      <c r="Y347" s="636">
        <f>U347*V347</f>
        <v>0.25055202051771114</v>
      </c>
      <c r="Z347" s="636">
        <f>IF(VLOOKUP(103.3,table_CIA_JCTS,25,FALSE)+VLOOKUP(102.4,table_CIA_JCTS,24,FALSE)&lt;VLOOKUP(102.4,table_CIA_JCTS,28,FALSE),VLOOKUP(102.4,table_CIA_JCTS,28,FALSE),VLOOKUP(103.3,table_CIA_JCTS,25,FALSE)+VLOOKUP(102.4,table_CIA_JCTS,24,FALSE))</f>
        <v>392.29593944905031</v>
      </c>
      <c r="AA347" s="636">
        <v>403</v>
      </c>
      <c r="AB347" s="636">
        <f>(AA347-0.5)-Z347</f>
        <v>10.204060550949691</v>
      </c>
      <c r="AC347" s="639" t="s">
        <v>10</v>
      </c>
      <c r="AD347" t="s">
        <v>10</v>
      </c>
    </row>
    <row r="348" spans="1:30" x14ac:dyDescent="0.2">
      <c r="A348" s="641"/>
      <c r="B348" s="633" t="s">
        <v>10</v>
      </c>
      <c r="C348" s="640" t="s">
        <v>10</v>
      </c>
      <c r="D348" s="635" t="s">
        <v>10</v>
      </c>
      <c r="E348" s="635" t="s">
        <v>10</v>
      </c>
      <c r="F348" s="636" t="s">
        <v>10</v>
      </c>
      <c r="G348" s="635" t="s">
        <v>10</v>
      </c>
      <c r="H348" s="635" t="s">
        <v>10</v>
      </c>
      <c r="I348" s="635" t="s">
        <v>10</v>
      </c>
      <c r="J348" s="635" t="s">
        <v>10</v>
      </c>
      <c r="K348" s="637" t="s">
        <v>10</v>
      </c>
      <c r="L348" s="638" t="s">
        <v>10</v>
      </c>
      <c r="M348" s="636" t="s">
        <v>10</v>
      </c>
      <c r="N348" s="638" t="s">
        <v>10</v>
      </c>
      <c r="O348" s="638" t="s">
        <v>10</v>
      </c>
      <c r="P348" s="638" t="s">
        <v>10</v>
      </c>
      <c r="Q348" s="636" t="s">
        <v>10</v>
      </c>
      <c r="R348" s="635" t="s">
        <v>10</v>
      </c>
      <c r="S348" s="638" t="s">
        <v>10</v>
      </c>
      <c r="T348" s="636" t="s">
        <v>10</v>
      </c>
      <c r="U348" s="637" t="s">
        <v>10</v>
      </c>
      <c r="V348" s="638" t="s">
        <v>10</v>
      </c>
      <c r="W348" s="638" t="s">
        <v>10</v>
      </c>
      <c r="X348" s="638" t="s">
        <v>10</v>
      </c>
      <c r="Y348" s="636" t="s">
        <v>10</v>
      </c>
      <c r="Z348" s="636" t="s">
        <v>10</v>
      </c>
      <c r="AA348" s="636" t="s">
        <v>10</v>
      </c>
      <c r="AB348" s="636" t="s">
        <v>10</v>
      </c>
      <c r="AC348" s="639" t="s">
        <v>10</v>
      </c>
      <c r="AD348" t="s">
        <v>10</v>
      </c>
    </row>
    <row r="349" spans="1:30" x14ac:dyDescent="0.2">
      <c r="A349" s="641"/>
      <c r="B349" s="633" t="s">
        <v>10</v>
      </c>
      <c r="C349" s="634">
        <v>122</v>
      </c>
      <c r="D349" s="635">
        <f>VLOOKUP(C349,table_DI,2)</f>
        <v>40.35</v>
      </c>
      <c r="E349" s="635" t="s">
        <v>10</v>
      </c>
      <c r="F349" s="636">
        <f>VLOOKUP(C349,table_DI,5)</f>
        <v>0.27211895910780665</v>
      </c>
      <c r="G349" s="635">
        <f>VLOOKUP(C349,table_DI,3)</f>
        <v>9.52</v>
      </c>
      <c r="H349" s="635" t="s">
        <v>10</v>
      </c>
      <c r="I349" s="635">
        <f>VLOOKUP(C349,table_DI,4)</f>
        <v>10.979999999999999</v>
      </c>
      <c r="J349" s="635" t="s">
        <v>10</v>
      </c>
      <c r="K349" s="637">
        <f>VLOOKUP(C349,table_DI,9)</f>
        <v>2.4125874125874047E-3</v>
      </c>
      <c r="L349" s="638">
        <f>VLOOKUP(C349,table_DI,8)</f>
        <v>858</v>
      </c>
      <c r="M349" s="636">
        <f>(0.84*(K349^0.5)*(cell_GUTDEP^0.6666)/cell_NRD)</f>
        <v>1.4463014086429629</v>
      </c>
      <c r="N349" s="638">
        <f>VLOOKUP(C349,table_DI,10)</f>
        <v>20</v>
      </c>
      <c r="O349" s="638">
        <f>(L349/(M349*60))</f>
        <v>9.8872889942196895</v>
      </c>
      <c r="P349" s="638">
        <f>N349+O349</f>
        <v>29.887288994219688</v>
      </c>
      <c r="Q349" s="636">
        <f t="shared" ref="Q349:Q381" si="23">cell_P*(P349^cell_E)</f>
        <v>0.66016753741947276</v>
      </c>
      <c r="R349" s="635">
        <f>Q349*I349</f>
        <v>7.2486395608658096</v>
      </c>
      <c r="S349" s="638" t="s">
        <v>10</v>
      </c>
      <c r="T349" s="636" t="s">
        <v>10</v>
      </c>
      <c r="U349" s="637" t="s">
        <v>10</v>
      </c>
      <c r="V349" s="638" t="s">
        <v>10</v>
      </c>
      <c r="W349" s="638" t="s">
        <v>10</v>
      </c>
      <c r="X349" s="638" t="s">
        <v>10</v>
      </c>
      <c r="Y349" s="636" t="s">
        <v>10</v>
      </c>
      <c r="Z349" s="636" t="s">
        <v>10</v>
      </c>
      <c r="AA349" s="636" t="s">
        <v>10</v>
      </c>
      <c r="AB349" s="636" t="s">
        <v>10</v>
      </c>
      <c r="AC349" s="639" t="s">
        <v>10</v>
      </c>
      <c r="AD349" t="s">
        <v>10</v>
      </c>
    </row>
    <row r="350" spans="1:30" x14ac:dyDescent="0.2">
      <c r="A350" s="641"/>
      <c r="B350" s="633" t="s">
        <v>10</v>
      </c>
      <c r="C350" s="634">
        <v>122.1</v>
      </c>
      <c r="D350" s="635">
        <f>VLOOKUP(C350,table_DI,2)</f>
        <v>4.04</v>
      </c>
      <c r="E350" s="635" t="s">
        <v>10</v>
      </c>
      <c r="F350" s="636">
        <f>VLOOKUP(C350,table_DI,5)</f>
        <v>0.5</v>
      </c>
      <c r="G350" s="635">
        <f>VLOOKUP(C350,table_DI,3)</f>
        <v>2.02</v>
      </c>
      <c r="H350" s="635" t="s">
        <v>10</v>
      </c>
      <c r="I350" s="635">
        <f>VLOOKUP(C350,table_DI,4)</f>
        <v>2.02</v>
      </c>
      <c r="J350" s="635" t="s">
        <v>10</v>
      </c>
      <c r="K350" s="637">
        <f>VLOOKUP(C350,table_DI,9)</f>
        <v>3.5412026726057981E-3</v>
      </c>
      <c r="L350" s="638">
        <f>VLOOKUP(C350,table_DI,8)</f>
        <v>898</v>
      </c>
      <c r="M350" s="636">
        <f>(0.84*(K350^0.5)*(cell_GUTDEP^0.6666)/cell_NRD)</f>
        <v>1.7522362957278168</v>
      </c>
      <c r="N350" s="638">
        <f>VLOOKUP(C350,table_DI,10)</f>
        <v>20</v>
      </c>
      <c r="O350" s="638">
        <f>(L350/(M350*60))</f>
        <v>8.5414659559086719</v>
      </c>
      <c r="P350" s="638">
        <f>N350+O350</f>
        <v>28.54146595590867</v>
      </c>
      <c r="Q350" s="636">
        <f>cell_P*(P350^cell_E)</f>
        <v>0.6794923657359131</v>
      </c>
      <c r="R350" s="635">
        <f>Q350*I350</f>
        <v>1.3725745787865444</v>
      </c>
      <c r="S350" s="638" t="s">
        <v>10</v>
      </c>
      <c r="T350" s="636" t="s">
        <v>10</v>
      </c>
      <c r="U350" s="637" t="s">
        <v>10</v>
      </c>
      <c r="V350" s="638" t="s">
        <v>10</v>
      </c>
      <c r="W350" s="638" t="s">
        <v>10</v>
      </c>
      <c r="X350" s="638" t="s">
        <v>10</v>
      </c>
      <c r="Y350" s="636" t="s">
        <v>10</v>
      </c>
      <c r="Z350" s="636" t="s">
        <v>10</v>
      </c>
      <c r="AA350" s="636" t="s">
        <v>10</v>
      </c>
      <c r="AB350" s="636" t="s">
        <v>10</v>
      </c>
      <c r="AC350" s="639" t="s">
        <v>10</v>
      </c>
      <c r="AD350" t="s">
        <v>10</v>
      </c>
    </row>
    <row r="351" spans="1:30" x14ac:dyDescent="0.2">
      <c r="A351" s="641"/>
      <c r="B351" s="633" t="s">
        <v>10</v>
      </c>
      <c r="C351" s="634">
        <v>122.2</v>
      </c>
      <c r="D351" s="635">
        <f>VLOOKUP(C351,table_DI,2)</f>
        <v>4.8099999999999996</v>
      </c>
      <c r="E351" s="635" t="s">
        <v>10</v>
      </c>
      <c r="F351" s="636">
        <f>VLOOKUP(C351,table_DI,5)</f>
        <v>0.50103950103950112</v>
      </c>
      <c r="G351" s="635">
        <f>VLOOKUP(C351,table_DI,3)</f>
        <v>2.41</v>
      </c>
      <c r="H351" s="635" t="s">
        <v>10</v>
      </c>
      <c r="I351" s="635">
        <f>VLOOKUP(C351,table_DI,4)</f>
        <v>2.41</v>
      </c>
      <c r="J351" s="635" t="s">
        <v>10</v>
      </c>
      <c r="K351" s="637">
        <f>VLOOKUP(C351,table_DI,9)</f>
        <v>2.6359338061465935E-3</v>
      </c>
      <c r="L351" s="638">
        <f>VLOOKUP(C351,table_DI,8)</f>
        <v>846</v>
      </c>
      <c r="M351" s="636">
        <f>(0.84*(K351^0.5)*(cell_GUTDEP^0.6666)/cell_NRD)</f>
        <v>1.5117658491602224</v>
      </c>
      <c r="N351" s="638">
        <f>VLOOKUP(C351,table_DI,10)</f>
        <v>20</v>
      </c>
      <c r="O351" s="638">
        <f>(L351/(M351*60))</f>
        <v>9.3268411955677344</v>
      </c>
      <c r="P351" s="638">
        <f>N351+O351</f>
        <v>29.326841195567734</v>
      </c>
      <c r="Q351" s="636">
        <f t="shared" si="23"/>
        <v>0.66803974645452313</v>
      </c>
      <c r="R351" s="635">
        <f>Q351*I351</f>
        <v>1.6099757889554009</v>
      </c>
      <c r="S351" s="638" t="s">
        <v>10</v>
      </c>
      <c r="T351" s="636" t="s">
        <v>10</v>
      </c>
      <c r="U351" s="637" t="s">
        <v>10</v>
      </c>
      <c r="V351" s="638" t="s">
        <v>10</v>
      </c>
      <c r="W351" s="638" t="s">
        <v>10</v>
      </c>
      <c r="X351" s="638" t="s">
        <v>10</v>
      </c>
      <c r="Y351" s="636" t="s">
        <v>10</v>
      </c>
      <c r="Z351" s="636" t="s">
        <v>10</v>
      </c>
      <c r="AA351" s="636" t="s">
        <v>10</v>
      </c>
      <c r="AB351" s="636" t="s">
        <v>10</v>
      </c>
      <c r="AC351" s="639" t="s">
        <v>10</v>
      </c>
      <c r="AD351" t="s">
        <v>10</v>
      </c>
    </row>
    <row r="352" spans="1:30" ht="15.75" x14ac:dyDescent="0.25">
      <c r="A352" s="641"/>
      <c r="B352" s="633">
        <v>103</v>
      </c>
      <c r="C352" s="640" t="s">
        <v>10</v>
      </c>
      <c r="D352" s="635" t="s">
        <v>10</v>
      </c>
      <c r="E352" s="635">
        <f>VLOOKUP(122,table_CIA_INLETS,2,FALSE)+VLOOKUP(122.1,table_CIA_INLETS,2,FALSE)+VLOOKUP(122.2,table_CIA_INLETS,2,FALSE)</f>
        <v>49.2</v>
      </c>
      <c r="F352" s="636" t="s">
        <v>10</v>
      </c>
      <c r="G352" s="635" t="s">
        <v>10</v>
      </c>
      <c r="H352" s="635">
        <f>VLOOKUP(122,table_CIA_INLETS,5,FALSE)+VLOOKUP(122.1,table_CIA_INLETS,5,FALSE)+VLOOKUP(122.2,table_CIA_INLETS,5,FALSE)</f>
        <v>13.95</v>
      </c>
      <c r="I352" s="635" t="s">
        <v>10</v>
      </c>
      <c r="J352" s="635">
        <f>VLOOKUP(122,table_CIA_INLETS,7,FALSE)+VLOOKUP(122.1,table_CIA_INLETS,7,FALSE)+VLOOKUP(122.2,table_CIA_INLETS,7,FALSE)</f>
        <v>15.409999999999998</v>
      </c>
      <c r="K352" s="637" t="s">
        <v>10</v>
      </c>
      <c r="L352" s="638" t="s">
        <v>10</v>
      </c>
      <c r="M352" s="636" t="s">
        <v>10</v>
      </c>
      <c r="N352" s="638" t="s">
        <v>10</v>
      </c>
      <c r="O352" s="638" t="s">
        <v>10</v>
      </c>
      <c r="P352" s="638">
        <f>VLOOKUP(122,table_CIA_INLETS,14,FALSE)</f>
        <v>29.887288994219688</v>
      </c>
      <c r="Q352" s="636">
        <f t="shared" si="23"/>
        <v>0.66016753741947276</v>
      </c>
      <c r="R352" s="635">
        <f>J352*Q352</f>
        <v>10.173181751634074</v>
      </c>
      <c r="S352" s="648">
        <v>24</v>
      </c>
      <c r="T352" s="636">
        <f>(4*R352)/(3.14159*(S352/12)^2)</f>
        <v>3.2382270607030432</v>
      </c>
      <c r="U352" s="637">
        <f>((R352/((0.463135/cell_NP)*((S352/12)^(8/3))))^2)*cell_FF</f>
        <v>2.3258924904434783E-3</v>
      </c>
      <c r="V352" s="646">
        <v>935</v>
      </c>
      <c r="W352" s="638">
        <f>V352/(T352*60)</f>
        <v>4.81230409147099</v>
      </c>
      <c r="X352" s="638">
        <f>W352+P352</f>
        <v>34.69959308569068</v>
      </c>
      <c r="Y352" s="636">
        <f>U352*V352</f>
        <v>2.1747094785646524</v>
      </c>
      <c r="Z352" s="636">
        <f>IF(VLOOKUP(103.2,table_CIA_JCTS,25,FALSE)+VLOOKUP(103,table_CIA_JCTS,24,FALSE)&lt;VLOOKUP(103,table_CIA_JCTS,28,FALSE),VLOOKUP(103,table_CIA_JCTS,28,FALSE),VLOOKUP(103.2,table_CIA_JCTS,25,FALSE)+VLOOKUP(103,table_CIA_JCTS,24,FALSE))</f>
        <v>394.56865199797977</v>
      </c>
      <c r="AA352" s="636">
        <v>401.04</v>
      </c>
      <c r="AB352" s="636">
        <f>(AA352-0.5)-Z352</f>
        <v>5.9713480020202496</v>
      </c>
      <c r="AC352" s="639" t="s">
        <v>10</v>
      </c>
      <c r="AD352" t="s">
        <v>10</v>
      </c>
    </row>
    <row r="353" spans="1:30" x14ac:dyDescent="0.2">
      <c r="A353" s="641"/>
      <c r="B353" s="633" t="s">
        <v>10</v>
      </c>
      <c r="C353" s="640" t="s">
        <v>10</v>
      </c>
      <c r="D353" s="635" t="s">
        <v>10</v>
      </c>
      <c r="E353" s="635" t="s">
        <v>10</v>
      </c>
      <c r="F353" s="636" t="s">
        <v>10</v>
      </c>
      <c r="G353" s="635" t="s">
        <v>10</v>
      </c>
      <c r="H353" s="635" t="s">
        <v>10</v>
      </c>
      <c r="I353" s="635" t="s">
        <v>10</v>
      </c>
      <c r="J353" s="635" t="s">
        <v>10</v>
      </c>
      <c r="K353" s="637" t="s">
        <v>10</v>
      </c>
      <c r="L353" s="638" t="s">
        <v>10</v>
      </c>
      <c r="M353" s="636" t="s">
        <v>10</v>
      </c>
      <c r="N353" s="638" t="s">
        <v>10</v>
      </c>
      <c r="O353" s="638" t="s">
        <v>10</v>
      </c>
      <c r="P353" s="638" t="s">
        <v>10</v>
      </c>
      <c r="Q353" s="636" t="s">
        <v>10</v>
      </c>
      <c r="R353" s="635" t="s">
        <v>10</v>
      </c>
      <c r="S353" s="638" t="s">
        <v>10</v>
      </c>
      <c r="T353" s="636" t="s">
        <v>10</v>
      </c>
      <c r="U353" s="637" t="s">
        <v>10</v>
      </c>
      <c r="V353" s="638" t="s">
        <v>10</v>
      </c>
      <c r="W353" s="638" t="s">
        <v>10</v>
      </c>
      <c r="X353" s="638" t="s">
        <v>10</v>
      </c>
      <c r="Y353" s="636" t="s">
        <v>10</v>
      </c>
      <c r="Z353" s="636" t="s">
        <v>10</v>
      </c>
      <c r="AA353" s="636" t="s">
        <v>10</v>
      </c>
      <c r="AB353" s="636" t="s">
        <v>10</v>
      </c>
      <c r="AC353" s="639" t="s">
        <v>10</v>
      </c>
      <c r="AD353" t="s">
        <v>10</v>
      </c>
    </row>
    <row r="354" spans="1:30" x14ac:dyDescent="0.2">
      <c r="A354" s="641"/>
      <c r="B354" s="633" t="s">
        <v>10</v>
      </c>
      <c r="C354" s="634">
        <v>123</v>
      </c>
      <c r="D354" s="635">
        <f>VLOOKUP(C354,table_DI,2)</f>
        <v>5.37</v>
      </c>
      <c r="E354" s="635" t="s">
        <v>10</v>
      </c>
      <c r="F354" s="636">
        <f>VLOOKUP(C354,table_DI,5)</f>
        <v>0.54934823091247675</v>
      </c>
      <c r="G354" s="635">
        <f>VLOOKUP(C354,table_DI,3)</f>
        <v>2.95</v>
      </c>
      <c r="H354" s="635" t="s">
        <v>10</v>
      </c>
      <c r="I354" s="635">
        <f>VLOOKUP(C354,table_DI,4)</f>
        <v>2.95</v>
      </c>
      <c r="J354" s="635" t="s">
        <v>10</v>
      </c>
      <c r="K354" s="637">
        <f>VLOOKUP(C354,table_DI,9)</f>
        <v>2.4327354260089864E-3</v>
      </c>
      <c r="L354" s="638">
        <f>VLOOKUP(C354,table_DI,8)</f>
        <v>892</v>
      </c>
      <c r="M354" s="636">
        <f>(0.84*(K354^0.5)*(cell_GUTDEP^0.6666)/cell_NRD)</f>
        <v>1.4523280325944368</v>
      </c>
      <c r="N354" s="638">
        <f>VLOOKUP(C354,table_DI,10)</f>
        <v>20</v>
      </c>
      <c r="O354" s="638">
        <f>(L354/(M354*60))</f>
        <v>10.236438554524678</v>
      </c>
      <c r="P354" s="638">
        <f>N354+O354</f>
        <v>30.236438554524678</v>
      </c>
      <c r="Q354" s="636">
        <f>cell_P*(P354^cell_E)</f>
        <v>0.65538355744953558</v>
      </c>
      <c r="R354" s="635">
        <f>Q354*I354</f>
        <v>1.9333814944761301</v>
      </c>
      <c r="S354" s="638" t="s">
        <v>10</v>
      </c>
      <c r="T354" s="636" t="s">
        <v>10</v>
      </c>
      <c r="U354" s="637" t="s">
        <v>10</v>
      </c>
      <c r="V354" s="638" t="s">
        <v>10</v>
      </c>
      <c r="W354" s="638" t="s">
        <v>10</v>
      </c>
      <c r="X354" s="638" t="s">
        <v>10</v>
      </c>
      <c r="Y354" s="636" t="s">
        <v>10</v>
      </c>
      <c r="Z354" s="636" t="s">
        <v>10</v>
      </c>
      <c r="AA354" s="636" t="s">
        <v>10</v>
      </c>
      <c r="AB354" s="636" t="s">
        <v>10</v>
      </c>
      <c r="AC354" s="639" t="s">
        <v>10</v>
      </c>
      <c r="AD354" t="s">
        <v>10</v>
      </c>
    </row>
    <row r="355" spans="1:30" x14ac:dyDescent="0.2">
      <c r="A355" s="641"/>
      <c r="B355" s="633" t="s">
        <v>10</v>
      </c>
      <c r="C355" s="634">
        <v>123.1</v>
      </c>
      <c r="D355" s="635">
        <f>VLOOKUP(C355,table_DI,2)</f>
        <v>2.37</v>
      </c>
      <c r="E355" s="635" t="s">
        <v>10</v>
      </c>
      <c r="F355" s="636">
        <f>VLOOKUP(C355,table_DI,5)</f>
        <v>0.54852320675105481</v>
      </c>
      <c r="G355" s="635">
        <f>VLOOKUP(C355,table_DI,3)</f>
        <v>1.3</v>
      </c>
      <c r="H355" s="635" t="s">
        <v>10</v>
      </c>
      <c r="I355" s="635">
        <f>VLOOKUP(C355,table_DI,4)</f>
        <v>1.3</v>
      </c>
      <c r="J355" s="635" t="s">
        <v>10</v>
      </c>
      <c r="K355" s="637">
        <f>VLOOKUP(C355,table_DI,9)</f>
        <v>2.1613545816733227E-3</v>
      </c>
      <c r="L355" s="638">
        <f>VLOOKUP(C355,table_DI,8)</f>
        <v>1004</v>
      </c>
      <c r="M355" s="636">
        <f>(0.84*(K355^0.5)*(cell_GUTDEP^0.6666)/cell_NRD)</f>
        <v>1.3689270048258315</v>
      </c>
      <c r="N355" s="638">
        <f>VLOOKUP(C355,table_DI,10)</f>
        <v>20</v>
      </c>
      <c r="O355" s="638">
        <f>(L355/(M355*60))</f>
        <v>12.223685612413142</v>
      </c>
      <c r="P355" s="638">
        <f>N355+O355</f>
        <v>32.223685612413142</v>
      </c>
      <c r="Q355" s="636">
        <f>cell_P*(P355^cell_E)</f>
        <v>0.62977368240318943</v>
      </c>
      <c r="R355" s="635">
        <f>Q355*I355</f>
        <v>0.81870578712414632</v>
      </c>
      <c r="S355" s="638" t="s">
        <v>10</v>
      </c>
      <c r="T355" s="636" t="s">
        <v>10</v>
      </c>
      <c r="U355" s="637" t="s">
        <v>10</v>
      </c>
      <c r="V355" s="638" t="s">
        <v>10</v>
      </c>
      <c r="W355" s="638" t="s">
        <v>10</v>
      </c>
      <c r="X355" s="638" t="s">
        <v>10</v>
      </c>
      <c r="Y355" s="636" t="s">
        <v>10</v>
      </c>
      <c r="Z355" s="636" t="s">
        <v>10</v>
      </c>
      <c r="AA355" s="636" t="s">
        <v>10</v>
      </c>
      <c r="AB355" s="636" t="s">
        <v>10</v>
      </c>
      <c r="AC355" s="639" t="s">
        <v>10</v>
      </c>
      <c r="AD355" t="s">
        <v>10</v>
      </c>
    </row>
    <row r="356" spans="1:30" ht="15.75" x14ac:dyDescent="0.25">
      <c r="A356" s="641"/>
      <c r="B356" s="633">
        <v>103.1</v>
      </c>
      <c r="C356" s="640" t="s">
        <v>10</v>
      </c>
      <c r="D356" s="635" t="s">
        <v>10</v>
      </c>
      <c r="E356" s="635">
        <f>VLOOKUP(123,table_CIA_INLETS,2,FALSE)+VLOOKUP(123.1,table_CIA_INLETS,2,FALSE)</f>
        <v>7.74</v>
      </c>
      <c r="F356" s="636" t="s">
        <v>10</v>
      </c>
      <c r="G356" s="635" t="s">
        <v>10</v>
      </c>
      <c r="H356" s="635">
        <f>VLOOKUP(123,table_CIA_INLETS,5,FALSE)+VLOOKUP(123.1,table_CIA_INLETS,5,FALSE)</f>
        <v>4.25</v>
      </c>
      <c r="I356" s="635" t="s">
        <v>10</v>
      </c>
      <c r="J356" s="635">
        <f>VLOOKUP(123,table_CIA_INLETS,7,FALSE)+VLOOKUP(123.1,table_CIA_INLETS,7,FALSE)</f>
        <v>4.25</v>
      </c>
      <c r="K356" s="637" t="s">
        <v>10</v>
      </c>
      <c r="L356" s="638" t="s">
        <v>10</v>
      </c>
      <c r="M356" s="636" t="s">
        <v>10</v>
      </c>
      <c r="N356" s="638" t="s">
        <v>10</v>
      </c>
      <c r="O356" s="638" t="s">
        <v>10</v>
      </c>
      <c r="P356" s="638">
        <f>VLOOKUP(123,table_CIA_INLETS,14,FALSE)</f>
        <v>30.236438554524678</v>
      </c>
      <c r="Q356" s="636">
        <f t="shared" si="23"/>
        <v>0.65538355744953558</v>
      </c>
      <c r="R356" s="635">
        <f>J356*Q356</f>
        <v>2.7853801191605263</v>
      </c>
      <c r="S356" s="648">
        <v>18</v>
      </c>
      <c r="T356" s="636">
        <f>(4*R356)/(3.14159*(S356/12)^2)</f>
        <v>1.5762040490667473</v>
      </c>
      <c r="U356" s="637">
        <f>((R356/((0.463135/cell_NP)*((S356/12)^(8/3))))^2)*cell_FF</f>
        <v>8.0869526608875629E-4</v>
      </c>
      <c r="V356" s="646">
        <v>73</v>
      </c>
      <c r="W356" s="638">
        <f>V356/(T356*60)</f>
        <v>0.7718966763136037</v>
      </c>
      <c r="X356" s="638">
        <f>W356+P356</f>
        <v>31.008335230838281</v>
      </c>
      <c r="Y356" s="636">
        <f>U356*V356</f>
        <v>5.9034754424479211E-2</v>
      </c>
      <c r="Z356" s="636">
        <f>IF(VLOOKUP(103.2,table_CIA_JCTS,25,FALSE)+VLOOKUP(103.1,table_CIA_JCTS,24,FALSE)&lt;VLOOKUP(103.1,table_CIA_JCTS,28,FALSE),VLOOKUP(103.1,table_CIA_JCTS,28,FALSE),VLOOKUP(103.2,table_CIA_JCTS,25,FALSE)+VLOOKUP(103.1,table_CIA_JCTS,24,FALSE))</f>
        <v>392.45297727383962</v>
      </c>
      <c r="AA356" s="636">
        <v>401.65</v>
      </c>
      <c r="AB356" s="636">
        <f>(AA356-0.5)-Z356</f>
        <v>8.6970227261603554</v>
      </c>
      <c r="AC356" s="639" t="s">
        <v>10</v>
      </c>
      <c r="AD356" t="s">
        <v>10</v>
      </c>
    </row>
    <row r="357" spans="1:30" ht="15.75" x14ac:dyDescent="0.25">
      <c r="A357" s="641"/>
      <c r="B357" s="633">
        <v>103.2</v>
      </c>
      <c r="C357" s="640" t="s">
        <v>10</v>
      </c>
      <c r="D357" s="635" t="s">
        <v>10</v>
      </c>
      <c r="E357" s="635">
        <f>VLOOKUP(103,table_CIA_JCTS,4,FALSE)+VLOOKUP(103.1,table_CIA_JCTS,4,FALSE)</f>
        <v>56.940000000000005</v>
      </c>
      <c r="F357" s="636" t="s">
        <v>10</v>
      </c>
      <c r="G357" s="635" t="s">
        <v>10</v>
      </c>
      <c r="H357" s="635">
        <f>VLOOKUP(103,table_CIA_JCTS,7,FALSE)+VLOOKUP(103.1,table_CIA_JCTS,7,FALSE)</f>
        <v>18.2</v>
      </c>
      <c r="I357" s="635" t="s">
        <v>10</v>
      </c>
      <c r="J357" s="635">
        <f>VLOOKUP(103,table_CIA_JCTS,9,FALSE)+VLOOKUP(103.1,table_CIA_JCTS,9,FALSE)</f>
        <v>19.659999999999997</v>
      </c>
      <c r="K357" s="637" t="s">
        <v>10</v>
      </c>
      <c r="L357" s="638" t="s">
        <v>10</v>
      </c>
      <c r="M357" s="636" t="s">
        <v>10</v>
      </c>
      <c r="N357" s="638" t="s">
        <v>10</v>
      </c>
      <c r="O357" s="638" t="s">
        <v>10</v>
      </c>
      <c r="P357" s="638">
        <f>VLOOKUP(103,table_CIA_JCTS,23,FALSE)</f>
        <v>34.69959308569068</v>
      </c>
      <c r="Q357" s="636">
        <f>cell_P*(P357^cell_E)</f>
        <v>0.60124668871922637</v>
      </c>
      <c r="R357" s="635">
        <f>J357*Q357</f>
        <v>11.820509900219989</v>
      </c>
      <c r="S357" s="648">
        <v>24</v>
      </c>
      <c r="T357" s="636">
        <f>(4*R357)/(3.14159*(S357/12)^2)</f>
        <v>3.7625883390958048</v>
      </c>
      <c r="U357" s="637">
        <f>((R357/((0.463135/cell_NP)*((S357/12)^(8/3))))^2)*cell_FF</f>
        <v>3.1401359538968218E-3</v>
      </c>
      <c r="V357" s="646">
        <v>111</v>
      </c>
      <c r="W357" s="638">
        <f>V357/(T357*60)</f>
        <v>0.4916828080226755</v>
      </c>
      <c r="X357" s="638">
        <f>W357+P357</f>
        <v>35.191275893713353</v>
      </c>
      <c r="Y357" s="636">
        <f>U357*V357</f>
        <v>0.34855509088254721</v>
      </c>
      <c r="Z357" s="636">
        <f>IF(VLOOKUP(103.3,table_CIA_JCTS,25,FALSE)+VLOOKUP(103.2,table_CIA_JCTS,24,FALSE)&lt;VLOOKUP(103.2,table_CIA_JCTS,28,FALSE),VLOOKUP(103.2,table_CIA_JCTS,28,FALSE),VLOOKUP(103.3,table_CIA_JCTS,25,FALSE)+VLOOKUP(103.2,table_CIA_JCTS,24,FALSE))</f>
        <v>392.39394251941513</v>
      </c>
      <c r="AA357" s="636">
        <v>401.65</v>
      </c>
      <c r="AB357" s="636">
        <f>(AA357-0.5)-Z357</f>
        <v>8.7560574805848432</v>
      </c>
      <c r="AC357" s="639" t="s">
        <v>10</v>
      </c>
      <c r="AD357" t="s">
        <v>10</v>
      </c>
    </row>
    <row r="358" spans="1:30" ht="15.75" x14ac:dyDescent="0.25">
      <c r="A358" s="641"/>
      <c r="B358" s="633">
        <v>103.3</v>
      </c>
      <c r="C358" s="640" t="s">
        <v>10</v>
      </c>
      <c r="D358" s="635" t="s">
        <v>10</v>
      </c>
      <c r="E358" s="635">
        <f>VLOOKUP(102.4,table_CIA_JCTS,4,FALSE)+VLOOKUP(103.2,table_CIA_JCTS,4,FALSE)</f>
        <v>74.45</v>
      </c>
      <c r="F358" s="636" t="s">
        <v>10</v>
      </c>
      <c r="G358" s="635" t="s">
        <v>10</v>
      </c>
      <c r="H358" s="635">
        <f>VLOOKUP(102.4,table_CIA_JCTS,7,FALSE)+VLOOKUP(103.2,table_CIA_JCTS,7,FALSE)</f>
        <v>25.49</v>
      </c>
      <c r="I358" s="635" t="s">
        <v>10</v>
      </c>
      <c r="J358" s="635">
        <f>VLOOKUP(102.4,table_CIA_JCTS,9,FALSE)+VLOOKUP(103.2,table_CIA_JCTS,9,FALSE)</f>
        <v>28.089999999999996</v>
      </c>
      <c r="K358" s="637" t="s">
        <v>10</v>
      </c>
      <c r="L358" s="638" t="s">
        <v>10</v>
      </c>
      <c r="M358" s="636" t="s">
        <v>10</v>
      </c>
      <c r="N358" s="638" t="s">
        <v>10</v>
      </c>
      <c r="O358" s="638" t="s">
        <v>10</v>
      </c>
      <c r="P358" s="638">
        <f>VLOOKUP(103.2,table_CIA_JCTS,23,FALSE)</f>
        <v>35.191275893713353</v>
      </c>
      <c r="Q358" s="636">
        <f>cell_P*(P358^cell_E)</f>
        <v>0.59597249994027135</v>
      </c>
      <c r="R358" s="635">
        <f>J358*Q358</f>
        <v>16.740867523322219</v>
      </c>
      <c r="S358" s="646">
        <v>30</v>
      </c>
      <c r="T358" s="636">
        <f>(4*R358)/(3.14159*(S358/12)^2)</f>
        <v>3.4104244076808943</v>
      </c>
      <c r="U358" s="637">
        <f>((R358/((0.463135/cell_NP)*((S358/12)^(8/3))))^2)*cell_FF</f>
        <v>1.9159251837169117E-3</v>
      </c>
      <c r="V358" s="646">
        <v>97</v>
      </c>
      <c r="W358" s="638">
        <f>V358/(T358*60)</f>
        <v>0.47403679818430811</v>
      </c>
      <c r="X358" s="638">
        <f>W358+P358</f>
        <v>35.665312691897661</v>
      </c>
      <c r="Y358" s="636">
        <f>U358*V358</f>
        <v>0.18584474282054042</v>
      </c>
      <c r="Z358" s="636">
        <f>IF(VLOOKUP(103.4,table_CIA_JCTS,25,FALSE)+VLOOKUP(103.3,table_CIA_JCTS,24,FALSE)&lt;VLOOKUP(103.3,table_CIA_JCTS,28,FALSE),VLOOKUP(103.3,table_CIA_JCTS,28,FALSE),VLOOKUP(103.4,table_CIA_JCTS,25,FALSE)+VLOOKUP(103.3,table_CIA_JCTS,24,FALSE))</f>
        <v>392.04538742853259</v>
      </c>
      <c r="AA358" s="636">
        <v>401.27</v>
      </c>
      <c r="AB358" s="636">
        <f>(AA358-0.5)-Z358</f>
        <v>8.7246125714673894</v>
      </c>
      <c r="AC358" s="639" t="s">
        <v>10</v>
      </c>
      <c r="AD358" t="s">
        <v>10</v>
      </c>
    </row>
    <row r="359" spans="1:30" x14ac:dyDescent="0.2">
      <c r="A359" s="641"/>
      <c r="B359" s="633" t="s">
        <v>10</v>
      </c>
      <c r="C359" s="634">
        <v>123.2</v>
      </c>
      <c r="D359" s="635">
        <f>VLOOKUP(C359,table_DI,2)</f>
        <v>8.86</v>
      </c>
      <c r="E359" s="635" t="s">
        <v>10</v>
      </c>
      <c r="F359" s="636">
        <f>VLOOKUP(C359,table_DI,5)</f>
        <v>0.56320541760722354</v>
      </c>
      <c r="G359" s="635">
        <f>VLOOKUP(C359,table_DI,3)</f>
        <v>4.99</v>
      </c>
      <c r="H359" s="635" t="s">
        <v>10</v>
      </c>
      <c r="I359" s="635">
        <f>VLOOKUP(C359,table_DI,4)</f>
        <v>4.99</v>
      </c>
      <c r="J359" s="635" t="s">
        <v>10</v>
      </c>
      <c r="K359" s="637">
        <f>VLOOKUP(C359,table_DI,9)</f>
        <v>2.3814773980154629E-3</v>
      </c>
      <c r="L359" s="638">
        <f>VLOOKUP(C359,table_DI,8)</f>
        <v>907</v>
      </c>
      <c r="M359" s="636">
        <f>(0.84*(K359^0.5)*(cell_GUTDEP^0.6666)/cell_NRD)</f>
        <v>1.4369462138942817</v>
      </c>
      <c r="N359" s="638">
        <f>VLOOKUP(C359,table_DI,10)</f>
        <v>20</v>
      </c>
      <c r="O359" s="638">
        <f>(L359/(M359*60))</f>
        <v>10.51999477816142</v>
      </c>
      <c r="P359" s="638">
        <f>N359+O359</f>
        <v>30.519994778161418</v>
      </c>
      <c r="Q359" s="636">
        <f>cell_P*(P359^cell_E)</f>
        <v>0.65156393854651395</v>
      </c>
      <c r="R359" s="635">
        <f>Q359*I359</f>
        <v>3.2513040533471047</v>
      </c>
      <c r="S359" s="638" t="s">
        <v>10</v>
      </c>
      <c r="T359" s="636" t="s">
        <v>10</v>
      </c>
      <c r="U359" s="637" t="s">
        <v>10</v>
      </c>
      <c r="V359" s="638" t="s">
        <v>10</v>
      </c>
      <c r="W359" s="638" t="s">
        <v>10</v>
      </c>
      <c r="X359" s="638" t="s">
        <v>10</v>
      </c>
      <c r="Y359" s="636" t="s">
        <v>10</v>
      </c>
      <c r="Z359" s="636" t="s">
        <v>10</v>
      </c>
      <c r="AA359" s="636" t="s">
        <v>10</v>
      </c>
      <c r="AB359" s="636" t="s">
        <v>10</v>
      </c>
      <c r="AC359" s="639" t="s">
        <v>10</v>
      </c>
      <c r="AD359" t="s">
        <v>10</v>
      </c>
    </row>
    <row r="360" spans="1:30" x14ac:dyDescent="0.2">
      <c r="A360" s="641"/>
      <c r="B360" s="633" t="s">
        <v>10</v>
      </c>
      <c r="C360" s="634">
        <v>123.3</v>
      </c>
      <c r="D360" s="635">
        <f>VLOOKUP(C360,table_DI,2)</f>
        <v>1.84</v>
      </c>
      <c r="E360" s="635" t="s">
        <v>10</v>
      </c>
      <c r="F360" s="636">
        <f>VLOOKUP(C360,table_DI,5)</f>
        <v>0.90217391304347816</v>
      </c>
      <c r="G360" s="635">
        <f>VLOOKUP(C360,table_DI,3)</f>
        <v>1.66</v>
      </c>
      <c r="H360" s="635" t="s">
        <v>10</v>
      </c>
      <c r="I360" s="635">
        <f>VLOOKUP(C360,table_DI,4)</f>
        <v>1.66</v>
      </c>
      <c r="J360" s="635" t="s">
        <v>10</v>
      </c>
      <c r="K360" s="637">
        <f>VLOOKUP(C360,table_DI,9)</f>
        <v>3.6949152542372996E-3</v>
      </c>
      <c r="L360" s="638">
        <f>VLOOKUP(C360,table_DI,8)</f>
        <v>590</v>
      </c>
      <c r="M360" s="636">
        <f>(0.84*(K360^0.5)*(cell_GUTDEP^0.6666)/cell_NRD)</f>
        <v>1.7898618911899986</v>
      </c>
      <c r="N360" s="638">
        <f>VLOOKUP(C360,table_DI,10)</f>
        <v>5</v>
      </c>
      <c r="O360" s="638">
        <f>(L360/(M360*60))</f>
        <v>5.4939061956314363</v>
      </c>
      <c r="P360" s="638">
        <f>N360+O360</f>
        <v>10.493906195631435</v>
      </c>
      <c r="Q360" s="636">
        <f>cell_P*(P360^cell_E)</f>
        <v>1.2714314937693401</v>
      </c>
      <c r="R360" s="635">
        <f>Q360*I360</f>
        <v>2.1105762796571046</v>
      </c>
      <c r="S360" s="638" t="s">
        <v>10</v>
      </c>
      <c r="T360" s="636" t="s">
        <v>10</v>
      </c>
      <c r="U360" s="637" t="s">
        <v>10</v>
      </c>
      <c r="V360" s="638" t="s">
        <v>10</v>
      </c>
      <c r="W360" s="638" t="s">
        <v>10</v>
      </c>
      <c r="X360" s="638" t="s">
        <v>10</v>
      </c>
      <c r="Y360" s="636" t="s">
        <v>10</v>
      </c>
      <c r="Z360" s="636" t="s">
        <v>10</v>
      </c>
      <c r="AA360" s="636" t="s">
        <v>10</v>
      </c>
      <c r="AB360" s="636" t="s">
        <v>10</v>
      </c>
      <c r="AC360" s="639" t="s">
        <v>10</v>
      </c>
      <c r="AD360" t="s">
        <v>10</v>
      </c>
    </row>
    <row r="361" spans="1:30" ht="15.75" x14ac:dyDescent="0.25">
      <c r="A361" s="641"/>
      <c r="B361" s="633">
        <v>103.4</v>
      </c>
      <c r="C361" s="640" t="s">
        <v>10</v>
      </c>
      <c r="D361" s="635" t="s">
        <v>10</v>
      </c>
      <c r="E361" s="635">
        <f>VLOOKUP(103.3,table_CIA_JCTS,4,FALSE)+VLOOKUP(123.2,table_CIA_INLETS,2,FALSE)+VLOOKUP(123.3,table_CIA_INLETS,2,FALSE)</f>
        <v>85.15</v>
      </c>
      <c r="F361" s="636" t="s">
        <v>10</v>
      </c>
      <c r="G361" s="635" t="s">
        <v>10</v>
      </c>
      <c r="H361" s="635">
        <f>VLOOKUP(103.3,table_CIA_JCTS,7,FALSE)+VLOOKUP(123.2,table_CIA_INLETS,5,FALSE)+VLOOKUP(123.3,table_CIA_INLETS,5,FALSE)</f>
        <v>32.139999999999993</v>
      </c>
      <c r="I361" s="635" t="s">
        <v>10</v>
      </c>
      <c r="J361" s="635">
        <f>VLOOKUP(103.3,table_CIA_JCTS,9,FALSE)+VLOOKUP(123.2,table_CIA_INLETS,7,FALSE)+VLOOKUP(123.3,table_CIA_INLETS,7,FALSE)</f>
        <v>34.739999999999995</v>
      </c>
      <c r="K361" s="637" t="s">
        <v>10</v>
      </c>
      <c r="L361" s="638" t="s">
        <v>10</v>
      </c>
      <c r="M361" s="636" t="s">
        <v>10</v>
      </c>
      <c r="N361" s="638" t="s">
        <v>10</v>
      </c>
      <c r="O361" s="638" t="s">
        <v>10</v>
      </c>
      <c r="P361" s="638">
        <f>VLOOKUP(103.3,table_CIA_JCTS,23,FALSE)</f>
        <v>35.665312691897661</v>
      </c>
      <c r="Q361" s="636">
        <f>cell_P*(P361^cell_E)</f>
        <v>0.59099983251088739</v>
      </c>
      <c r="R361" s="635">
        <f>J361*Q361</f>
        <v>20.531334181428225</v>
      </c>
      <c r="S361" s="646">
        <v>36</v>
      </c>
      <c r="T361" s="636">
        <f>(4*R361)/(3.14159*(S361/12)^2)</f>
        <v>2.9045920740669851</v>
      </c>
      <c r="U361" s="637">
        <f>((R361/((0.463135/cell_NP)*((S361/12)^(8/3))))^2)*cell_FF</f>
        <v>1.0898255655968181E-3</v>
      </c>
      <c r="V361" s="646">
        <v>113</v>
      </c>
      <c r="W361" s="638">
        <f>V361/(T361*60)</f>
        <v>0.64839856520585559</v>
      </c>
      <c r="X361" s="638">
        <f>W361+P361</f>
        <v>36.313711257103513</v>
      </c>
      <c r="Y361" s="636">
        <f>U361*V361</f>
        <v>0.12315028891244044</v>
      </c>
      <c r="Z361" s="636">
        <f>IF(VLOOKUP(104,table_CIA_JCTS,25,FALSE)+VLOOKUP(103.4,table_CIA_JCTS,24,FALSE)&lt;VLOOKUP(103.4,table_CIA_JCTS,28,FALSE),VLOOKUP(103.4,table_CIA_JCTS,28,FALSE),VLOOKUP(104,table_CIA_JCTS,25,FALSE)+VLOOKUP(103.4,table_CIA_JCTS,24,FALSE))</f>
        <v>391.85954268571203</v>
      </c>
      <c r="AA361" s="636">
        <v>400.27</v>
      </c>
      <c r="AB361" s="636">
        <f>(AA361-0.5)-Z361</f>
        <v>7.9104573142879531</v>
      </c>
      <c r="AC361" s="639" t="s">
        <v>10</v>
      </c>
      <c r="AD361" t="s">
        <v>10</v>
      </c>
    </row>
    <row r="362" spans="1:30" x14ac:dyDescent="0.2">
      <c r="A362" s="641"/>
      <c r="B362" s="633" t="s">
        <v>10</v>
      </c>
      <c r="C362" s="640" t="s">
        <v>10</v>
      </c>
      <c r="D362" s="635" t="s">
        <v>10</v>
      </c>
      <c r="E362" s="635" t="s">
        <v>10</v>
      </c>
      <c r="F362" s="636" t="s">
        <v>10</v>
      </c>
      <c r="G362" s="635" t="s">
        <v>10</v>
      </c>
      <c r="H362" s="635" t="s">
        <v>10</v>
      </c>
      <c r="I362" s="635" t="s">
        <v>10</v>
      </c>
      <c r="J362" s="635" t="s">
        <v>10</v>
      </c>
      <c r="K362" s="637" t="s">
        <v>10</v>
      </c>
      <c r="L362" s="638" t="s">
        <v>10</v>
      </c>
      <c r="M362" s="636" t="s">
        <v>10</v>
      </c>
      <c r="N362" s="638" t="s">
        <v>10</v>
      </c>
      <c r="O362" s="638" t="s">
        <v>10</v>
      </c>
      <c r="P362" s="638" t="s">
        <v>10</v>
      </c>
      <c r="Q362" s="636" t="s">
        <v>10</v>
      </c>
      <c r="R362" s="635" t="s">
        <v>10</v>
      </c>
      <c r="S362" s="638" t="s">
        <v>10</v>
      </c>
      <c r="T362" s="636" t="s">
        <v>10</v>
      </c>
      <c r="U362" s="637" t="s">
        <v>10</v>
      </c>
      <c r="V362" s="638" t="s">
        <v>10</v>
      </c>
      <c r="W362" s="638" t="s">
        <v>10</v>
      </c>
      <c r="X362" s="638" t="s">
        <v>10</v>
      </c>
      <c r="Y362" s="636" t="s">
        <v>10</v>
      </c>
      <c r="Z362" s="636" t="s">
        <v>10</v>
      </c>
      <c r="AA362" s="636" t="s">
        <v>10</v>
      </c>
      <c r="AB362" s="636" t="s">
        <v>10</v>
      </c>
      <c r="AC362" s="639" t="s">
        <v>10</v>
      </c>
      <c r="AD362" t="s">
        <v>10</v>
      </c>
    </row>
    <row r="363" spans="1:30" x14ac:dyDescent="0.2">
      <c r="A363" s="641"/>
      <c r="B363" s="633" t="s">
        <v>10</v>
      </c>
      <c r="C363" s="634">
        <v>123.4</v>
      </c>
      <c r="D363" s="635">
        <f>VLOOKUP(C363,table_DI,2)</f>
        <v>6.01</v>
      </c>
      <c r="E363" s="635" t="s">
        <v>10</v>
      </c>
      <c r="F363" s="636">
        <f>VLOOKUP(C363,table_DI,5)</f>
        <v>0.50083194675540765</v>
      </c>
      <c r="G363" s="635">
        <f>VLOOKUP(C363,table_DI,3)</f>
        <v>3.01</v>
      </c>
      <c r="H363" s="635" t="s">
        <v>10</v>
      </c>
      <c r="I363" s="635">
        <f>VLOOKUP(C363,table_DI,4)</f>
        <v>3.01</v>
      </c>
      <c r="J363" s="635" t="s">
        <v>10</v>
      </c>
      <c r="K363" s="637">
        <f>VLOOKUP(C363,table_DI,9)</f>
        <v>3.015228426395909E-3</v>
      </c>
      <c r="L363" s="638">
        <f>VLOOKUP(C363,table_DI,8)</f>
        <v>985</v>
      </c>
      <c r="M363" s="636">
        <f>(0.84*(K363^0.5)*(cell_GUTDEP^0.6666)/cell_NRD)</f>
        <v>1.6168785135196093</v>
      </c>
      <c r="N363" s="638">
        <f>VLOOKUP(C363,table_DI,10)</f>
        <v>20</v>
      </c>
      <c r="O363" s="638">
        <f>(L363/(M363*60))</f>
        <v>10.15330869289059</v>
      </c>
      <c r="P363" s="638">
        <f>N363+O363</f>
        <v>30.15330869289059</v>
      </c>
      <c r="Q363" s="636">
        <f>cell_P*(P363^cell_E)</f>
        <v>0.65651441300509195</v>
      </c>
      <c r="R363" s="635">
        <f>Q363*I363</f>
        <v>1.9761083831453266</v>
      </c>
      <c r="S363" s="638" t="s">
        <v>10</v>
      </c>
      <c r="T363" s="636" t="s">
        <v>10</v>
      </c>
      <c r="U363" s="637" t="s">
        <v>10</v>
      </c>
      <c r="V363" s="638" t="s">
        <v>10</v>
      </c>
      <c r="W363" s="638" t="s">
        <v>10</v>
      </c>
      <c r="X363" s="638" t="s">
        <v>10</v>
      </c>
      <c r="Y363" s="636" t="s">
        <v>10</v>
      </c>
      <c r="Z363" s="636" t="s">
        <v>10</v>
      </c>
      <c r="AA363" s="636" t="s">
        <v>10</v>
      </c>
      <c r="AB363" s="636" t="s">
        <v>10</v>
      </c>
      <c r="AC363" s="639" t="s">
        <v>10</v>
      </c>
      <c r="AD363" t="s">
        <v>10</v>
      </c>
    </row>
    <row r="364" spans="1:30" ht="15.75" x14ac:dyDescent="0.25">
      <c r="A364" s="641"/>
      <c r="B364" s="633">
        <v>103.5</v>
      </c>
      <c r="C364" s="640" t="s">
        <v>10</v>
      </c>
      <c r="D364" s="635" t="s">
        <v>10</v>
      </c>
      <c r="E364" s="635">
        <f>VLOOKUP(123.4,table_CIA_INLETS,2,FALSE)</f>
        <v>6.01</v>
      </c>
      <c r="F364" s="636" t="s">
        <v>10</v>
      </c>
      <c r="G364" s="635" t="s">
        <v>10</v>
      </c>
      <c r="H364" s="635">
        <f>VLOOKUP(123.4,table_CIA_INLETS,5,FALSE)</f>
        <v>3.01</v>
      </c>
      <c r="I364" s="635" t="s">
        <v>10</v>
      </c>
      <c r="J364" s="635">
        <f>VLOOKUP(123.4,table_CIA_INLETS,7,FALSE)</f>
        <v>3.01</v>
      </c>
      <c r="K364" s="637" t="s">
        <v>10</v>
      </c>
      <c r="L364" s="638" t="s">
        <v>10</v>
      </c>
      <c r="M364" s="636" t="s">
        <v>10</v>
      </c>
      <c r="N364" s="638" t="s">
        <v>10</v>
      </c>
      <c r="O364" s="638" t="s">
        <v>10</v>
      </c>
      <c r="P364" s="638">
        <f>VLOOKUP(123.4,table_CIA_INLETS,14,FALSE)</f>
        <v>30.15330869289059</v>
      </c>
      <c r="Q364" s="636">
        <f>cell_P*(P364^cell_E)</f>
        <v>0.65651441300509195</v>
      </c>
      <c r="R364" s="635">
        <f>J364*Q364</f>
        <v>1.9761083831453266</v>
      </c>
      <c r="S364" s="646">
        <v>18</v>
      </c>
      <c r="T364" s="636">
        <f>(4*R364)/(3.14159*(S364/12)^2)</f>
        <v>1.1182495392575531</v>
      </c>
      <c r="U364" s="637">
        <f>((R364/((0.463135/cell_NP)*((S364/12)^(8/3))))^2)*cell_FF</f>
        <v>4.070403649672596E-4</v>
      </c>
      <c r="V364" s="646">
        <v>196</v>
      </c>
      <c r="W364" s="638">
        <f>V364/(T364*60)</f>
        <v>2.9212322938541311</v>
      </c>
      <c r="X364" s="638">
        <f>W364+P364</f>
        <v>33.074540986744722</v>
      </c>
      <c r="Y364" s="636">
        <f>U364*V364</f>
        <v>7.9779911533582881E-2</v>
      </c>
      <c r="Z364" s="636">
        <f>IF(VLOOKUP(104,table_CIA_JCTS,25,FALSE)+VLOOKUP(103.5,table_CIA_JCTS,24,FALSE)&lt;VLOOKUP(103.5,table_CIA_JCTS,28,FALSE),VLOOKUP(103.5,table_CIA_JCTS,28,FALSE),VLOOKUP(104,table_CIA_JCTS,25,FALSE)+VLOOKUP(103.5,table_CIA_JCTS,24,FALSE))</f>
        <v>391.81617230833319</v>
      </c>
      <c r="AA364" s="636">
        <v>401.25</v>
      </c>
      <c r="AB364" s="636">
        <f>(AA364-0.5)-Z364</f>
        <v>8.9338276916668065</v>
      </c>
      <c r="AC364" s="639" t="s">
        <v>10</v>
      </c>
      <c r="AD364" t="s">
        <v>10</v>
      </c>
    </row>
    <row r="365" spans="1:30" ht="15.75" x14ac:dyDescent="0.25">
      <c r="A365" s="641"/>
      <c r="B365" s="633">
        <v>104</v>
      </c>
      <c r="C365" s="640" t="s">
        <v>10</v>
      </c>
      <c r="D365" s="635" t="s">
        <v>10</v>
      </c>
      <c r="E365" s="635">
        <f>VLOOKUP(103.4,table_CIA_JCTS,4,FALSE)+VLOOKUP(103.5,table_CIA_JCTS,4,FALSE)</f>
        <v>91.160000000000011</v>
      </c>
      <c r="F365" s="636" t="s">
        <v>10</v>
      </c>
      <c r="G365" s="635" t="s">
        <v>10</v>
      </c>
      <c r="H365" s="635">
        <f>VLOOKUP(103.4,table_CIA_JCTS,7,FALSE)+VLOOKUP(103.5,table_CIA_JCTS,7,FALSE)</f>
        <v>35.149999999999991</v>
      </c>
      <c r="I365" s="635" t="s">
        <v>10</v>
      </c>
      <c r="J365" s="635">
        <f>VLOOKUP(103.4,table_CIA_JCTS,9,FALSE)+VLOOKUP(103.5,table_CIA_JCTS,9,FALSE)</f>
        <v>37.749999999999993</v>
      </c>
      <c r="K365" s="637" t="s">
        <v>10</v>
      </c>
      <c r="L365" s="638" t="s">
        <v>10</v>
      </c>
      <c r="M365" s="636" t="s">
        <v>10</v>
      </c>
      <c r="N365" s="638" t="s">
        <v>10</v>
      </c>
      <c r="O365" s="638" t="s">
        <v>10</v>
      </c>
      <c r="P365" s="638">
        <f>VLOOKUP(103.4,table_CIA_JCTS,23,FALSE)</f>
        <v>36.313711257103513</v>
      </c>
      <c r="Q365" s="636">
        <f>cell_P*(P365^cell_E)</f>
        <v>0.58436957070728845</v>
      </c>
      <c r="R365" s="635">
        <f>J365*Q365</f>
        <v>22.059951294200136</v>
      </c>
      <c r="S365" s="648">
        <v>36</v>
      </c>
      <c r="T365" s="636">
        <f>(4*R365)/(3.14159*(S365/12)^2)</f>
        <v>3.1208473408122264</v>
      </c>
      <c r="U365" s="637">
        <f>((R365/((0.463135/cell_NP)*((S365/12)^(8/3))))^2)*cell_FF</f>
        <v>1.2581480423605549E-3</v>
      </c>
      <c r="V365" s="646">
        <v>482</v>
      </c>
      <c r="W365" s="638">
        <f>V365/(T365*60)</f>
        <v>2.5740872449219485</v>
      </c>
      <c r="X365" s="638">
        <f>W365+P365</f>
        <v>38.887798502025461</v>
      </c>
      <c r="Y365" s="636">
        <f>U365*V365</f>
        <v>0.60642735641778744</v>
      </c>
      <c r="Z365" s="636">
        <f>IF(VLOOKUP(107,table_CIA_JCTS,25,FALSE)+VLOOKUP(104,table_CIA_JCTS,24,FALSE)&lt;VLOOKUP(104,table_CIA_JCTS,28,FALSE),VLOOKUP(104,table_CIA_JCTS,28,FALSE),VLOOKUP(107,table_CIA_JCTS,25,FALSE)+VLOOKUP(104,table_CIA_JCTS,24,FALSE))</f>
        <v>391.7363923967996</v>
      </c>
      <c r="AA365" s="636">
        <v>400.59</v>
      </c>
      <c r="AB365" s="636">
        <f>(AA365-0.5)-Z365</f>
        <v>8.3536076032003734</v>
      </c>
      <c r="AC365" s="639" t="s">
        <v>10</v>
      </c>
      <c r="AD365" t="s">
        <v>10</v>
      </c>
    </row>
    <row r="366" spans="1:30" x14ac:dyDescent="0.2">
      <c r="A366" s="641"/>
      <c r="B366" s="633" t="s">
        <v>10</v>
      </c>
      <c r="C366" s="640" t="s">
        <v>10</v>
      </c>
      <c r="D366" s="635" t="s">
        <v>10</v>
      </c>
      <c r="E366" s="635" t="s">
        <v>10</v>
      </c>
      <c r="F366" s="636" t="s">
        <v>10</v>
      </c>
      <c r="G366" s="635" t="s">
        <v>10</v>
      </c>
      <c r="H366" s="635" t="s">
        <v>10</v>
      </c>
      <c r="I366" s="635" t="s">
        <v>10</v>
      </c>
      <c r="J366" s="635" t="s">
        <v>10</v>
      </c>
      <c r="K366" s="637" t="s">
        <v>10</v>
      </c>
      <c r="L366" s="638" t="s">
        <v>10</v>
      </c>
      <c r="M366" s="636" t="s">
        <v>10</v>
      </c>
      <c r="N366" s="638" t="s">
        <v>10</v>
      </c>
      <c r="O366" s="638" t="s">
        <v>10</v>
      </c>
      <c r="P366" s="638" t="s">
        <v>10</v>
      </c>
      <c r="Q366" s="636" t="s">
        <v>10</v>
      </c>
      <c r="R366" s="635" t="s">
        <v>10</v>
      </c>
      <c r="S366" s="638" t="s">
        <v>10</v>
      </c>
      <c r="T366" s="636" t="s">
        <v>10</v>
      </c>
      <c r="U366" s="637" t="s">
        <v>10</v>
      </c>
      <c r="V366" s="638" t="s">
        <v>10</v>
      </c>
      <c r="W366" s="638" t="s">
        <v>10</v>
      </c>
      <c r="X366" s="638" t="s">
        <v>10</v>
      </c>
      <c r="Y366" s="636" t="s">
        <v>10</v>
      </c>
      <c r="Z366" s="636" t="s">
        <v>10</v>
      </c>
      <c r="AA366" s="636" t="s">
        <v>10</v>
      </c>
      <c r="AB366" s="636" t="s">
        <v>10</v>
      </c>
      <c r="AC366" s="639" t="s">
        <v>10</v>
      </c>
      <c r="AD366" t="s">
        <v>10</v>
      </c>
    </row>
    <row r="367" spans="1:30" x14ac:dyDescent="0.2">
      <c r="A367" s="641"/>
      <c r="B367" s="633" t="s">
        <v>10</v>
      </c>
      <c r="C367" s="634">
        <v>124</v>
      </c>
      <c r="D367" s="635">
        <f>VLOOKUP(C367,table_DI,2)</f>
        <v>6.05</v>
      </c>
      <c r="E367" s="635" t="s">
        <v>10</v>
      </c>
      <c r="F367" s="636">
        <f>VLOOKUP(C367,table_DI,5)</f>
        <v>0.50082644628099171</v>
      </c>
      <c r="G367" s="635">
        <f>VLOOKUP(C367,table_DI,3)</f>
        <v>3.03</v>
      </c>
      <c r="H367" s="635" t="s">
        <v>10</v>
      </c>
      <c r="I367" s="635">
        <f>VLOOKUP(C367,table_DI,4)</f>
        <v>3.03</v>
      </c>
      <c r="J367" s="635" t="s">
        <v>10</v>
      </c>
      <c r="K367" s="637">
        <f>VLOOKUP(C367,table_DI,9)</f>
        <v>4.1826484018265215E-3</v>
      </c>
      <c r="L367" s="638">
        <f>VLOOKUP(C367,table_DI,8)</f>
        <v>1095</v>
      </c>
      <c r="M367" s="636">
        <f>(0.84*(K367^0.5)*(cell_GUTDEP^0.6666)/cell_NRD)</f>
        <v>1.9043332914935012</v>
      </c>
      <c r="N367" s="638">
        <f>VLOOKUP(C367,table_DI,10)</f>
        <v>20</v>
      </c>
      <c r="O367" s="638">
        <f>(L367/(M367*60))</f>
        <v>9.58340647696558</v>
      </c>
      <c r="P367" s="638">
        <f>N367+O367</f>
        <v>29.583406476965578</v>
      </c>
      <c r="Q367" s="636">
        <f t="shared" si="23"/>
        <v>0.66440586077749919</v>
      </c>
      <c r="R367" s="635">
        <f>Q367*I367</f>
        <v>2.0131497581558224</v>
      </c>
      <c r="S367" s="638" t="s">
        <v>10</v>
      </c>
      <c r="T367" s="636" t="s">
        <v>10</v>
      </c>
      <c r="U367" s="637" t="s">
        <v>10</v>
      </c>
      <c r="V367" s="638" t="s">
        <v>10</v>
      </c>
      <c r="W367" s="638" t="s">
        <v>10</v>
      </c>
      <c r="X367" s="638" t="s">
        <v>10</v>
      </c>
      <c r="Y367" s="636" t="s">
        <v>10</v>
      </c>
      <c r="Z367" s="636" t="s">
        <v>10</v>
      </c>
      <c r="AA367" s="636" t="s">
        <v>10</v>
      </c>
      <c r="AB367" s="636" t="s">
        <v>10</v>
      </c>
      <c r="AC367" s="639" t="s">
        <v>10</v>
      </c>
      <c r="AD367" t="s">
        <v>10</v>
      </c>
    </row>
    <row r="368" spans="1:30" x14ac:dyDescent="0.2">
      <c r="A368" s="641"/>
      <c r="B368" s="633" t="s">
        <v>10</v>
      </c>
      <c r="C368" s="634">
        <v>124.1</v>
      </c>
      <c r="D368" s="635">
        <f>VLOOKUP(C368,table_DI,2)</f>
        <v>5.07</v>
      </c>
      <c r="E368" s="635" t="s">
        <v>10</v>
      </c>
      <c r="F368" s="636">
        <f>VLOOKUP(C368,table_DI,5)</f>
        <v>0.4832347140039448</v>
      </c>
      <c r="G368" s="635">
        <f>VLOOKUP(C368,table_DI,3)</f>
        <v>2.38</v>
      </c>
      <c r="H368" s="635" t="s">
        <v>10</v>
      </c>
      <c r="I368" s="635">
        <f>VLOOKUP(C368,table_DI,4)</f>
        <v>2.4500000000000002</v>
      </c>
      <c r="J368" s="635" t="s">
        <v>10</v>
      </c>
      <c r="K368" s="637">
        <f>VLOOKUP(C368,table_DI,9)</f>
        <v>4.6968472109943432E-3</v>
      </c>
      <c r="L368" s="638">
        <f>VLOOKUP(C368,table_DI,8)</f>
        <v>1237</v>
      </c>
      <c r="M368" s="636">
        <f>(0.84*(K368^0.5)*(cell_GUTDEP^0.6666)/cell_NRD)</f>
        <v>2.0179969093745416</v>
      </c>
      <c r="N368" s="638">
        <f>VLOOKUP(C368,table_DI,10)</f>
        <v>20</v>
      </c>
      <c r="O368" s="638">
        <f>(L368/(M368*60))</f>
        <v>10.216401507302903</v>
      </c>
      <c r="P368" s="638">
        <f>N368+O368</f>
        <v>30.216401507302905</v>
      </c>
      <c r="Q368" s="636">
        <f>cell_P*(P368^cell_E)</f>
        <v>0.6556556682448591</v>
      </c>
      <c r="R368" s="635">
        <f>Q368*I368</f>
        <v>1.6063563871999049</v>
      </c>
      <c r="S368" s="638" t="s">
        <v>10</v>
      </c>
      <c r="T368" s="636" t="s">
        <v>10</v>
      </c>
      <c r="U368" s="637" t="s">
        <v>10</v>
      </c>
      <c r="V368" s="638" t="s">
        <v>10</v>
      </c>
      <c r="W368" s="638" t="s">
        <v>10</v>
      </c>
      <c r="X368" s="638" t="s">
        <v>10</v>
      </c>
      <c r="Y368" s="636" t="s">
        <v>10</v>
      </c>
      <c r="Z368" s="636" t="s">
        <v>10</v>
      </c>
      <c r="AA368" s="636" t="s">
        <v>10</v>
      </c>
      <c r="AB368" s="636" t="s">
        <v>10</v>
      </c>
      <c r="AC368" s="639" t="s">
        <v>10</v>
      </c>
      <c r="AD368" t="s">
        <v>10</v>
      </c>
    </row>
    <row r="369" spans="1:30" ht="15.75" x14ac:dyDescent="0.25">
      <c r="A369" s="641"/>
      <c r="B369" s="633">
        <v>105</v>
      </c>
      <c r="C369" s="640" t="s">
        <v>10</v>
      </c>
      <c r="D369" s="635" t="s">
        <v>10</v>
      </c>
      <c r="E369" s="635">
        <f>VLOOKUP(124,table_CIA_INLETS,2,FALSE)+VLOOKUP(124.1,table_CIA_INLETS,2,FALSE)</f>
        <v>11.120000000000001</v>
      </c>
      <c r="F369" s="636" t="s">
        <v>10</v>
      </c>
      <c r="G369" s="635" t="s">
        <v>10</v>
      </c>
      <c r="H369" s="635">
        <f>VLOOKUP(124,table_CIA_INLETS,5,FALSE)+VLOOKUP(124.1,table_CIA_INLETS,5,FALSE)</f>
        <v>5.41</v>
      </c>
      <c r="I369" s="635" t="s">
        <v>10</v>
      </c>
      <c r="J369" s="635">
        <f>VLOOKUP(124,table_CIA_INLETS,7,FALSE)+VLOOKUP(124.1,table_CIA_INLETS,7,FALSE)</f>
        <v>5.48</v>
      </c>
      <c r="K369" s="637" t="s">
        <v>10</v>
      </c>
      <c r="L369" s="638" t="s">
        <v>10</v>
      </c>
      <c r="M369" s="636" t="s">
        <v>10</v>
      </c>
      <c r="N369" s="638" t="s">
        <v>10</v>
      </c>
      <c r="O369" s="638" t="s">
        <v>10</v>
      </c>
      <c r="P369" s="638">
        <f>VLOOKUP(124,table_CIA_INLETS,14,FALSE)</f>
        <v>29.583406476965578</v>
      </c>
      <c r="Q369" s="636">
        <f t="shared" si="23"/>
        <v>0.66440586077749919</v>
      </c>
      <c r="R369" s="635">
        <f>J369*Q369</f>
        <v>3.640944117060696</v>
      </c>
      <c r="S369" s="648">
        <v>18</v>
      </c>
      <c r="T369" s="636">
        <f>(4*R369)/(3.14159*(S369/12)^2)</f>
        <v>2.0603546425349069</v>
      </c>
      <c r="U369" s="637">
        <f>((R369/((0.463135/cell_NP)*((S369/12)^(8/3))))^2)*cell_FF</f>
        <v>1.3817961693566663E-3</v>
      </c>
      <c r="V369" s="646">
        <v>51</v>
      </c>
      <c r="W369" s="638">
        <f>V369/(T369*60)</f>
        <v>0.41255033597236607</v>
      </c>
      <c r="X369" s="638">
        <f>W369+P369</f>
        <v>29.995956812937944</v>
      </c>
      <c r="Y369" s="636">
        <f>U369*V369</f>
        <v>7.0471604637189975E-2</v>
      </c>
      <c r="Z369" s="636">
        <f>IF(VLOOKUP(105.1,table_CIA_JCTS,25,FALSE)+VLOOKUP(105,table_CIA_JCTS,24,FALSE)&lt;VLOOKUP(105,table_CIA_JCTS,28,FALSE),VLOOKUP(105,table_CIA_JCTS,28,FALSE),VLOOKUP(105.1,table_CIA_JCTS,25,FALSE)+VLOOKUP(105,table_CIA_JCTS,24,FALSE))</f>
        <v>393.76439268036427</v>
      </c>
      <c r="AA369" s="636">
        <v>399.04</v>
      </c>
      <c r="AB369" s="636">
        <f>(AA369-0.5)-Z369</f>
        <v>4.7756073196357534</v>
      </c>
      <c r="AC369" s="639" t="s">
        <v>10</v>
      </c>
      <c r="AD369" t="s">
        <v>10</v>
      </c>
    </row>
    <row r="370" spans="1:30" x14ac:dyDescent="0.2">
      <c r="A370" s="641"/>
      <c r="B370" s="633" t="s">
        <v>10</v>
      </c>
      <c r="C370" s="634">
        <v>124.2</v>
      </c>
      <c r="D370" s="635">
        <f>VLOOKUP(C370,table_DI,2)</f>
        <v>3.91</v>
      </c>
      <c r="E370" s="635" t="s">
        <v>10</v>
      </c>
      <c r="F370" s="636">
        <f>VLOOKUP(C370,table_DI,5)</f>
        <v>0.51918158567774941</v>
      </c>
      <c r="G370" s="635">
        <f>VLOOKUP(C370,table_DI,3)</f>
        <v>2.0300000000000002</v>
      </c>
      <c r="H370" s="635" t="s">
        <v>10</v>
      </c>
      <c r="I370" s="635">
        <f>VLOOKUP(C370,table_DI,4)</f>
        <v>2.0300000000000002</v>
      </c>
      <c r="J370" s="635" t="s">
        <v>10</v>
      </c>
      <c r="K370" s="637">
        <f>VLOOKUP(C370,table_DI,9)</f>
        <v>1.9836400817995889E-3</v>
      </c>
      <c r="L370" s="638">
        <f>VLOOKUP(C370,table_DI,8)</f>
        <v>978</v>
      </c>
      <c r="M370" s="636">
        <f>(0.84*(K370^0.5)*(cell_GUTDEP^0.6666)/cell_NRD)</f>
        <v>1.3114408820089472</v>
      </c>
      <c r="N370" s="638">
        <f>VLOOKUP(C370,table_DI,10)</f>
        <v>20</v>
      </c>
      <c r="O370" s="638">
        <f>(L370/(M370*60))</f>
        <v>12.429077226135151</v>
      </c>
      <c r="P370" s="638">
        <f>N370+O370</f>
        <v>32.429077226135149</v>
      </c>
      <c r="Q370" s="636">
        <f>cell_P*(P370^cell_E)</f>
        <v>0.62727298598934322</v>
      </c>
      <c r="R370" s="635">
        <f>Q370*I370</f>
        <v>1.2733641615583668</v>
      </c>
      <c r="S370" s="638" t="s">
        <v>10</v>
      </c>
      <c r="T370" s="636" t="s">
        <v>10</v>
      </c>
      <c r="U370" s="637" t="s">
        <v>10</v>
      </c>
      <c r="V370" s="638" t="s">
        <v>10</v>
      </c>
      <c r="W370" s="638" t="s">
        <v>10</v>
      </c>
      <c r="X370" s="638" t="s">
        <v>10</v>
      </c>
      <c r="Y370" s="636" t="s">
        <v>10</v>
      </c>
      <c r="Z370" s="636" t="s">
        <v>10</v>
      </c>
      <c r="AA370" s="636" t="s">
        <v>10</v>
      </c>
      <c r="AB370" s="636" t="s">
        <v>10</v>
      </c>
      <c r="AC370" s="639" t="s">
        <v>10</v>
      </c>
      <c r="AD370" t="s">
        <v>10</v>
      </c>
    </row>
    <row r="371" spans="1:30" ht="15.75" x14ac:dyDescent="0.25">
      <c r="A371" s="641"/>
      <c r="B371" s="633">
        <v>105.1</v>
      </c>
      <c r="C371" s="640" t="s">
        <v>10</v>
      </c>
      <c r="D371" s="635" t="s">
        <v>10</v>
      </c>
      <c r="E371" s="635">
        <f>VLOOKUP(105,table_CIA_JCTS,4,FALSE)+VLOOKUP(124.2,table_CIA_INLETS,2,FALSE)</f>
        <v>15.030000000000001</v>
      </c>
      <c r="F371" s="636" t="s">
        <v>10</v>
      </c>
      <c r="G371" s="635" t="s">
        <v>10</v>
      </c>
      <c r="H371" s="635">
        <f>VLOOKUP(105,table_CIA_JCTS,7,FALSE)+VLOOKUP(124.2,table_CIA_INLETS,5,FALSE)</f>
        <v>7.44</v>
      </c>
      <c r="I371" s="635" t="s">
        <v>10</v>
      </c>
      <c r="J371" s="635">
        <f>VLOOKUP(105,table_CIA_JCTS,9,FALSE)+VLOOKUP(124.2,table_CIA_INLETS,7,FALSE)</f>
        <v>7.5100000000000007</v>
      </c>
      <c r="K371" s="637" t="s">
        <v>10</v>
      </c>
      <c r="L371" s="638" t="s">
        <v>10</v>
      </c>
      <c r="M371" s="636" t="s">
        <v>10</v>
      </c>
      <c r="N371" s="638" t="s">
        <v>10</v>
      </c>
      <c r="O371" s="638" t="s">
        <v>10</v>
      </c>
      <c r="P371" s="638">
        <f>VLOOKUP(105,table_CIA_JCTS,23,FALSE)</f>
        <v>29.995956812937944</v>
      </c>
      <c r="Q371" s="636">
        <f>cell_P*(P371^cell_E)</f>
        <v>0.65866888850195937</v>
      </c>
      <c r="R371" s="635">
        <f>J371*Q371</f>
        <v>4.9466033526497153</v>
      </c>
      <c r="S371" s="648">
        <v>18</v>
      </c>
      <c r="T371" s="636">
        <f>(4*R371)/(3.14159*(S371/12)^2)</f>
        <v>2.7992072535950636</v>
      </c>
      <c r="U371" s="637">
        <f>((R371/((0.463135/cell_NP)*((S371/12)^(8/3))))^2)*cell_FF</f>
        <v>2.550528219199686E-3</v>
      </c>
      <c r="V371" s="646">
        <v>467</v>
      </c>
      <c r="W371" s="638">
        <f>V371/(T371*60)</f>
        <v>2.7805491441682579</v>
      </c>
      <c r="X371" s="638">
        <f>W371+P371</f>
        <v>32.776505957106203</v>
      </c>
      <c r="Y371" s="636">
        <f>U371*V371</f>
        <v>1.1910966783662533</v>
      </c>
      <c r="Z371" s="636">
        <f>IF(VLOOKUP(105.4,table_CIA_JCTS,25,FALSE)+VLOOKUP(105.1,table_CIA_JCTS,24,FALSE)&lt;VLOOKUP(105.1,table_CIA_JCTS,28,FALSE),VLOOKUP(105.1,table_CIA_JCTS,28,FALSE),VLOOKUP(105.4,table_CIA_JCTS,25,FALSE)+VLOOKUP(105.1,table_CIA_JCTS,24,FALSE))</f>
        <v>393.69392107572708</v>
      </c>
      <c r="AA371" s="636">
        <v>399.37</v>
      </c>
      <c r="AB371" s="636">
        <f>(AA371-0.5)-Z371</f>
        <v>5.1760789242729288</v>
      </c>
      <c r="AC371" s="639" t="s">
        <v>10</v>
      </c>
      <c r="AD371" t="s">
        <v>10</v>
      </c>
    </row>
    <row r="372" spans="1:30" x14ac:dyDescent="0.2">
      <c r="A372" s="641"/>
      <c r="B372" s="633" t="s">
        <v>10</v>
      </c>
      <c r="C372" s="640" t="s">
        <v>10</v>
      </c>
      <c r="D372" s="635" t="s">
        <v>10</v>
      </c>
      <c r="E372" s="635" t="s">
        <v>10</v>
      </c>
      <c r="F372" s="636" t="s">
        <v>10</v>
      </c>
      <c r="G372" s="635" t="s">
        <v>10</v>
      </c>
      <c r="H372" s="635" t="s">
        <v>10</v>
      </c>
      <c r="I372" s="635" t="s">
        <v>10</v>
      </c>
      <c r="J372" s="635" t="s">
        <v>10</v>
      </c>
      <c r="K372" s="637" t="s">
        <v>10</v>
      </c>
      <c r="L372" s="638" t="s">
        <v>10</v>
      </c>
      <c r="M372" s="636" t="s">
        <v>10</v>
      </c>
      <c r="N372" s="638" t="s">
        <v>10</v>
      </c>
      <c r="O372" s="638" t="s">
        <v>10</v>
      </c>
      <c r="P372" s="638" t="s">
        <v>10</v>
      </c>
      <c r="Q372" s="636" t="s">
        <v>10</v>
      </c>
      <c r="R372" s="635" t="s">
        <v>10</v>
      </c>
      <c r="S372" s="638" t="s">
        <v>10</v>
      </c>
      <c r="T372" s="636" t="s">
        <v>10</v>
      </c>
      <c r="U372" s="637" t="s">
        <v>10</v>
      </c>
      <c r="V372" s="638" t="s">
        <v>10</v>
      </c>
      <c r="W372" s="638" t="s">
        <v>10</v>
      </c>
      <c r="X372" s="638" t="s">
        <v>10</v>
      </c>
      <c r="Y372" s="636" t="s">
        <v>10</v>
      </c>
      <c r="Z372" s="636" t="s">
        <v>10</v>
      </c>
      <c r="AA372" s="636" t="s">
        <v>10</v>
      </c>
      <c r="AB372" s="636" t="s">
        <v>10</v>
      </c>
      <c r="AC372" s="639" t="s">
        <v>10</v>
      </c>
      <c r="AD372" t="s">
        <v>10</v>
      </c>
    </row>
    <row r="373" spans="1:30" x14ac:dyDescent="0.2">
      <c r="A373" s="641"/>
      <c r="B373" s="633" t="s">
        <v>10</v>
      </c>
      <c r="C373" s="634">
        <v>124.3</v>
      </c>
      <c r="D373" s="635">
        <f>VLOOKUP(C373,table_DI,2)</f>
        <v>4.13</v>
      </c>
      <c r="E373" s="635" t="s">
        <v>10</v>
      </c>
      <c r="F373" s="636">
        <f>VLOOKUP(C373,table_DI,5)</f>
        <v>0.50605326876513312</v>
      </c>
      <c r="G373" s="635">
        <f>VLOOKUP(C373,table_DI,3)</f>
        <v>2.09</v>
      </c>
      <c r="H373" s="635" t="s">
        <v>10</v>
      </c>
      <c r="I373" s="635">
        <f>VLOOKUP(C373,table_DI,4)</f>
        <v>2.09</v>
      </c>
      <c r="J373" s="635" t="s">
        <v>10</v>
      </c>
      <c r="K373" s="637">
        <f>VLOOKUP(C373,table_DI,9)</f>
        <v>3.1201382886775772E-3</v>
      </c>
      <c r="L373" s="638">
        <f>VLOOKUP(C373,table_DI,8)</f>
        <v>1157</v>
      </c>
      <c r="M373" s="636">
        <f>(0.84*(K373^0.5)*(cell_GUTDEP^0.6666)/cell_NRD)</f>
        <v>1.6447663106672625</v>
      </c>
      <c r="N373" s="638">
        <f>VLOOKUP(C373,table_DI,10)</f>
        <v>20</v>
      </c>
      <c r="O373" s="638">
        <f>(L373/(M373*60))</f>
        <v>11.724056608084529</v>
      </c>
      <c r="P373" s="638">
        <f>N373+O373</f>
        <v>31.724056608084531</v>
      </c>
      <c r="Q373" s="636">
        <f>cell_P*(P373^cell_E)</f>
        <v>0.63596645902600901</v>
      </c>
      <c r="R373" s="635">
        <f>Q373*I373</f>
        <v>1.3291698993643588</v>
      </c>
      <c r="S373" s="638" t="s">
        <v>10</v>
      </c>
      <c r="T373" s="636" t="s">
        <v>10</v>
      </c>
      <c r="U373" s="637" t="s">
        <v>10</v>
      </c>
      <c r="V373" s="638" t="s">
        <v>10</v>
      </c>
      <c r="W373" s="638" t="s">
        <v>10</v>
      </c>
      <c r="X373" s="638" t="s">
        <v>10</v>
      </c>
      <c r="Y373" s="636" t="s">
        <v>10</v>
      </c>
      <c r="Z373" s="636" t="s">
        <v>10</v>
      </c>
      <c r="AA373" s="636" t="s">
        <v>10</v>
      </c>
      <c r="AB373" s="636" t="s">
        <v>10</v>
      </c>
      <c r="AC373" s="639" t="s">
        <v>10</v>
      </c>
      <c r="AD373" t="s">
        <v>10</v>
      </c>
    </row>
    <row r="374" spans="1:30" x14ac:dyDescent="0.2">
      <c r="A374" s="641"/>
      <c r="B374" s="633" t="s">
        <v>10</v>
      </c>
      <c r="C374" s="634">
        <v>124.4</v>
      </c>
      <c r="D374" s="635">
        <f>VLOOKUP(C374,table_DI,2)</f>
        <v>17.350000000000001</v>
      </c>
      <c r="E374" s="635" t="s">
        <v>10</v>
      </c>
      <c r="F374" s="636">
        <f>VLOOKUP(C374,table_DI,5)</f>
        <v>0.50028818443804024</v>
      </c>
      <c r="G374" s="635">
        <f>VLOOKUP(C374,table_DI,3)</f>
        <v>8.68</v>
      </c>
      <c r="H374" s="635" t="s">
        <v>10</v>
      </c>
      <c r="I374" s="635">
        <f>VLOOKUP(C374,table_DI,4)</f>
        <v>8.68</v>
      </c>
      <c r="J374" s="635" t="s">
        <v>10</v>
      </c>
      <c r="K374" s="637">
        <f>VLOOKUP(C374,table_DI,9)</f>
        <v>2.7895392278954037E-3</v>
      </c>
      <c r="L374" s="638">
        <f>VLOOKUP(C374,table_DI,8)</f>
        <v>1606</v>
      </c>
      <c r="M374" s="636">
        <f>(0.84*(K374^0.5)*(cell_GUTDEP^0.6666)/cell_NRD)</f>
        <v>1.5551902215578148</v>
      </c>
      <c r="N374" s="638">
        <f>VLOOKUP(C374,table_DI,10)</f>
        <v>20</v>
      </c>
      <c r="O374" s="638">
        <f>(L374/(M374*60))</f>
        <v>17.211185034236408</v>
      </c>
      <c r="P374" s="638">
        <f>N374+O374</f>
        <v>37.211185034236408</v>
      </c>
      <c r="Q374" s="636">
        <f>cell_P*(P374^cell_E)</f>
        <v>0.5755036459186077</v>
      </c>
      <c r="R374" s="635">
        <f>Q374*I374</f>
        <v>4.9953716465735143</v>
      </c>
      <c r="S374" s="638" t="s">
        <v>10</v>
      </c>
      <c r="T374" s="636" t="s">
        <v>10</v>
      </c>
      <c r="U374" s="637" t="s">
        <v>10</v>
      </c>
      <c r="V374" s="638" t="s">
        <v>10</v>
      </c>
      <c r="W374" s="638" t="s">
        <v>10</v>
      </c>
      <c r="X374" s="638" t="s">
        <v>10</v>
      </c>
      <c r="Y374" s="636" t="s">
        <v>10</v>
      </c>
      <c r="Z374" s="636" t="s">
        <v>10</v>
      </c>
      <c r="AA374" s="636" t="s">
        <v>10</v>
      </c>
      <c r="AB374" s="636" t="s">
        <v>10</v>
      </c>
      <c r="AC374" s="639" t="s">
        <v>10</v>
      </c>
      <c r="AD374" t="s">
        <v>10</v>
      </c>
    </row>
    <row r="375" spans="1:30" ht="15.75" x14ac:dyDescent="0.25">
      <c r="A375" s="641"/>
      <c r="B375" s="633">
        <v>105.2</v>
      </c>
      <c r="C375" s="640" t="s">
        <v>10</v>
      </c>
      <c r="D375" s="635" t="s">
        <v>10</v>
      </c>
      <c r="E375" s="635">
        <f>VLOOKUP(124.3,table_CIA_INLETS,2,FALSE)+VLOOKUP(124.4,table_CIA_INLETS,2,FALSE)</f>
        <v>21.48</v>
      </c>
      <c r="F375" s="636" t="s">
        <v>10</v>
      </c>
      <c r="G375" s="635" t="s">
        <v>10</v>
      </c>
      <c r="H375" s="635">
        <f>VLOOKUP(124.3,table_CIA_INLETS,5,FALSE)+VLOOKUP(124.4,table_CIA_INLETS,5,FALSE)</f>
        <v>10.77</v>
      </c>
      <c r="I375" s="635" t="s">
        <v>10</v>
      </c>
      <c r="J375" s="635">
        <f>VLOOKUP(124.3,table_CIA_INLETS,7,FALSE)+VLOOKUP(124.4,table_CIA_INLETS,7,FALSE)</f>
        <v>10.77</v>
      </c>
      <c r="K375" s="637" t="s">
        <v>10</v>
      </c>
      <c r="L375" s="638" t="s">
        <v>10</v>
      </c>
      <c r="M375" s="636" t="s">
        <v>10</v>
      </c>
      <c r="N375" s="638" t="s">
        <v>10</v>
      </c>
      <c r="O375" s="638" t="s">
        <v>10</v>
      </c>
      <c r="P375" s="638">
        <f>VLOOKUP(124.4,table_CIA_INLETS,14,FALSE)</f>
        <v>37.211185034236408</v>
      </c>
      <c r="Q375" s="636">
        <f>cell_P*(P375^cell_E)</f>
        <v>0.5755036459186077</v>
      </c>
      <c r="R375" s="635">
        <f>J375*Q375</f>
        <v>6.198174266543405</v>
      </c>
      <c r="S375" s="648">
        <v>24</v>
      </c>
      <c r="T375" s="636">
        <f>(4*R375)/(3.14159*(S375/12)^2)</f>
        <v>1.9729418118033879</v>
      </c>
      <c r="U375" s="637">
        <f>((R375/((0.463135/cell_NP)*((S375/12)^(8/3))))^2)*cell_FF</f>
        <v>8.6338320161929733E-4</v>
      </c>
      <c r="V375" s="646">
        <v>39</v>
      </c>
      <c r="W375" s="638">
        <f>V375/(T375*60)</f>
        <v>0.32945725824820993</v>
      </c>
      <c r="X375" s="638">
        <f>W375+P375</f>
        <v>37.54064229248462</v>
      </c>
      <c r="Y375" s="636">
        <f>U375*V375</f>
        <v>3.3671944863152593E-2</v>
      </c>
      <c r="Z375" s="636">
        <f>IF(VLOOKUP(105.4,table_CIA_JCTS,25,FALSE)+VLOOKUP(105.2,table_CIA_JCTS,24,FALSE)&lt;VLOOKUP(105.2,table_CIA_JCTS,28,FALSE),VLOOKUP(105.2,table_CIA_JCTS,28,FALSE),VLOOKUP(105.4,table_CIA_JCTS,25,FALSE)+VLOOKUP(105.2,table_CIA_JCTS,24,FALSE))</f>
        <v>392.53649634222398</v>
      </c>
      <c r="AA375" s="636">
        <v>399.18</v>
      </c>
      <c r="AB375" s="636">
        <f>(AA375-0.5)-Z375</f>
        <v>6.1435036577760229</v>
      </c>
      <c r="AC375" s="639" t="s">
        <v>10</v>
      </c>
      <c r="AD375" t="s">
        <v>10</v>
      </c>
    </row>
    <row r="376" spans="1:30" x14ac:dyDescent="0.2">
      <c r="A376" s="641"/>
      <c r="B376" s="633" t="s">
        <v>10</v>
      </c>
      <c r="C376" s="640" t="s">
        <v>10</v>
      </c>
      <c r="D376" s="635" t="s">
        <v>10</v>
      </c>
      <c r="E376" s="635" t="s">
        <v>10</v>
      </c>
      <c r="F376" s="636" t="s">
        <v>10</v>
      </c>
      <c r="G376" s="635" t="s">
        <v>10</v>
      </c>
      <c r="H376" s="635" t="s">
        <v>10</v>
      </c>
      <c r="I376" s="635" t="s">
        <v>10</v>
      </c>
      <c r="J376" s="635" t="s">
        <v>10</v>
      </c>
      <c r="K376" s="637" t="s">
        <v>10</v>
      </c>
      <c r="L376" s="638" t="s">
        <v>10</v>
      </c>
      <c r="M376" s="636" t="s">
        <v>10</v>
      </c>
      <c r="N376" s="638" t="s">
        <v>10</v>
      </c>
      <c r="O376" s="638" t="s">
        <v>10</v>
      </c>
      <c r="P376" s="638" t="s">
        <v>10</v>
      </c>
      <c r="Q376" s="636" t="s">
        <v>10</v>
      </c>
      <c r="R376" s="635" t="s">
        <v>10</v>
      </c>
      <c r="S376" s="638" t="s">
        <v>10</v>
      </c>
      <c r="T376" s="636" t="s">
        <v>10</v>
      </c>
      <c r="U376" s="637" t="s">
        <v>10</v>
      </c>
      <c r="V376" s="638" t="s">
        <v>10</v>
      </c>
      <c r="W376" s="638" t="s">
        <v>10</v>
      </c>
      <c r="X376" s="638" t="s">
        <v>10</v>
      </c>
      <c r="Y376" s="636" t="s">
        <v>10</v>
      </c>
      <c r="Z376" s="636" t="s">
        <v>10</v>
      </c>
      <c r="AA376" s="636" t="s">
        <v>10</v>
      </c>
      <c r="AB376" s="636" t="s">
        <v>10</v>
      </c>
      <c r="AC376" s="639" t="s">
        <v>10</v>
      </c>
      <c r="AD376" t="s">
        <v>10</v>
      </c>
    </row>
    <row r="377" spans="1:30" x14ac:dyDescent="0.2">
      <c r="A377" s="641"/>
      <c r="B377" s="633" t="s">
        <v>10</v>
      </c>
      <c r="C377" s="634">
        <v>124.5</v>
      </c>
      <c r="D377" s="635">
        <f>VLOOKUP(C377,table_DI,2)</f>
        <v>1.02</v>
      </c>
      <c r="E377" s="635" t="s">
        <v>10</v>
      </c>
      <c r="F377" s="636">
        <f>VLOOKUP(C377,table_DI,5)</f>
        <v>0.59803921568627449</v>
      </c>
      <c r="G377" s="635">
        <f>VLOOKUP(C377,table_DI,3)</f>
        <v>0.61</v>
      </c>
      <c r="H377" s="635" t="s">
        <v>10</v>
      </c>
      <c r="I377" s="635">
        <f>VLOOKUP(C377,table_DI,4)</f>
        <v>0.61</v>
      </c>
      <c r="J377" s="635" t="s">
        <v>10</v>
      </c>
      <c r="K377" s="637">
        <f>VLOOKUP(C377,table_DI,9)</f>
        <v>3.2746478873239677E-3</v>
      </c>
      <c r="L377" s="638">
        <f>VLOOKUP(C377,table_DI,8)</f>
        <v>284</v>
      </c>
      <c r="M377" s="636">
        <f>(0.84*(K377^0.5)*(cell_GUTDEP^0.6666)/cell_NRD)</f>
        <v>1.6849987562400648</v>
      </c>
      <c r="N377" s="638">
        <f>VLOOKUP(C377,table_DI,10)</f>
        <v>20</v>
      </c>
      <c r="O377" s="638">
        <f>(L377/(M377*60))</f>
        <v>2.8091019745886192</v>
      </c>
      <c r="P377" s="638">
        <f>N377+O377</f>
        <v>22.809101974588618</v>
      </c>
      <c r="Q377" s="636">
        <f>cell_P*(P377^cell_E)</f>
        <v>0.78190948058410137</v>
      </c>
      <c r="R377" s="635">
        <f>Q377*I377</f>
        <v>0.47696478315630181</v>
      </c>
      <c r="S377" s="638" t="s">
        <v>10</v>
      </c>
      <c r="T377" s="636" t="s">
        <v>10</v>
      </c>
      <c r="U377" s="637" t="s">
        <v>10</v>
      </c>
      <c r="V377" s="638" t="s">
        <v>10</v>
      </c>
      <c r="W377" s="638" t="s">
        <v>10</v>
      </c>
      <c r="X377" s="638" t="s">
        <v>10</v>
      </c>
      <c r="Y377" s="636" t="s">
        <v>10</v>
      </c>
      <c r="Z377" s="636" t="s">
        <v>10</v>
      </c>
      <c r="AA377" s="636" t="s">
        <v>10</v>
      </c>
      <c r="AB377" s="636" t="s">
        <v>10</v>
      </c>
      <c r="AC377" s="639" t="s">
        <v>10</v>
      </c>
      <c r="AD377" t="s">
        <v>10</v>
      </c>
    </row>
    <row r="378" spans="1:30" x14ac:dyDescent="0.2">
      <c r="A378" s="641"/>
      <c r="B378" s="633" t="s">
        <v>10</v>
      </c>
      <c r="C378" s="634">
        <v>124.6</v>
      </c>
      <c r="D378" s="635">
        <f>VLOOKUP(C378,table_DI,2)</f>
        <v>2.74</v>
      </c>
      <c r="E378" s="635" t="s">
        <v>10</v>
      </c>
      <c r="F378" s="636">
        <f>VLOOKUP(C378,table_DI,5)</f>
        <v>0.5</v>
      </c>
      <c r="G378" s="635">
        <f>VLOOKUP(C378,table_DI,3)</f>
        <v>1.37</v>
      </c>
      <c r="H378" s="635" t="s">
        <v>10</v>
      </c>
      <c r="I378" s="635">
        <f>VLOOKUP(C378,table_DI,4)</f>
        <v>1.37</v>
      </c>
      <c r="J378" s="635" t="s">
        <v>10</v>
      </c>
      <c r="K378" s="637">
        <f>VLOOKUP(C378,table_DI,9)</f>
        <v>6.7484472049689501E-3</v>
      </c>
      <c r="L378" s="638">
        <f>VLOOKUP(C378,table_DI,8)</f>
        <v>644</v>
      </c>
      <c r="M378" s="636">
        <f>(0.84*(K378^0.5)*(cell_GUTDEP^0.6666)/cell_NRD)</f>
        <v>2.418907202657024</v>
      </c>
      <c r="N378" s="638">
        <f>VLOOKUP(C378,table_DI,10)</f>
        <v>20</v>
      </c>
      <c r="O378" s="638">
        <f>(L378/(M378*60))</f>
        <v>4.4372654401720801</v>
      </c>
      <c r="P378" s="638">
        <f>N378+O378</f>
        <v>24.43726544017208</v>
      </c>
      <c r="Q378" s="636">
        <f>cell_P*(P378^cell_E)</f>
        <v>0.7488680180483599</v>
      </c>
      <c r="R378" s="635">
        <f>Q378*I378</f>
        <v>1.0259491847262532</v>
      </c>
      <c r="S378" s="638" t="s">
        <v>10</v>
      </c>
      <c r="T378" s="636" t="s">
        <v>10</v>
      </c>
      <c r="U378" s="637" t="s">
        <v>10</v>
      </c>
      <c r="V378" s="638" t="s">
        <v>10</v>
      </c>
      <c r="W378" s="638" t="s">
        <v>10</v>
      </c>
      <c r="X378" s="638" t="s">
        <v>10</v>
      </c>
      <c r="Y378" s="636" t="s">
        <v>10</v>
      </c>
      <c r="Z378" s="636" t="s">
        <v>10</v>
      </c>
      <c r="AA378" s="636" t="s">
        <v>10</v>
      </c>
      <c r="AB378" s="636" t="s">
        <v>10</v>
      </c>
      <c r="AC378" s="639" t="s">
        <v>10</v>
      </c>
      <c r="AD378" t="s">
        <v>10</v>
      </c>
    </row>
    <row r="379" spans="1:30" ht="15.75" x14ac:dyDescent="0.25">
      <c r="A379" s="641"/>
      <c r="B379" s="633">
        <v>105.3</v>
      </c>
      <c r="C379" s="640" t="s">
        <v>10</v>
      </c>
      <c r="D379" s="635" t="s">
        <v>10</v>
      </c>
      <c r="E379" s="635">
        <f>VLOOKUP(124.5,table_CIA_INLETS,2,FALSE)+VLOOKUP(124.6,table_CIA_INLETS,2,FALSE)</f>
        <v>3.7600000000000002</v>
      </c>
      <c r="F379" s="636" t="s">
        <v>10</v>
      </c>
      <c r="G379" s="635" t="s">
        <v>10</v>
      </c>
      <c r="H379" s="635">
        <f>VLOOKUP(124.5,table_CIA_INLETS,5,FALSE)+VLOOKUP(124.6,table_CIA_INLETS,5,FALSE)</f>
        <v>1.98</v>
      </c>
      <c r="I379" s="635" t="s">
        <v>10</v>
      </c>
      <c r="J379" s="635">
        <f>VLOOKUP(124.5,table_CIA_INLETS,7,FALSE)+VLOOKUP(124.6,table_CIA_INLETS,7,FALSE)</f>
        <v>1.98</v>
      </c>
      <c r="K379" s="637" t="s">
        <v>10</v>
      </c>
      <c r="L379" s="638" t="s">
        <v>10</v>
      </c>
      <c r="M379" s="636" t="s">
        <v>10</v>
      </c>
      <c r="N379" s="638" t="s">
        <v>10</v>
      </c>
      <c r="O379" s="638" t="s">
        <v>10</v>
      </c>
      <c r="P379" s="638">
        <f>VLOOKUP(124.6,table_CIA_INLETS,14,FALSE)</f>
        <v>24.43726544017208</v>
      </c>
      <c r="Q379" s="636">
        <f>cell_P*(P379^cell_E)</f>
        <v>0.7488680180483599</v>
      </c>
      <c r="R379" s="635">
        <f>J379*Q379</f>
        <v>1.4827586757357525</v>
      </c>
      <c r="S379" s="646">
        <v>18</v>
      </c>
      <c r="T379" s="636">
        <f>(4*R379)/(3.14159*(S379/12)^2)</f>
        <v>0.83907047817513636</v>
      </c>
      <c r="U379" s="637">
        <f>((R379/((0.463135/cell_NP)*((S379/12)^(8/3))))^2)*cell_FF</f>
        <v>2.291695466120984E-4</v>
      </c>
      <c r="V379" s="646">
        <v>48</v>
      </c>
      <c r="W379" s="638">
        <f>V379/(T379*60)</f>
        <v>0.95343599948825597</v>
      </c>
      <c r="X379" s="638">
        <f>W379+P379</f>
        <v>25.390701439660337</v>
      </c>
      <c r="Y379" s="636">
        <f>U379*V379</f>
        <v>1.1000138237380722E-2</v>
      </c>
      <c r="Z379" s="636">
        <f>IF(VLOOKUP(105.4,table_CIA_JCTS,25,FALSE)+VLOOKUP(105.3,table_CIA_JCTS,24,FALSE)&lt;VLOOKUP(105.3,table_CIA_JCTS,28,FALSE),VLOOKUP(105.3,table_CIA_JCTS,28,FALSE),VLOOKUP(105.4,table_CIA_JCTS,25,FALSE)+VLOOKUP(105.3,table_CIA_JCTS,24,FALSE))</f>
        <v>392.51382453559819</v>
      </c>
      <c r="AA379" s="636">
        <v>399.34</v>
      </c>
      <c r="AB379" s="636">
        <f>(AA379-0.5)-Z379</f>
        <v>6.3261754644017856</v>
      </c>
      <c r="AC379" s="639" t="s">
        <v>10</v>
      </c>
      <c r="AD379" t="s">
        <v>10</v>
      </c>
    </row>
    <row r="380" spans="1:30" ht="15.75" x14ac:dyDescent="0.25">
      <c r="A380" s="641"/>
      <c r="B380" s="633">
        <v>105.4</v>
      </c>
      <c r="C380" s="640" t="s">
        <v>10</v>
      </c>
      <c r="D380" s="635" t="s">
        <v>10</v>
      </c>
      <c r="E380" s="635">
        <f>VLOOKUP(105.1,table_CIA_JCTS,4,FALSE)+VLOOKUP(105.2,table_CIA_JCTS,4,FALSE)+VLOOKUP(105.3,table_CIA_JCTS,4,FALSE)</f>
        <v>40.270000000000003</v>
      </c>
      <c r="F380" s="636" t="s">
        <v>10</v>
      </c>
      <c r="G380" s="635" t="s">
        <v>10</v>
      </c>
      <c r="H380" s="635">
        <f>VLOOKUP(105.1,table_CIA_JCTS,7,FALSE)+VLOOKUP(105.2,table_CIA_JCTS,7,FALSE)+VLOOKUP(105.3,table_CIA_JCTS,7,FALSE)</f>
        <v>20.190000000000001</v>
      </c>
      <c r="I380" s="635" t="s">
        <v>10</v>
      </c>
      <c r="J380" s="635">
        <f>VLOOKUP(105.1,table_CIA_JCTS,9,FALSE)+VLOOKUP(105.2,table_CIA_JCTS,9,FALSE)+VLOOKUP(105.3,table_CIA_JCTS,9,FALSE)</f>
        <v>20.260000000000002</v>
      </c>
      <c r="K380" s="637" t="s">
        <v>10</v>
      </c>
      <c r="L380" s="638" t="s">
        <v>10</v>
      </c>
      <c r="M380" s="636" t="s">
        <v>10</v>
      </c>
      <c r="N380" s="638" t="s">
        <v>10</v>
      </c>
      <c r="O380" s="638" t="s">
        <v>10</v>
      </c>
      <c r="P380" s="638">
        <f>VLOOKUP(105.2,table_CIA_JCTS,23,FALSE)</f>
        <v>37.54064229248462</v>
      </c>
      <c r="Q380" s="636">
        <f>cell_P*(P380^cell_E)</f>
        <v>0.57233573355258882</v>
      </c>
      <c r="R380" s="635">
        <f>J380*Q380</f>
        <v>11.59552196177545</v>
      </c>
      <c r="S380" s="646">
        <v>30</v>
      </c>
      <c r="T380" s="636">
        <f>(4*R380)/(3.14159*(S380/12)^2)</f>
        <v>2.3622223318562536</v>
      </c>
      <c r="U380" s="637">
        <f>((R380/((0.463135/cell_NP)*((S380/12)^(8/3))))^2)*cell_FF</f>
        <v>9.1918564265349671E-4</v>
      </c>
      <c r="V380" s="646">
        <v>777</v>
      </c>
      <c r="W380" s="638">
        <f>V380/(T380*60)</f>
        <v>5.482125803892381</v>
      </c>
      <c r="X380" s="638">
        <f>W380+P380</f>
        <v>43.022768096377</v>
      </c>
      <c r="Y380" s="636">
        <f>U380*V380</f>
        <v>0.71420724434176697</v>
      </c>
      <c r="Z380" s="636">
        <f>IF(VLOOKUP(106,table_CIA_JCTS,25,FALSE)+VLOOKUP(105.4,table_CIA_JCTS,24,FALSE)&lt;VLOOKUP(105.4,table_CIA_JCTS,28,FALSE),VLOOKUP(105.4,table_CIA_JCTS,28,FALSE),VLOOKUP(106,table_CIA_JCTS,25,FALSE)+VLOOKUP(105.4,table_CIA_JCTS,24,FALSE))</f>
        <v>392.50282439736083</v>
      </c>
      <c r="AA380" s="636">
        <v>399.18</v>
      </c>
      <c r="AB380" s="636">
        <f>(AA380-0.5)-Z380</f>
        <v>6.1771756026391813</v>
      </c>
      <c r="AC380" s="639" t="s">
        <v>10</v>
      </c>
      <c r="AD380" t="s">
        <v>10</v>
      </c>
    </row>
    <row r="381" spans="1:30" x14ac:dyDescent="0.2">
      <c r="A381" s="641"/>
      <c r="B381" s="633" t="s">
        <v>10</v>
      </c>
      <c r="C381" s="634">
        <v>125</v>
      </c>
      <c r="D381" s="635">
        <f>VLOOKUP(C381,table_DI,2)</f>
        <v>5.07</v>
      </c>
      <c r="E381" s="635" t="s">
        <v>10</v>
      </c>
      <c r="F381" s="636">
        <f>VLOOKUP(C381,table_DI,5)</f>
        <v>0.61538461538461542</v>
      </c>
      <c r="G381" s="635">
        <f>VLOOKUP(C381,table_DI,3)</f>
        <v>3.12</v>
      </c>
      <c r="H381" s="635" t="s">
        <v>10</v>
      </c>
      <c r="I381" s="635">
        <f>VLOOKUP(C381,table_DI,4)</f>
        <v>3.12</v>
      </c>
      <c r="J381" s="635" t="s">
        <v>10</v>
      </c>
      <c r="K381" s="637">
        <f>VLOOKUP(C381,table_DI,9)</f>
        <v>1.5422578655151142E-3</v>
      </c>
      <c r="L381" s="638">
        <f>VLOOKUP(C381,table_DI,8)</f>
        <v>1621</v>
      </c>
      <c r="M381" s="636">
        <f>(0.84*(K381^0.5)*(cell_GUTDEP^0.6666)/cell_NRD)</f>
        <v>1.156367233956707</v>
      </c>
      <c r="N381" s="638">
        <f>VLOOKUP(C381,table_DI,10)</f>
        <v>20</v>
      </c>
      <c r="O381" s="638">
        <f>(L381/(M381*60))</f>
        <v>23.363396915203616</v>
      </c>
      <c r="P381" s="638">
        <f>N381+O381</f>
        <v>43.363396915203616</v>
      </c>
      <c r="Q381" s="636">
        <f t="shared" si="23"/>
        <v>0.52292236628511868</v>
      </c>
      <c r="R381" s="635">
        <f>Q381*I381</f>
        <v>1.6315177828095704</v>
      </c>
      <c r="S381" s="638" t="s">
        <v>10</v>
      </c>
      <c r="T381" s="636" t="s">
        <v>10</v>
      </c>
      <c r="U381" s="637" t="s">
        <v>10</v>
      </c>
      <c r="V381" s="638" t="s">
        <v>10</v>
      </c>
      <c r="W381" s="638" t="s">
        <v>10</v>
      </c>
      <c r="X381" s="638" t="s">
        <v>10</v>
      </c>
      <c r="Y381" s="636" t="s">
        <v>10</v>
      </c>
      <c r="Z381" s="636" t="s">
        <v>10</v>
      </c>
      <c r="AA381" s="636" t="s">
        <v>10</v>
      </c>
      <c r="AB381" s="636" t="s">
        <v>10</v>
      </c>
      <c r="AC381" s="639" t="s">
        <v>10</v>
      </c>
      <c r="AD381" t="s">
        <v>10</v>
      </c>
    </row>
    <row r="382" spans="1:30" x14ac:dyDescent="0.2">
      <c r="A382" s="641"/>
      <c r="B382" s="633" t="s">
        <v>10</v>
      </c>
      <c r="C382" s="634">
        <v>126</v>
      </c>
      <c r="D382" s="635">
        <f>VLOOKUP(C382,table_DI,2)</f>
        <v>3.25</v>
      </c>
      <c r="E382" s="635" t="s">
        <v>10</v>
      </c>
      <c r="F382" s="636">
        <f>VLOOKUP(C382,table_DI,5)</f>
        <v>0.54153846153846152</v>
      </c>
      <c r="G382" s="635">
        <f>VLOOKUP(C382,table_DI,3)</f>
        <v>1.76</v>
      </c>
      <c r="H382" s="635" t="s">
        <v>10</v>
      </c>
      <c r="I382" s="635">
        <f>VLOOKUP(C382,table_DI,4)</f>
        <v>1.76</v>
      </c>
      <c r="J382" s="635" t="s">
        <v>10</v>
      </c>
      <c r="K382" s="637">
        <f>VLOOKUP(C382,table_DI,9)</f>
        <v>3.1200000000000728E-3</v>
      </c>
      <c r="L382" s="638">
        <f>VLOOKUP(C382,table_DI,8)</f>
        <v>625</v>
      </c>
      <c r="M382" s="636">
        <f>(0.84*(K382^0.5)*(cell_GUTDEP^0.6666)/cell_NRD)</f>
        <v>1.6447298611484964</v>
      </c>
      <c r="N382" s="638">
        <f>VLOOKUP(C382,table_DI,10)</f>
        <v>20</v>
      </c>
      <c r="O382" s="638">
        <f>(L382/(M382*60))</f>
        <v>6.3333602147849533</v>
      </c>
      <c r="P382" s="638">
        <f>N382+O382</f>
        <v>26.333360214784953</v>
      </c>
      <c r="Q382" s="636">
        <f t="shared" ref="Q382:Q388" si="24">cell_P*(P382^cell_E)</f>
        <v>0.71463254927757636</v>
      </c>
      <c r="R382" s="635">
        <f>Q382*I382</f>
        <v>1.2577532867285344</v>
      </c>
      <c r="S382" s="638" t="s">
        <v>10</v>
      </c>
      <c r="T382" s="636" t="s">
        <v>10</v>
      </c>
      <c r="U382" s="637" t="s">
        <v>10</v>
      </c>
      <c r="V382" s="638" t="s">
        <v>10</v>
      </c>
      <c r="W382" s="638" t="s">
        <v>10</v>
      </c>
      <c r="X382" s="638" t="s">
        <v>10</v>
      </c>
      <c r="Y382" s="636" t="s">
        <v>10</v>
      </c>
      <c r="Z382" s="636" t="s">
        <v>10</v>
      </c>
      <c r="AA382" s="636" t="s">
        <v>10</v>
      </c>
      <c r="AB382" s="636" t="s">
        <v>10</v>
      </c>
      <c r="AC382" s="639" t="s">
        <v>10</v>
      </c>
      <c r="AD382" t="s">
        <v>10</v>
      </c>
    </row>
    <row r="383" spans="1:30" ht="15.75" x14ac:dyDescent="0.25">
      <c r="A383" s="641"/>
      <c r="B383" s="633">
        <v>106</v>
      </c>
      <c r="C383" s="640" t="s">
        <v>10</v>
      </c>
      <c r="D383" s="635" t="s">
        <v>10</v>
      </c>
      <c r="E383" s="635">
        <f>VLOOKUP(105.4,table_CIA_JCTS,4,FALSE)+VLOOKUP(125,table_CIA_INLETS,2,FALSE)+VLOOKUP(126,table_CIA_INLETS,2,FALSE)</f>
        <v>48.59</v>
      </c>
      <c r="F383" s="636" t="s">
        <v>10</v>
      </c>
      <c r="G383" s="635" t="s">
        <v>10</v>
      </c>
      <c r="H383" s="635">
        <f>VLOOKUP(105.4,table_CIA_JCTS,7,FALSE)+VLOOKUP(125,table_CIA_INLETS,5,FALSE)+VLOOKUP(126,table_CIA_INLETS,5,FALSE)</f>
        <v>25.070000000000004</v>
      </c>
      <c r="I383" s="635" t="s">
        <v>10</v>
      </c>
      <c r="J383" s="635">
        <f>VLOOKUP(105.4,table_CIA_JCTS,9,FALSE)+VLOOKUP(125,table_CIA_INLETS,7,FALSE)+VLOOKUP(126,table_CIA_INLETS,7,FALSE)</f>
        <v>25.140000000000004</v>
      </c>
      <c r="K383" s="637" t="s">
        <v>10</v>
      </c>
      <c r="L383" s="638" t="s">
        <v>10</v>
      </c>
      <c r="M383" s="636" t="s">
        <v>10</v>
      </c>
      <c r="N383" s="638" t="s">
        <v>10</v>
      </c>
      <c r="O383" s="638" t="s">
        <v>10</v>
      </c>
      <c r="P383" s="638">
        <f>VLOOKUP(105.4,table_CIA_JCTS,23,FALSE)</f>
        <v>43.022768096377</v>
      </c>
      <c r="Q383" s="636">
        <f t="shared" si="24"/>
        <v>0.52551113060049148</v>
      </c>
      <c r="R383" s="635">
        <f>J383*Q383</f>
        <v>13.211349823296358</v>
      </c>
      <c r="S383" s="648">
        <v>30</v>
      </c>
      <c r="T383" s="636">
        <f>(4*R383)/(3.14159*(S383/12)^2)</f>
        <v>2.691396358821383</v>
      </c>
      <c r="U383" s="637">
        <f>((R383/((0.463135/cell_NP)*((S383/12)^(8/3))))^2)*cell_FF</f>
        <v>1.1932103489805158E-3</v>
      </c>
      <c r="V383" s="646">
        <v>552</v>
      </c>
      <c r="W383" s="638">
        <f>V383/(T383*60)</f>
        <v>3.4182999355876618</v>
      </c>
      <c r="X383" s="638">
        <f>W383+P383</f>
        <v>46.441068031964662</v>
      </c>
      <c r="Y383" s="636">
        <f>U383*V383</f>
        <v>0.65865211263724477</v>
      </c>
      <c r="Z383" s="636">
        <f>IF(VLOOKUP(107,table_CIA_JCTS,25,FALSE)+VLOOKUP(106,table_CIA_JCTS,24,FALSE)&lt;VLOOKUP(106,table_CIA_JCTS,28,FALSE),VLOOKUP(106,table_CIA_JCTS,28,FALSE),VLOOKUP(107,table_CIA_JCTS,25,FALSE)+VLOOKUP(106,table_CIA_JCTS,24,FALSE))</f>
        <v>391.78861715301906</v>
      </c>
      <c r="AA383" s="636">
        <v>400.41</v>
      </c>
      <c r="AB383" s="636">
        <f>(AA383-0.5)-Z383</f>
        <v>8.1213828469809641</v>
      </c>
      <c r="AC383" s="639" t="s">
        <v>10</v>
      </c>
      <c r="AD383" t="s">
        <v>10</v>
      </c>
    </row>
    <row r="384" spans="1:30" ht="15.75" x14ac:dyDescent="0.25">
      <c r="A384" s="641"/>
      <c r="B384" s="633">
        <v>107</v>
      </c>
      <c r="C384" s="640" t="s">
        <v>10</v>
      </c>
      <c r="D384" s="635" t="s">
        <v>10</v>
      </c>
      <c r="E384" s="635">
        <f>VLOOKUP(101.1,table_CIA_JCTS,4,FALSE)+VLOOKUP(104,table_CIA_JCTS,4,FALSE)+VLOOKUP(106,table_CIA_JCTS,4,FALSE)</f>
        <v>168.17000000000002</v>
      </c>
      <c r="F384" s="636" t="s">
        <v>10</v>
      </c>
      <c r="G384" s="635" t="s">
        <v>10</v>
      </c>
      <c r="H384" s="635">
        <f>VLOOKUP(101.1,table_CIA_JCTS,7,FALSE)+VLOOKUP(104,table_CIA_JCTS,7,FALSE)+VLOOKUP(106,table_CIA_JCTS,7,FALSE)</f>
        <v>72.459999999999994</v>
      </c>
      <c r="I384" s="635" t="s">
        <v>10</v>
      </c>
      <c r="J384" s="635">
        <f>VLOOKUP(101.1,table_CIA_JCTS,9,FALSE)+VLOOKUP(104,table_CIA_JCTS,9,FALSE)+VLOOKUP(106,table_CIA_JCTS,9,FALSE)</f>
        <v>76.009999999999991</v>
      </c>
      <c r="K384" s="637" t="s">
        <v>10</v>
      </c>
      <c r="L384" s="638" t="s">
        <v>10</v>
      </c>
      <c r="M384" s="636" t="s">
        <v>10</v>
      </c>
      <c r="N384" s="638" t="s">
        <v>10</v>
      </c>
      <c r="O384" s="638" t="s">
        <v>10</v>
      </c>
      <c r="P384" s="638">
        <f>VLOOKUP(104,table_CIA_JCTS,23,FALSE)</f>
        <v>38.887798502025461</v>
      </c>
      <c r="Q384" s="636">
        <f t="shared" si="24"/>
        <v>0.55983842188140209</v>
      </c>
      <c r="R384" s="635">
        <f>J384*Q384</f>
        <v>42.55331844720537</v>
      </c>
      <c r="S384" s="648">
        <v>48</v>
      </c>
      <c r="T384" s="636">
        <f>(4*R384)/(3.14159*(S384/12)^2)</f>
        <v>3.3862883481935397</v>
      </c>
      <c r="U384" s="637">
        <f>((R384/((0.463135/cell_NP)*((S384/12)^(8/3))))^2)*cell_FF</f>
        <v>1.0093681252033623E-3</v>
      </c>
      <c r="V384" s="646">
        <v>551</v>
      </c>
      <c r="W384" s="638">
        <f>V384/(T384*60)</f>
        <v>2.7119171166366574</v>
      </c>
      <c r="X384" s="638">
        <f>W384+P384</f>
        <v>41.599715618662117</v>
      </c>
      <c r="Y384" s="636">
        <f>U384*V384</f>
        <v>0.55616183698705257</v>
      </c>
      <c r="Z384" s="636">
        <f>IF(VLOOKUP(108.4,table_CIA_JCTS,25,FALSE)+VLOOKUP(107,table_CIA_JCTS,24,FALSE)&lt;VLOOKUP(107,table_CIA_JCTS,28,FALSE),VLOOKUP(107,table_CIA_JCTS,28,FALSE),VLOOKUP(108.4,table_CIA_JCTS,25,FALSE)+VLOOKUP(107,table_CIA_JCTS,24,FALSE))</f>
        <v>391.12996504038182</v>
      </c>
      <c r="AA384" s="636">
        <v>401.98</v>
      </c>
      <c r="AB384" s="636">
        <f>(AA384-0.5)-Z384</f>
        <v>10.350034959618199</v>
      </c>
      <c r="AC384" s="639" t="s">
        <v>10</v>
      </c>
      <c r="AD384" t="s">
        <v>10</v>
      </c>
    </row>
    <row r="385" spans="1:30" x14ac:dyDescent="0.2">
      <c r="A385" s="641"/>
      <c r="B385" s="633" t="s">
        <v>10</v>
      </c>
      <c r="C385" s="640" t="s">
        <v>10</v>
      </c>
      <c r="D385" s="635" t="s">
        <v>10</v>
      </c>
      <c r="E385" s="635" t="s">
        <v>10</v>
      </c>
      <c r="F385" s="636" t="s">
        <v>10</v>
      </c>
      <c r="G385" s="635" t="s">
        <v>10</v>
      </c>
      <c r="H385" s="635" t="s">
        <v>10</v>
      </c>
      <c r="I385" s="635" t="s">
        <v>10</v>
      </c>
      <c r="J385" s="635" t="s">
        <v>10</v>
      </c>
      <c r="K385" s="637" t="s">
        <v>10</v>
      </c>
      <c r="L385" s="638" t="s">
        <v>10</v>
      </c>
      <c r="M385" s="636" t="s">
        <v>10</v>
      </c>
      <c r="N385" s="638" t="s">
        <v>10</v>
      </c>
      <c r="O385" s="638" t="s">
        <v>10</v>
      </c>
      <c r="P385" s="638" t="s">
        <v>10</v>
      </c>
      <c r="Q385" s="636" t="s">
        <v>10</v>
      </c>
      <c r="R385" s="635" t="s">
        <v>10</v>
      </c>
      <c r="S385" s="638" t="s">
        <v>10</v>
      </c>
      <c r="T385" s="636" t="s">
        <v>10</v>
      </c>
      <c r="U385" s="637" t="s">
        <v>10</v>
      </c>
      <c r="V385" s="638" t="s">
        <v>10</v>
      </c>
      <c r="W385" s="638" t="s">
        <v>10</v>
      </c>
      <c r="X385" s="638" t="s">
        <v>10</v>
      </c>
      <c r="Y385" s="636" t="s">
        <v>10</v>
      </c>
      <c r="Z385" s="636" t="s">
        <v>10</v>
      </c>
      <c r="AA385" s="636" t="s">
        <v>10</v>
      </c>
      <c r="AB385" s="636" t="s">
        <v>10</v>
      </c>
      <c r="AC385" s="639" t="s">
        <v>10</v>
      </c>
      <c r="AD385" t="s">
        <v>10</v>
      </c>
    </row>
    <row r="386" spans="1:30" x14ac:dyDescent="0.2">
      <c r="A386" s="641"/>
      <c r="B386" s="633" t="s">
        <v>10</v>
      </c>
      <c r="C386" s="634">
        <v>127</v>
      </c>
      <c r="D386" s="635">
        <f>VLOOKUP(C386,table_DI,2)</f>
        <v>3.86</v>
      </c>
      <c r="E386" s="635" t="s">
        <v>10</v>
      </c>
      <c r="F386" s="636">
        <f>VLOOKUP(C386,table_DI,5)</f>
        <v>0.5492227979274612</v>
      </c>
      <c r="G386" s="635">
        <f>VLOOKUP(C386,table_DI,3)</f>
        <v>2.12</v>
      </c>
      <c r="H386" s="635" t="s">
        <v>10</v>
      </c>
      <c r="I386" s="635">
        <f>VLOOKUP(C386,table_DI,4)</f>
        <v>2.12</v>
      </c>
      <c r="J386" s="635" t="s">
        <v>10</v>
      </c>
      <c r="K386" s="637">
        <f>VLOOKUP(C386,table_DI,9)</f>
        <v>1.763848396501428E-3</v>
      </c>
      <c r="L386" s="638">
        <f>VLOOKUP(C386,table_DI,8)</f>
        <v>686</v>
      </c>
      <c r="M386" s="636">
        <f>(0.84*(K386^0.5)*(cell_GUTDEP^0.6666)/cell_NRD)</f>
        <v>1.2366531489298236</v>
      </c>
      <c r="N386" s="638">
        <f>VLOOKUP(C386,table_DI,10)</f>
        <v>20</v>
      </c>
      <c r="O386" s="638">
        <f>(L386/(M386*60))</f>
        <v>9.2453840781689891</v>
      </c>
      <c r="P386" s="638">
        <f>N386+O386</f>
        <v>29.245384078168989</v>
      </c>
      <c r="Q386" s="636">
        <f t="shared" si="24"/>
        <v>0.66920430471757797</v>
      </c>
      <c r="R386" s="635">
        <f>Q386*I386</f>
        <v>1.4187131260012653</v>
      </c>
      <c r="S386" s="638" t="s">
        <v>10</v>
      </c>
      <c r="T386" s="636" t="s">
        <v>10</v>
      </c>
      <c r="U386" s="637" t="s">
        <v>10</v>
      </c>
      <c r="V386" s="638" t="s">
        <v>10</v>
      </c>
      <c r="W386" s="638" t="s">
        <v>10</v>
      </c>
      <c r="X386" s="638" t="s">
        <v>10</v>
      </c>
      <c r="Y386" s="636" t="s">
        <v>10</v>
      </c>
      <c r="Z386" s="636" t="s">
        <v>10</v>
      </c>
      <c r="AA386" s="636" t="s">
        <v>10</v>
      </c>
      <c r="AB386" s="636" t="s">
        <v>10</v>
      </c>
      <c r="AC386" s="639" t="s">
        <v>10</v>
      </c>
      <c r="AD386" t="s">
        <v>10</v>
      </c>
    </row>
    <row r="387" spans="1:30" x14ac:dyDescent="0.2">
      <c r="A387" s="641"/>
      <c r="B387" s="633" t="s">
        <v>10</v>
      </c>
      <c r="C387" s="634">
        <v>127.1</v>
      </c>
      <c r="D387" s="635">
        <f>VLOOKUP(C387,table_DI,2)</f>
        <v>0.73</v>
      </c>
      <c r="E387" s="635" t="s">
        <v>10</v>
      </c>
      <c r="F387" s="636">
        <f>VLOOKUP(C387,table_DI,5)</f>
        <v>0.67123287671232879</v>
      </c>
      <c r="G387" s="635">
        <f>VLOOKUP(C387,table_DI,3)</f>
        <v>0.49</v>
      </c>
      <c r="H387" s="635" t="s">
        <v>10</v>
      </c>
      <c r="I387" s="635">
        <f>VLOOKUP(C387,table_DI,4)</f>
        <v>0.49</v>
      </c>
      <c r="J387" s="635" t="s">
        <v>10</v>
      </c>
      <c r="K387" s="637">
        <f>VLOOKUP(C387,table_DI,9)</f>
        <v>2.3343848580441927E-3</v>
      </c>
      <c r="L387" s="638">
        <f>VLOOKUP(C387,table_DI,8)</f>
        <v>317</v>
      </c>
      <c r="M387" s="636">
        <f>(0.84*(K387^0.5)*(cell_GUTDEP^0.6666)/cell_NRD)</f>
        <v>1.4226678233856433</v>
      </c>
      <c r="N387" s="638">
        <f>VLOOKUP(C387,table_DI,10)</f>
        <v>20</v>
      </c>
      <c r="O387" s="638">
        <f>(L387/(M387*60))</f>
        <v>3.7136802045330137</v>
      </c>
      <c r="P387" s="638">
        <f>N387+O387</f>
        <v>23.713680204533013</v>
      </c>
      <c r="Q387" s="636">
        <f t="shared" si="24"/>
        <v>0.76309652795399563</v>
      </c>
      <c r="R387" s="635">
        <f>Q387*I387</f>
        <v>0.37391729869745788</v>
      </c>
      <c r="S387" s="638" t="s">
        <v>10</v>
      </c>
      <c r="T387" s="636" t="s">
        <v>10</v>
      </c>
      <c r="U387" s="637" t="s">
        <v>10</v>
      </c>
      <c r="V387" s="638" t="s">
        <v>10</v>
      </c>
      <c r="W387" s="638" t="s">
        <v>10</v>
      </c>
      <c r="X387" s="638" t="s">
        <v>10</v>
      </c>
      <c r="Y387" s="636" t="s">
        <v>10</v>
      </c>
      <c r="Z387" s="636" t="s">
        <v>10</v>
      </c>
      <c r="AA387" s="636" t="s">
        <v>10</v>
      </c>
      <c r="AB387" s="636" t="s">
        <v>10</v>
      </c>
      <c r="AC387" s="639" t="s">
        <v>10</v>
      </c>
      <c r="AD387" t="s">
        <v>10</v>
      </c>
    </row>
    <row r="388" spans="1:30" ht="15.75" x14ac:dyDescent="0.25">
      <c r="A388" s="641"/>
      <c r="B388" s="633">
        <v>108</v>
      </c>
      <c r="C388" s="640" t="s">
        <v>10</v>
      </c>
      <c r="D388" s="635" t="s">
        <v>10</v>
      </c>
      <c r="E388" s="635">
        <f>VLOOKUP(127,table_CIA_INLETS,2,FALSE)+VLOOKUP(127.1,table_CIA_INLETS,2,FALSE)</f>
        <v>4.59</v>
      </c>
      <c r="F388" s="636" t="s">
        <v>10</v>
      </c>
      <c r="G388" s="635" t="s">
        <v>10</v>
      </c>
      <c r="H388" s="635">
        <f>VLOOKUP(127,table_CIA_INLETS,5,FALSE)+VLOOKUP(127.1,table_CIA_INLETS,5,FALSE)</f>
        <v>2.6100000000000003</v>
      </c>
      <c r="I388" s="635" t="s">
        <v>10</v>
      </c>
      <c r="J388" s="635">
        <f>VLOOKUP(127,table_CIA_INLETS,7,FALSE)+VLOOKUP(127.1,table_CIA_INLETS,7,FALSE)</f>
        <v>2.6100000000000003</v>
      </c>
      <c r="K388" s="637" t="s">
        <v>10</v>
      </c>
      <c r="L388" s="638" t="s">
        <v>10</v>
      </c>
      <c r="M388" s="636" t="s">
        <v>10</v>
      </c>
      <c r="N388" s="638" t="s">
        <v>10</v>
      </c>
      <c r="O388" s="638" t="s">
        <v>10</v>
      </c>
      <c r="P388" s="638">
        <f>VLOOKUP(127,table_CIA_INLETS,14,FALSE)</f>
        <v>29.245384078168989</v>
      </c>
      <c r="Q388" s="636">
        <f t="shared" si="24"/>
        <v>0.66920430471757797</v>
      </c>
      <c r="R388" s="635">
        <f>J388*Q388</f>
        <v>1.7466232353128788</v>
      </c>
      <c r="S388" s="648">
        <v>18</v>
      </c>
      <c r="T388" s="636">
        <f>(4*R388)/(3.14159*(S388/12)^2)</f>
        <v>0.98838740061228936</v>
      </c>
      <c r="U388" s="637">
        <f>((R388/((0.463135/cell_NP)*((S388/12)^(8/3))))^2)*cell_FF</f>
        <v>3.1799070421336875E-4</v>
      </c>
      <c r="V388" s="646">
        <v>39</v>
      </c>
      <c r="W388" s="638">
        <f>V388/(T388*60)</f>
        <v>0.65763687355518285</v>
      </c>
      <c r="X388" s="638">
        <f>W388+P388</f>
        <v>29.903020951724173</v>
      </c>
      <c r="Y388" s="636">
        <f>U388*V388</f>
        <v>1.2401637464321382E-2</v>
      </c>
      <c r="Z388" s="636">
        <f>IF(VLOOKUP(108.1,table_CIA_JCTS,25,FALSE)+VLOOKUP(108,table_CIA_JCTS,24,FALSE)&lt;VLOOKUP(108,table_CIA_JCTS,28,FALSE),VLOOKUP(108,table_CIA_JCTS,28,FALSE),VLOOKUP(108.1,table_CIA_JCTS,25,FALSE)+VLOOKUP(108,table_CIA_JCTS,24,FALSE))</f>
        <v>390.60421911342792</v>
      </c>
      <c r="AA388" s="636">
        <v>400.37</v>
      </c>
      <c r="AB388" s="636">
        <f>(AA388-0.5)-Z388</f>
        <v>9.2657808865720881</v>
      </c>
      <c r="AC388" s="639" t="s">
        <v>10</v>
      </c>
      <c r="AD388" t="s">
        <v>10</v>
      </c>
    </row>
    <row r="389" spans="1:30" x14ac:dyDescent="0.2">
      <c r="A389" s="641"/>
      <c r="B389" s="633" t="s">
        <v>10</v>
      </c>
      <c r="C389" s="634">
        <v>127.2</v>
      </c>
      <c r="D389" s="635">
        <f>VLOOKUP(C389,table_DI,2)</f>
        <v>0.79</v>
      </c>
      <c r="E389" s="635" t="s">
        <v>10</v>
      </c>
      <c r="F389" s="636">
        <f>VLOOKUP(C389,table_DI,5)</f>
        <v>0.89873417721518978</v>
      </c>
      <c r="G389" s="635">
        <f>VLOOKUP(C389,table_DI,3)</f>
        <v>0.71</v>
      </c>
      <c r="H389" s="635" t="s">
        <v>10</v>
      </c>
      <c r="I389" s="635">
        <f>VLOOKUP(C389,table_DI,4)</f>
        <v>0.71</v>
      </c>
      <c r="J389" s="635" t="s">
        <v>10</v>
      </c>
      <c r="K389" s="637">
        <f>VLOOKUP(C389,table_DI,9)</f>
        <v>3.9447731755424065E-3</v>
      </c>
      <c r="L389" s="638">
        <f>VLOOKUP(C389,table_DI,8)</f>
        <v>507</v>
      </c>
      <c r="M389" s="636">
        <f>(0.84*(K389^0.5)*(cell_GUTDEP^0.6666)/cell_NRD)</f>
        <v>1.8493891209153956</v>
      </c>
      <c r="N389" s="638">
        <f>VLOOKUP(C389,table_DI,10)</f>
        <v>5</v>
      </c>
      <c r="O389" s="638">
        <f>(L389/(M389*60))</f>
        <v>4.5690762989983895</v>
      </c>
      <c r="P389" s="638">
        <f>N389+O389</f>
        <v>9.5690762989983895</v>
      </c>
      <c r="Q389" s="636">
        <f>cell_P*(P389^cell_E)</f>
        <v>1.3470478424553114</v>
      </c>
      <c r="R389" s="635">
        <f>Q389*I389</f>
        <v>0.956403968143271</v>
      </c>
      <c r="S389" s="638" t="s">
        <v>10</v>
      </c>
      <c r="T389" s="636" t="s">
        <v>10</v>
      </c>
      <c r="U389" s="637" t="s">
        <v>10</v>
      </c>
      <c r="V389" s="638" t="s">
        <v>10</v>
      </c>
      <c r="W389" s="638" t="s">
        <v>10</v>
      </c>
      <c r="X389" s="638" t="s">
        <v>10</v>
      </c>
      <c r="Y389" s="636" t="s">
        <v>10</v>
      </c>
      <c r="Z389" s="636" t="s">
        <v>10</v>
      </c>
      <c r="AA389" s="636" t="s">
        <v>10</v>
      </c>
      <c r="AB389" s="636" t="s">
        <v>10</v>
      </c>
      <c r="AC389" s="639" t="s">
        <v>10</v>
      </c>
      <c r="AD389" t="s">
        <v>10</v>
      </c>
    </row>
    <row r="390" spans="1:30" ht="15.75" x14ac:dyDescent="0.25">
      <c r="A390" s="641"/>
      <c r="B390" s="633">
        <v>108.1</v>
      </c>
      <c r="C390" s="640" t="s">
        <v>10</v>
      </c>
      <c r="D390" s="635" t="s">
        <v>10</v>
      </c>
      <c r="E390" s="635">
        <f>VLOOKUP(108,table_CIA_JCTS,4,FALSE)+VLOOKUP(127.2,table_CIA_INLETS,2,FALSE)</f>
        <v>5.38</v>
      </c>
      <c r="F390" s="636" t="s">
        <v>10</v>
      </c>
      <c r="G390" s="635" t="s">
        <v>10</v>
      </c>
      <c r="H390" s="635">
        <f>VLOOKUP(108,table_CIA_JCTS,7,FALSE)+VLOOKUP(127.2,table_CIA_INLETS,5,FALSE)</f>
        <v>3.3200000000000003</v>
      </c>
      <c r="I390" s="635" t="s">
        <v>10</v>
      </c>
      <c r="J390" s="635">
        <f>VLOOKUP(108,table_CIA_JCTS,9,FALSE)+VLOOKUP(127.2,table_CIA_INLETS,7,FALSE)</f>
        <v>3.3200000000000003</v>
      </c>
      <c r="K390" s="637" t="s">
        <v>10</v>
      </c>
      <c r="L390" s="638" t="s">
        <v>10</v>
      </c>
      <c r="M390" s="636" t="s">
        <v>10</v>
      </c>
      <c r="N390" s="638" t="s">
        <v>10</v>
      </c>
      <c r="O390" s="638" t="s">
        <v>10</v>
      </c>
      <c r="P390" s="638">
        <f>VLOOKUP(108,table_CIA_JCTS,23,FALSE)</f>
        <v>29.903020951724173</v>
      </c>
      <c r="Q390" s="636">
        <f>cell_P*(P390^cell_E)</f>
        <v>0.65995002821544768</v>
      </c>
      <c r="R390" s="635">
        <f>J390*Q390</f>
        <v>2.1910340936752863</v>
      </c>
      <c r="S390" s="646">
        <v>18</v>
      </c>
      <c r="T390" s="636">
        <f>(4*R390)/(3.14159*(S390/12)^2)</f>
        <v>1.2398727148002757</v>
      </c>
      <c r="U390" s="637">
        <f>((R390/((0.463135/cell_NP)*((S390/12)^(8/3))))^2)*cell_FF</f>
        <v>5.0039646024466298E-4</v>
      </c>
      <c r="V390" s="646">
        <v>36</v>
      </c>
      <c r="W390" s="638">
        <f>V390/(T390*60)</f>
        <v>0.48392064188351031</v>
      </c>
      <c r="X390" s="638">
        <f>W390+P390</f>
        <v>30.386941593607684</v>
      </c>
      <c r="Y390" s="636">
        <f>U390*V390</f>
        <v>1.8014272568807867E-2</v>
      </c>
      <c r="Z390" s="636">
        <f>IF(VLOOKUP(108.4,table_CIA_JCTS,25,FALSE)+VLOOKUP(108.1,table_CIA_JCTS,24,FALSE)&lt;VLOOKUP(108.1,table_CIA_JCTS,28,FALSE),VLOOKUP(108.1,table_CIA_JCTS,28,FALSE),VLOOKUP(108.4,table_CIA_JCTS,25,FALSE)+VLOOKUP(108.1,table_CIA_JCTS,24,FALSE))</f>
        <v>390.59181747596358</v>
      </c>
      <c r="AA390" s="636">
        <v>400.45</v>
      </c>
      <c r="AB390" s="636">
        <f>(AA390-0.5)-Z390</f>
        <v>9.3581825240364083</v>
      </c>
      <c r="AC390" s="639" t="s">
        <v>10</v>
      </c>
      <c r="AD390" t="s">
        <v>10</v>
      </c>
    </row>
    <row r="391" spans="1:30" x14ac:dyDescent="0.2">
      <c r="A391" s="641"/>
      <c r="B391" s="633" t="s">
        <v>10</v>
      </c>
      <c r="C391" s="640" t="s">
        <v>10</v>
      </c>
      <c r="D391" s="635" t="s">
        <v>10</v>
      </c>
      <c r="E391" s="635" t="s">
        <v>10</v>
      </c>
      <c r="F391" s="636" t="s">
        <v>10</v>
      </c>
      <c r="G391" s="635" t="s">
        <v>10</v>
      </c>
      <c r="H391" s="635" t="s">
        <v>10</v>
      </c>
      <c r="I391" s="635" t="s">
        <v>10</v>
      </c>
      <c r="J391" s="635" t="s">
        <v>10</v>
      </c>
      <c r="K391" s="637" t="s">
        <v>10</v>
      </c>
      <c r="L391" s="638" t="s">
        <v>10</v>
      </c>
      <c r="M391" s="636" t="s">
        <v>10</v>
      </c>
      <c r="N391" s="638" t="s">
        <v>10</v>
      </c>
      <c r="O391" s="638" t="s">
        <v>10</v>
      </c>
      <c r="P391" s="638" t="s">
        <v>10</v>
      </c>
      <c r="Q391" s="636" t="s">
        <v>10</v>
      </c>
      <c r="R391" s="635" t="s">
        <v>10</v>
      </c>
      <c r="S391" s="638" t="s">
        <v>10</v>
      </c>
      <c r="T391" s="636" t="s">
        <v>10</v>
      </c>
      <c r="U391" s="637" t="s">
        <v>10</v>
      </c>
      <c r="V391" s="638" t="s">
        <v>10</v>
      </c>
      <c r="W391" s="638" t="s">
        <v>10</v>
      </c>
      <c r="X391" s="638" t="s">
        <v>10</v>
      </c>
      <c r="Y391" s="636" t="s">
        <v>10</v>
      </c>
      <c r="Z391" s="636" t="s">
        <v>10</v>
      </c>
      <c r="AA391" s="636" t="s">
        <v>10</v>
      </c>
      <c r="AB391" s="636" t="s">
        <v>10</v>
      </c>
      <c r="AC391" s="639" t="s">
        <v>10</v>
      </c>
      <c r="AD391" t="s">
        <v>10</v>
      </c>
    </row>
    <row r="392" spans="1:30" x14ac:dyDescent="0.2">
      <c r="A392" s="641"/>
      <c r="B392" s="633" t="s">
        <v>10</v>
      </c>
      <c r="C392" s="634">
        <v>128</v>
      </c>
      <c r="D392" s="635">
        <f>VLOOKUP(C392,table_DI,2)</f>
        <v>4.0199999999999996</v>
      </c>
      <c r="E392" s="635" t="s">
        <v>10</v>
      </c>
      <c r="F392" s="636">
        <f>VLOOKUP(C392,table_DI,5)</f>
        <v>0.54975124378109452</v>
      </c>
      <c r="G392" s="635">
        <f>VLOOKUP(C392,table_DI,3)</f>
        <v>2.21</v>
      </c>
      <c r="H392" s="635" t="s">
        <v>10</v>
      </c>
      <c r="I392" s="635">
        <f>VLOOKUP(C392,table_DI,4)</f>
        <v>2.21</v>
      </c>
      <c r="J392" s="635" t="s">
        <v>10</v>
      </c>
      <c r="K392" s="637">
        <f>VLOOKUP(C392,table_DI,9)</f>
        <v>2.6252158894645625E-3</v>
      </c>
      <c r="L392" s="638">
        <f>VLOOKUP(C392,table_DI,8)</f>
        <v>579</v>
      </c>
      <c r="M392" s="636">
        <f>(0.84*(K392^0.5)*(cell_GUTDEP^0.6666)/cell_NRD)</f>
        <v>1.5086892383972572</v>
      </c>
      <c r="N392" s="638">
        <f>VLOOKUP(C392,table_DI,10)</f>
        <v>20</v>
      </c>
      <c r="O392" s="638">
        <f>(L392/(M392*60))</f>
        <v>6.3962807942155084</v>
      </c>
      <c r="P392" s="638">
        <f>N392+O392</f>
        <v>26.396280794215507</v>
      </c>
      <c r="Q392" s="636">
        <f t="shared" ref="Q392:Q397" si="25">cell_P*(P392^cell_E)</f>
        <v>0.71356536484405431</v>
      </c>
      <c r="R392" s="635">
        <f>Q392*I392</f>
        <v>1.5769794563053601</v>
      </c>
      <c r="S392" s="638" t="s">
        <v>10</v>
      </c>
      <c r="T392" s="636" t="s">
        <v>10</v>
      </c>
      <c r="U392" s="637" t="s">
        <v>10</v>
      </c>
      <c r="V392" s="638" t="s">
        <v>10</v>
      </c>
      <c r="W392" s="638" t="s">
        <v>10</v>
      </c>
      <c r="X392" s="638" t="s">
        <v>10</v>
      </c>
      <c r="Y392" s="636" t="s">
        <v>10</v>
      </c>
      <c r="Z392" s="636" t="s">
        <v>10</v>
      </c>
      <c r="AA392" s="636" t="s">
        <v>10</v>
      </c>
      <c r="AB392" s="636" t="s">
        <v>10</v>
      </c>
      <c r="AC392" s="639" t="s">
        <v>10</v>
      </c>
      <c r="AD392" t="s">
        <v>10</v>
      </c>
    </row>
    <row r="393" spans="1:30" x14ac:dyDescent="0.2">
      <c r="A393" s="641"/>
      <c r="B393" s="633" t="s">
        <v>10</v>
      </c>
      <c r="C393" s="634">
        <v>128.1</v>
      </c>
      <c r="D393" s="635">
        <f>VLOOKUP(C393,table_DI,2)</f>
        <v>1.07</v>
      </c>
      <c r="E393" s="635" t="s">
        <v>10</v>
      </c>
      <c r="F393" s="636">
        <f>VLOOKUP(C393,table_DI,5)</f>
        <v>0.55140186915887845</v>
      </c>
      <c r="G393" s="635">
        <f>VLOOKUP(C393,table_DI,3)</f>
        <v>0.59</v>
      </c>
      <c r="H393" s="635" t="s">
        <v>10</v>
      </c>
      <c r="I393" s="635">
        <f>VLOOKUP(C393,table_DI,4)</f>
        <v>0.59</v>
      </c>
      <c r="J393" s="635" t="s">
        <v>10</v>
      </c>
      <c r="K393" s="637">
        <f>VLOOKUP(C393,table_DI,9)</f>
        <v>2.3217247097843735E-3</v>
      </c>
      <c r="L393" s="638">
        <f>VLOOKUP(C393,table_DI,8)</f>
        <v>603</v>
      </c>
      <c r="M393" s="636">
        <f>(0.84*(K393^0.5)*(cell_GUTDEP^0.6666)/cell_NRD)</f>
        <v>1.4188047773847141</v>
      </c>
      <c r="N393" s="638">
        <f>VLOOKUP(C393,table_DI,10)</f>
        <v>20</v>
      </c>
      <c r="O393" s="638">
        <f>(L393/(M393*60))</f>
        <v>7.0834269521739186</v>
      </c>
      <c r="P393" s="638">
        <f>N393+O393</f>
        <v>27.083426952173919</v>
      </c>
      <c r="Q393" s="636">
        <f t="shared" si="25"/>
        <v>0.7021741239803162</v>
      </c>
      <c r="R393" s="635">
        <f>Q393*I393</f>
        <v>0.41428273314838654</v>
      </c>
      <c r="S393" s="638" t="s">
        <v>10</v>
      </c>
      <c r="T393" s="636" t="s">
        <v>10</v>
      </c>
      <c r="U393" s="637" t="s">
        <v>10</v>
      </c>
      <c r="V393" s="638" t="s">
        <v>10</v>
      </c>
      <c r="W393" s="638" t="s">
        <v>10</v>
      </c>
      <c r="X393" s="638" t="s">
        <v>10</v>
      </c>
      <c r="Y393" s="636" t="s">
        <v>10</v>
      </c>
      <c r="Z393" s="636" t="s">
        <v>10</v>
      </c>
      <c r="AA393" s="636" t="s">
        <v>10</v>
      </c>
      <c r="AB393" s="636" t="s">
        <v>10</v>
      </c>
      <c r="AC393" s="639" t="s">
        <v>10</v>
      </c>
      <c r="AD393" t="s">
        <v>10</v>
      </c>
    </row>
    <row r="394" spans="1:30" ht="15.75" x14ac:dyDescent="0.25">
      <c r="A394" s="641"/>
      <c r="B394" s="633">
        <v>108.2</v>
      </c>
      <c r="C394" s="640" t="s">
        <v>10</v>
      </c>
      <c r="D394" s="635" t="s">
        <v>10</v>
      </c>
      <c r="E394" s="635">
        <f>VLOOKUP(128,table_CIA_INLETS,2,FALSE)+VLOOKUP(128.1,table_CIA_INLETS,2,FALSE)</f>
        <v>5.09</v>
      </c>
      <c r="F394" s="636" t="s">
        <v>10</v>
      </c>
      <c r="G394" s="635" t="s">
        <v>10</v>
      </c>
      <c r="H394" s="635">
        <f>VLOOKUP(128,table_CIA_INLETS,5,FALSE)+VLOOKUP(128.1,table_CIA_INLETS,5,FALSE)</f>
        <v>2.8</v>
      </c>
      <c r="I394" s="635" t="s">
        <v>10</v>
      </c>
      <c r="J394" s="635">
        <f>VLOOKUP(128,table_CIA_INLETS,7,FALSE)+VLOOKUP(128.1,table_CIA_INLETS,7,FALSE)</f>
        <v>2.8</v>
      </c>
      <c r="K394" s="637" t="s">
        <v>10</v>
      </c>
      <c r="L394" s="638" t="s">
        <v>10</v>
      </c>
      <c r="M394" s="636" t="s">
        <v>10</v>
      </c>
      <c r="N394" s="638" t="s">
        <v>10</v>
      </c>
      <c r="O394" s="638" t="s">
        <v>10</v>
      </c>
      <c r="P394" s="638">
        <f>VLOOKUP(128,table_CIA_INLETS,14,FALSE)</f>
        <v>26.396280794215507</v>
      </c>
      <c r="Q394" s="636">
        <f t="shared" si="25"/>
        <v>0.71356536484405431</v>
      </c>
      <c r="R394" s="635">
        <f>J394*Q394</f>
        <v>1.9979830215633518</v>
      </c>
      <c r="S394" s="646">
        <v>18</v>
      </c>
      <c r="T394" s="636">
        <f>(4*R394)/(3.14159*(S394/12)^2)</f>
        <v>1.1306280628957392</v>
      </c>
      <c r="U394" s="637">
        <f>((R394/((0.463135/cell_NP)*((S394/12)^(8/3))))^2)*cell_FF</f>
        <v>4.1610175225296824E-4</v>
      </c>
      <c r="V394" s="646">
        <v>26</v>
      </c>
      <c r="W394" s="638">
        <f>V394/(T394*60)</f>
        <v>0.38326780269675043</v>
      </c>
      <c r="X394" s="638">
        <f>W394+P394</f>
        <v>26.779548596912257</v>
      </c>
      <c r="Y394" s="636">
        <f>U394*V394</f>
        <v>1.0818645558577174E-2</v>
      </c>
      <c r="Z394" s="636">
        <f>IF(VLOOKUP(108.3,table_CIA_JCTS,25,FALSE)+VLOOKUP(108.2,table_CIA_JCTS,24,FALSE)&lt;VLOOKUP(108.2,table_CIA_JCTS,28,FALSE),VLOOKUP(108.2,table_CIA_JCTS,28,FALSE),VLOOKUP(108.3,table_CIA_JCTS,25,FALSE)+VLOOKUP(108.2,table_CIA_JCTS,24,FALSE))</f>
        <v>390.59369897443457</v>
      </c>
      <c r="AA394" s="636">
        <v>400.8</v>
      </c>
      <c r="AB394" s="636">
        <f>(AA394-0.5)-Z394</f>
        <v>9.7063010255654376</v>
      </c>
      <c r="AC394" s="639" t="s">
        <v>10</v>
      </c>
      <c r="AD394" t="s">
        <v>10</v>
      </c>
    </row>
    <row r="395" spans="1:30" x14ac:dyDescent="0.2">
      <c r="A395" s="641"/>
      <c r="B395" s="633" t="s">
        <v>10</v>
      </c>
      <c r="C395" s="634">
        <v>128.19999999999999</v>
      </c>
      <c r="D395" s="635">
        <f>VLOOKUP(C395,table_DI,2)</f>
        <v>0.96</v>
      </c>
      <c r="E395" s="635" t="s">
        <v>10</v>
      </c>
      <c r="F395" s="636">
        <f>VLOOKUP(C395,table_DI,5)</f>
        <v>0.89583333333333337</v>
      </c>
      <c r="G395" s="635">
        <f>VLOOKUP(C395,table_DI,3)</f>
        <v>0.86</v>
      </c>
      <c r="H395" s="635" t="s">
        <v>10</v>
      </c>
      <c r="I395" s="635">
        <f>VLOOKUP(C395,table_DI,4)</f>
        <v>0.86</v>
      </c>
      <c r="J395" s="635" t="s">
        <v>10</v>
      </c>
      <c r="K395" s="637">
        <f>VLOOKUP(C395,table_DI,9)</f>
        <v>3.9447731755424065E-3</v>
      </c>
      <c r="L395" s="638">
        <f>VLOOKUP(C395,table_DI,8)</f>
        <v>507</v>
      </c>
      <c r="M395" s="636">
        <f>(0.84*(K395^0.5)*(cell_GUTDEP^0.6666)/cell_NRD)</f>
        <v>1.8493891209153956</v>
      </c>
      <c r="N395" s="638">
        <f>VLOOKUP(C395,table_DI,10)</f>
        <v>5</v>
      </c>
      <c r="O395" s="638">
        <f>(L395/(M395*60))</f>
        <v>4.5690762989983895</v>
      </c>
      <c r="P395" s="638">
        <f>N395+O395</f>
        <v>9.5690762989983895</v>
      </c>
      <c r="Q395" s="636">
        <f t="shared" si="25"/>
        <v>1.3470478424553114</v>
      </c>
      <c r="R395" s="635">
        <f>Q395*I395</f>
        <v>1.1584611445115678</v>
      </c>
      <c r="S395" s="638" t="s">
        <v>10</v>
      </c>
      <c r="T395" s="636" t="s">
        <v>10</v>
      </c>
      <c r="U395" s="637" t="s">
        <v>10</v>
      </c>
      <c r="V395" s="638" t="s">
        <v>10</v>
      </c>
      <c r="W395" s="638" t="s">
        <v>10</v>
      </c>
      <c r="X395" s="638" t="s">
        <v>10</v>
      </c>
      <c r="Y395" s="636" t="s">
        <v>10</v>
      </c>
      <c r="Z395" s="636" t="s">
        <v>10</v>
      </c>
      <c r="AA395" s="636" t="s">
        <v>10</v>
      </c>
      <c r="AB395" s="636" t="s">
        <v>10</v>
      </c>
      <c r="AC395" s="639" t="s">
        <v>10</v>
      </c>
      <c r="AD395" t="s">
        <v>10</v>
      </c>
    </row>
    <row r="396" spans="1:30" ht="15.75" x14ac:dyDescent="0.25">
      <c r="A396" s="641"/>
      <c r="B396" s="633">
        <v>108.3</v>
      </c>
      <c r="C396" s="640" t="s">
        <v>10</v>
      </c>
      <c r="D396" s="635" t="s">
        <v>10</v>
      </c>
      <c r="E396" s="635">
        <f>VLOOKUP(108.2,table_CIA_JCTS,4,FALSE)+VLOOKUP(128.2,table_CIA_INLETS,2,FALSE)</f>
        <v>6.05</v>
      </c>
      <c r="F396" s="636" t="s">
        <v>10</v>
      </c>
      <c r="G396" s="635" t="s">
        <v>10</v>
      </c>
      <c r="H396" s="635">
        <f>VLOOKUP(108.2,table_CIA_JCTS,7,FALSE)+VLOOKUP(128.2,table_CIA_INLETS,5,FALSE)</f>
        <v>3.6599999999999997</v>
      </c>
      <c r="I396" s="635" t="s">
        <v>10</v>
      </c>
      <c r="J396" s="635">
        <f>VLOOKUP(108.2,table_CIA_JCTS,9,FALSE)+VLOOKUP(128.2,table_CIA_INLETS,7,FALSE)</f>
        <v>3.6599999999999997</v>
      </c>
      <c r="K396" s="637" t="s">
        <v>10</v>
      </c>
      <c r="L396" s="638" t="s">
        <v>10</v>
      </c>
      <c r="M396" s="636" t="s">
        <v>10</v>
      </c>
      <c r="N396" s="638" t="s">
        <v>10</v>
      </c>
      <c r="O396" s="638" t="s">
        <v>10</v>
      </c>
      <c r="P396" s="638">
        <f>VLOOKUP(108.2,table_CIA_JCTS,23,FALSE)</f>
        <v>26.779548596912257</v>
      </c>
      <c r="Q396" s="636">
        <f t="shared" si="25"/>
        <v>0.70715306659573274</v>
      </c>
      <c r="R396" s="635">
        <f>J396*Q396</f>
        <v>2.5881802237403817</v>
      </c>
      <c r="S396" s="646">
        <v>18</v>
      </c>
      <c r="T396" s="636">
        <f>(4*R396)/(3.14159*(S396/12)^2)</f>
        <v>1.4646116414457544</v>
      </c>
      <c r="U396" s="637">
        <f>((R396/((0.463135/cell_NP)*((S396/12)^(8/3))))^2)*cell_FF</f>
        <v>6.982404216324524E-4</v>
      </c>
      <c r="V396" s="646">
        <v>13</v>
      </c>
      <c r="W396" s="638">
        <f>V396/(T396*60)</f>
        <v>0.14793455175106326</v>
      </c>
      <c r="X396" s="638">
        <f>W396+P396</f>
        <v>26.92748314866332</v>
      </c>
      <c r="Y396" s="636">
        <f>U396*V396</f>
        <v>9.0771254812218819E-3</v>
      </c>
      <c r="Z396" s="636">
        <f>IF(VLOOKUP(108.4,table_CIA_JCTS,25,FALSE)+VLOOKUP(108.3,table_CIA_JCTS,24,FALSE)&lt;VLOOKUP(108.3,table_CIA_JCTS,28,FALSE),VLOOKUP(108.3,table_CIA_JCTS,28,FALSE),VLOOKUP(108.4,table_CIA_JCTS,25,FALSE)+VLOOKUP(108.3,table_CIA_JCTS,24,FALSE))</f>
        <v>390.582880328876</v>
      </c>
      <c r="AA396" s="636">
        <v>400.45</v>
      </c>
      <c r="AB396" s="636">
        <f>(AA396-0.5)-Z396</f>
        <v>9.3671196711239872</v>
      </c>
      <c r="AC396" s="639" t="s">
        <v>10</v>
      </c>
      <c r="AD396" t="s">
        <v>10</v>
      </c>
    </row>
    <row r="397" spans="1:30" ht="15.75" x14ac:dyDescent="0.25">
      <c r="A397" s="641"/>
      <c r="B397" s="633">
        <v>108.4</v>
      </c>
      <c r="C397" s="640" t="s">
        <v>10</v>
      </c>
      <c r="D397" s="635" t="s">
        <v>10</v>
      </c>
      <c r="E397" s="635">
        <f>VLOOKUP(107,table_CIA_JCTS,4,FALSE)+VLOOKUP(108.1,table_CIA_JCTS,4,FALSE)+VLOOKUP(108.3,table_CIA_JCTS,4,FALSE)</f>
        <v>179.60000000000002</v>
      </c>
      <c r="F397" s="636" t="s">
        <v>10</v>
      </c>
      <c r="G397" s="635" t="s">
        <v>10</v>
      </c>
      <c r="H397" s="635">
        <f>VLOOKUP(107,table_CIA_JCTS,7,FALSE)+VLOOKUP(108.1,table_CIA_JCTS,7,FALSE)+VLOOKUP(108.3,table_CIA_JCTS,7,FALSE)</f>
        <v>79.44</v>
      </c>
      <c r="I397" s="635" t="s">
        <v>10</v>
      </c>
      <c r="J397" s="635">
        <f>VLOOKUP(107,table_CIA_JCTS,9,FALSE)+VLOOKUP(108.1,table_CIA_JCTS,9,FALSE)+VLOOKUP(108.3,table_CIA_JCTS,9,FALSE)</f>
        <v>82.989999999999981</v>
      </c>
      <c r="K397" s="637" t="s">
        <v>10</v>
      </c>
      <c r="L397" s="638" t="s">
        <v>10</v>
      </c>
      <c r="M397" s="636" t="s">
        <v>10</v>
      </c>
      <c r="N397" s="638" t="s">
        <v>10</v>
      </c>
      <c r="O397" s="638" t="s">
        <v>10</v>
      </c>
      <c r="P397" s="638">
        <f>VLOOKUP(107,table_CIA_JCTS,23,FALSE)</f>
        <v>41.599715618662117</v>
      </c>
      <c r="Q397" s="636">
        <f t="shared" si="25"/>
        <v>0.53669733777726214</v>
      </c>
      <c r="R397" s="635">
        <f>J397*Q397</f>
        <v>44.540512062134972</v>
      </c>
      <c r="S397" s="648">
        <v>48</v>
      </c>
      <c r="T397" s="636">
        <f>(4*R397)/(3.14159*(S397/12)^2)</f>
        <v>3.5444243251136345</v>
      </c>
      <c r="U397" s="637">
        <f>((R397/((0.463135/cell_NP)*((S397/12)^(8/3))))^2)*cell_FF</f>
        <v>1.105842127085848E-3</v>
      </c>
      <c r="V397" s="646">
        <v>147</v>
      </c>
      <c r="W397" s="638">
        <f>V397/(T397*60)</f>
        <v>0.69122649414202197</v>
      </c>
      <c r="X397" s="638">
        <f>W397+P397</f>
        <v>42.290942112804139</v>
      </c>
      <c r="Y397" s="636">
        <f>U397*V397</f>
        <v>0.16255879268161966</v>
      </c>
      <c r="Z397" s="636">
        <f>IF(VLOOKUP(110,table_CIA_JCTS,25,FALSE)+VLOOKUP(108.4,table_CIA_JCTS,24,FALSE)&lt;VLOOKUP(108.4,table_CIA_JCTS,28,FALSE),VLOOKUP(108.4,table_CIA_JCTS,28,FALSE),VLOOKUP(110,table_CIA_JCTS,25,FALSE)+VLOOKUP(108.4,table_CIA_JCTS,24,FALSE))</f>
        <v>390.57380320339479</v>
      </c>
      <c r="AA397" s="636">
        <v>400.45</v>
      </c>
      <c r="AB397" s="636">
        <f>(AA397-0.5)-Z397</f>
        <v>9.3761967966051998</v>
      </c>
      <c r="AC397" s="639" t="s">
        <v>10</v>
      </c>
      <c r="AD397" t="s">
        <v>10</v>
      </c>
    </row>
    <row r="398" spans="1:30" x14ac:dyDescent="0.2">
      <c r="A398" s="641"/>
      <c r="B398" s="633" t="s">
        <v>10</v>
      </c>
      <c r="C398" s="640" t="s">
        <v>10</v>
      </c>
      <c r="D398" s="635" t="s">
        <v>10</v>
      </c>
      <c r="E398" s="635" t="s">
        <v>10</v>
      </c>
      <c r="F398" s="636" t="s">
        <v>10</v>
      </c>
      <c r="G398" s="635" t="s">
        <v>10</v>
      </c>
      <c r="H398" s="635" t="s">
        <v>10</v>
      </c>
      <c r="I398" s="635" t="s">
        <v>10</v>
      </c>
      <c r="J398" s="635" t="s">
        <v>10</v>
      </c>
      <c r="K398" s="637" t="s">
        <v>10</v>
      </c>
      <c r="L398" s="638" t="s">
        <v>10</v>
      </c>
      <c r="M398" s="636" t="s">
        <v>10</v>
      </c>
      <c r="N398" s="638" t="s">
        <v>10</v>
      </c>
      <c r="O398" s="638" t="s">
        <v>10</v>
      </c>
      <c r="P398" s="638" t="s">
        <v>10</v>
      </c>
      <c r="Q398" s="636" t="s">
        <v>10</v>
      </c>
      <c r="R398" s="635" t="s">
        <v>10</v>
      </c>
      <c r="S398" s="638" t="s">
        <v>10</v>
      </c>
      <c r="T398" s="636" t="s">
        <v>10</v>
      </c>
      <c r="U398" s="637" t="s">
        <v>10</v>
      </c>
      <c r="V398" s="638" t="s">
        <v>10</v>
      </c>
      <c r="W398" s="638" t="s">
        <v>10</v>
      </c>
      <c r="X398" s="638" t="s">
        <v>10</v>
      </c>
      <c r="Y398" s="636" t="s">
        <v>10</v>
      </c>
      <c r="Z398" s="636" t="s">
        <v>10</v>
      </c>
      <c r="AA398" s="636" t="s">
        <v>10</v>
      </c>
      <c r="AB398" s="636" t="s">
        <v>10</v>
      </c>
      <c r="AC398" s="639" t="s">
        <v>10</v>
      </c>
      <c r="AD398" t="s">
        <v>10</v>
      </c>
    </row>
    <row r="399" spans="1:30" x14ac:dyDescent="0.2">
      <c r="A399" s="641"/>
      <c r="B399" s="633" t="s">
        <v>10</v>
      </c>
      <c r="C399" s="634">
        <v>129</v>
      </c>
      <c r="D399" s="635">
        <f>VLOOKUP(C399,table_DI,2)</f>
        <v>1.37</v>
      </c>
      <c r="E399" s="635" t="s">
        <v>10</v>
      </c>
      <c r="F399" s="636">
        <f>VLOOKUP(C399,table_DI,5)</f>
        <v>0.54744525547445255</v>
      </c>
      <c r="G399" s="635">
        <f>VLOOKUP(C399,table_DI,3)</f>
        <v>0.75</v>
      </c>
      <c r="H399" s="635" t="s">
        <v>10</v>
      </c>
      <c r="I399" s="635">
        <f>VLOOKUP(C399,table_DI,4)</f>
        <v>0.75</v>
      </c>
      <c r="J399" s="635" t="s">
        <v>10</v>
      </c>
      <c r="K399" s="637">
        <f>VLOOKUP(C399,table_DI,9)</f>
        <v>2.3692307692307134E-3</v>
      </c>
      <c r="L399" s="638">
        <f>VLOOKUP(C399,table_DI,8)</f>
        <v>325</v>
      </c>
      <c r="M399" s="636">
        <f>(0.84*(K399^0.5)*(cell_GUTDEP^0.6666)/cell_NRD)</f>
        <v>1.4332467395422255</v>
      </c>
      <c r="N399" s="638">
        <f>VLOOKUP(C399,table_DI,10)</f>
        <v>20</v>
      </c>
      <c r="O399" s="638">
        <f>(L399/(M399*60))</f>
        <v>3.7792980909879716</v>
      </c>
      <c r="P399" s="638">
        <f>N399+O399</f>
        <v>23.779298090987972</v>
      </c>
      <c r="Q399" s="636">
        <f t="shared" ref="Q399:Q418" si="26">cell_P*(P399^cell_E)</f>
        <v>0.76177723890677485</v>
      </c>
      <c r="R399" s="635">
        <f>Q399*I399</f>
        <v>0.57133292918008116</v>
      </c>
      <c r="S399" s="638" t="s">
        <v>10</v>
      </c>
      <c r="T399" s="636" t="s">
        <v>10</v>
      </c>
      <c r="U399" s="637" t="s">
        <v>10</v>
      </c>
      <c r="V399" s="638" t="s">
        <v>10</v>
      </c>
      <c r="W399" s="638" t="s">
        <v>10</v>
      </c>
      <c r="X399" s="638" t="s">
        <v>10</v>
      </c>
      <c r="Y399" s="636" t="s">
        <v>10</v>
      </c>
      <c r="Z399" s="636" t="s">
        <v>10</v>
      </c>
      <c r="AA399" s="636" t="s">
        <v>10</v>
      </c>
      <c r="AB399" s="636" t="s">
        <v>10</v>
      </c>
      <c r="AC399" s="639" t="s">
        <v>10</v>
      </c>
      <c r="AD399" t="s">
        <v>10</v>
      </c>
    </row>
    <row r="400" spans="1:30" x14ac:dyDescent="0.2">
      <c r="A400" s="641"/>
      <c r="B400" s="633" t="s">
        <v>10</v>
      </c>
      <c r="C400" s="634">
        <v>129.1</v>
      </c>
      <c r="D400" s="635">
        <f>VLOOKUP(C400,table_DI,2)</f>
        <v>0.88</v>
      </c>
      <c r="E400" s="635" t="s">
        <v>10</v>
      </c>
      <c r="F400" s="636">
        <f>VLOOKUP(C400,table_DI,5)</f>
        <v>0.54545454545454541</v>
      </c>
      <c r="G400" s="635">
        <f>VLOOKUP(C400,table_DI,3)</f>
        <v>0.48</v>
      </c>
      <c r="H400" s="635" t="s">
        <v>10</v>
      </c>
      <c r="I400" s="635">
        <f>VLOOKUP(C400,table_DI,4)</f>
        <v>0.48</v>
      </c>
      <c r="J400" s="635" t="s">
        <v>10</v>
      </c>
      <c r="K400" s="637">
        <f>VLOOKUP(C400,table_DI,9)</f>
        <v>2.265193370165727E-3</v>
      </c>
      <c r="L400" s="638">
        <f>VLOOKUP(C400,table_DI,8)</f>
        <v>362</v>
      </c>
      <c r="M400" s="636">
        <f>(0.84*(K400^0.5)*(cell_GUTDEP^0.6666)/cell_NRD)</f>
        <v>1.4014251959081143</v>
      </c>
      <c r="N400" s="638">
        <f>VLOOKUP(C400,table_DI,10)</f>
        <v>20</v>
      </c>
      <c r="O400" s="638">
        <f>(L400/(M400*60))</f>
        <v>4.3051411883770028</v>
      </c>
      <c r="P400" s="638">
        <f>N400+O400</f>
        <v>24.305141188377004</v>
      </c>
      <c r="Q400" s="636">
        <f t="shared" si="26"/>
        <v>0.75141462762578004</v>
      </c>
      <c r="R400" s="635">
        <f>Q400*I400</f>
        <v>0.36067902126037443</v>
      </c>
      <c r="S400" s="638" t="s">
        <v>10</v>
      </c>
      <c r="T400" s="636" t="s">
        <v>10</v>
      </c>
      <c r="U400" s="637" t="s">
        <v>10</v>
      </c>
      <c r="V400" s="638" t="s">
        <v>10</v>
      </c>
      <c r="W400" s="638" t="s">
        <v>10</v>
      </c>
      <c r="X400" s="638" t="s">
        <v>10</v>
      </c>
      <c r="Y400" s="636" t="s">
        <v>10</v>
      </c>
      <c r="Z400" s="636" t="s">
        <v>10</v>
      </c>
      <c r="AA400" s="636" t="s">
        <v>10</v>
      </c>
      <c r="AB400" s="636" t="s">
        <v>10</v>
      </c>
      <c r="AC400" s="639" t="s">
        <v>10</v>
      </c>
      <c r="AD400" t="s">
        <v>10</v>
      </c>
    </row>
    <row r="401" spans="1:30" ht="15.75" x14ac:dyDescent="0.25">
      <c r="A401" s="641"/>
      <c r="B401" s="633">
        <v>109</v>
      </c>
      <c r="C401" s="640" t="s">
        <v>10</v>
      </c>
      <c r="D401" s="635" t="s">
        <v>10</v>
      </c>
      <c r="E401" s="635">
        <f>VLOOKUP(129,table_CIA_INLETS,2,FALSE)+VLOOKUP(129.1,table_CIA_INLETS,2,FALSE)</f>
        <v>2.25</v>
      </c>
      <c r="F401" s="636" t="s">
        <v>10</v>
      </c>
      <c r="G401" s="635" t="s">
        <v>10</v>
      </c>
      <c r="H401" s="635">
        <f>VLOOKUP(129,table_CIA_INLETS,5,FALSE)+VLOOKUP(129.1,table_CIA_INLETS,5,FALSE)</f>
        <v>1.23</v>
      </c>
      <c r="I401" s="635" t="s">
        <v>10</v>
      </c>
      <c r="J401" s="635">
        <f>VLOOKUP(129,table_CIA_INLETS,7,FALSE)+VLOOKUP(129.1,table_CIA_INLETS,7,FALSE)</f>
        <v>1.23</v>
      </c>
      <c r="K401" s="637" t="s">
        <v>10</v>
      </c>
      <c r="L401" s="638" t="s">
        <v>10</v>
      </c>
      <c r="M401" s="636" t="s">
        <v>10</v>
      </c>
      <c r="N401" s="638" t="s">
        <v>10</v>
      </c>
      <c r="O401" s="638" t="s">
        <v>10</v>
      </c>
      <c r="P401" s="638">
        <f>VLOOKUP(129,table_CIA_INLETS,14,FALSE)</f>
        <v>23.779298090987972</v>
      </c>
      <c r="Q401" s="636">
        <f t="shared" si="26"/>
        <v>0.76177723890677485</v>
      </c>
      <c r="R401" s="635">
        <f>J401*Q401</f>
        <v>0.93698600385533304</v>
      </c>
      <c r="S401" s="648">
        <v>18</v>
      </c>
      <c r="T401" s="636">
        <f>(4*R401)/(3.14159*(S401/12)^2)</f>
        <v>0.53022606251701032</v>
      </c>
      <c r="U401" s="637">
        <f>((R401/((0.463135/cell_NP)*((S401/12)^(8/3))))^2)*cell_FF</f>
        <v>9.151286779932288E-5</v>
      </c>
      <c r="V401" s="646">
        <v>369</v>
      </c>
      <c r="W401" s="638">
        <f>V401/(T401*60)</f>
        <v>11.598826302135421</v>
      </c>
      <c r="X401" s="638">
        <f>W401+P401</f>
        <v>35.378124393123393</v>
      </c>
      <c r="Y401" s="636">
        <f>U401*V401</f>
        <v>3.3768248217950145E-2</v>
      </c>
      <c r="Z401" s="636">
        <f>IF(VLOOKUP(109.1,table_CIA_JCTS,25,FALSE)+VLOOKUP(109,table_CIA_JCTS,24,FALSE)&lt;VLOOKUP(109,table_CIA_JCTS,28,FALSE),VLOOKUP(109,table_CIA_JCTS,28,FALSE),VLOOKUP(109.1,table_CIA_JCTS,25,FALSE)+VLOOKUP(109,table_CIA_JCTS,24,FALSE))</f>
        <v>391.45958316551759</v>
      </c>
      <c r="AA401" s="636">
        <v>401.46</v>
      </c>
      <c r="AB401" s="636">
        <f>(AA401-0.5)-Z401</f>
        <v>9.5004168344823938</v>
      </c>
      <c r="AC401" s="639" t="s">
        <v>10</v>
      </c>
      <c r="AD401" t="s">
        <v>10</v>
      </c>
    </row>
    <row r="402" spans="1:30" x14ac:dyDescent="0.2">
      <c r="A402" s="641"/>
      <c r="B402" s="633" t="s">
        <v>10</v>
      </c>
      <c r="C402" s="634">
        <v>129.19999999999999</v>
      </c>
      <c r="D402" s="635">
        <f>VLOOKUP(C402,table_DI,2)</f>
        <v>9</v>
      </c>
      <c r="E402" s="635" t="s">
        <v>10</v>
      </c>
      <c r="F402" s="636">
        <f>VLOOKUP(C402,table_DI,5)</f>
        <v>0.50444444444444447</v>
      </c>
      <c r="G402" s="635">
        <f>VLOOKUP(C402,table_DI,3)</f>
        <v>3.78</v>
      </c>
      <c r="H402" s="635" t="s">
        <v>10</v>
      </c>
      <c r="I402" s="635">
        <f>VLOOKUP(C402,table_DI,4)</f>
        <v>4.54</v>
      </c>
      <c r="J402" s="635" t="s">
        <v>10</v>
      </c>
      <c r="K402" s="637" t="str">
        <f>VLOOKUP(C402,table_DI,9)</f>
        <v>N/A</v>
      </c>
      <c r="L402" s="638" t="str">
        <f>VLOOKUP(C402,table_DI,8)</f>
        <v>N/A</v>
      </c>
      <c r="M402" s="643" t="s">
        <v>254</v>
      </c>
      <c r="N402" s="638">
        <f>VLOOKUP(C402,table_DI,10)</f>
        <v>20</v>
      </c>
      <c r="O402" s="647" t="s">
        <v>254</v>
      </c>
      <c r="P402" s="638">
        <f>N402+O402</f>
        <v>20</v>
      </c>
      <c r="Q402" s="636">
        <f>cell_P*(P402^cell_E)</f>
        <v>0.84898270330636005</v>
      </c>
      <c r="R402" s="635">
        <f>Q402*I402</f>
        <v>3.8543814730108745</v>
      </c>
      <c r="S402" s="638" t="s">
        <v>10</v>
      </c>
      <c r="T402" s="636" t="s">
        <v>10</v>
      </c>
      <c r="U402" s="637" t="s">
        <v>10</v>
      </c>
      <c r="V402" s="638" t="s">
        <v>10</v>
      </c>
      <c r="W402" s="638" t="s">
        <v>10</v>
      </c>
      <c r="X402" s="638" t="s">
        <v>10</v>
      </c>
      <c r="Y402" s="636" t="s">
        <v>10</v>
      </c>
      <c r="Z402" s="636" t="s">
        <v>10</v>
      </c>
      <c r="AA402" s="636" t="s">
        <v>10</v>
      </c>
      <c r="AB402" s="636" t="s">
        <v>10</v>
      </c>
      <c r="AC402" s="639" t="s">
        <v>10</v>
      </c>
      <c r="AD402" t="s">
        <v>10</v>
      </c>
    </row>
    <row r="403" spans="1:30" ht="15.75" x14ac:dyDescent="0.25">
      <c r="A403" s="641"/>
      <c r="B403" s="633">
        <v>109.1</v>
      </c>
      <c r="C403" s="640" t="s">
        <v>10</v>
      </c>
      <c r="D403" s="635" t="s">
        <v>10</v>
      </c>
      <c r="E403" s="635">
        <f>VLOOKUP(109,table_CIA_JCTS,4,FALSE)+VLOOKUP(129.2,table_CIA_INLETS,2,FALSE)</f>
        <v>11.25</v>
      </c>
      <c r="F403" s="636" t="s">
        <v>10</v>
      </c>
      <c r="G403" s="635" t="s">
        <v>10</v>
      </c>
      <c r="H403" s="635">
        <f>VLOOKUP(109,table_CIA_JCTS,7,FALSE)+VLOOKUP(129.2,table_CIA_INLETS,5,FALSE)</f>
        <v>5.01</v>
      </c>
      <c r="I403" s="635" t="s">
        <v>10</v>
      </c>
      <c r="J403" s="635">
        <f>VLOOKUP(109,table_CIA_JCTS,9,FALSE)+VLOOKUP(129.2,table_CIA_INLETS,7,FALSE)</f>
        <v>5.77</v>
      </c>
      <c r="K403" s="637" t="s">
        <v>10</v>
      </c>
      <c r="L403" s="638" t="s">
        <v>10</v>
      </c>
      <c r="M403" s="636" t="s">
        <v>10</v>
      </c>
      <c r="N403" s="638" t="s">
        <v>10</v>
      </c>
      <c r="O403" s="638" t="s">
        <v>10</v>
      </c>
      <c r="P403" s="638">
        <f>VLOOKUP(129.2,table_CIA_INLETS,14,FALSE)</f>
        <v>20</v>
      </c>
      <c r="Q403" s="636">
        <f>cell_P*(P403^cell_E)</f>
        <v>0.84898270330636005</v>
      </c>
      <c r="R403" s="635">
        <f>J403*Q403</f>
        <v>4.8986301980776972</v>
      </c>
      <c r="S403" s="648">
        <v>18</v>
      </c>
      <c r="T403" s="636">
        <f>(4*R403)/(3.14159*(S403/12)^2)</f>
        <v>2.7720599784483921</v>
      </c>
      <c r="U403" s="637">
        <f>((R403/((0.463135/cell_NP)*((S403/12)^(8/3))))^2)*cell_FF</f>
        <v>2.5012970377294042E-3</v>
      </c>
      <c r="V403" s="646">
        <v>259</v>
      </c>
      <c r="W403" s="638">
        <f>V403/(T403*60)</f>
        <v>1.557205363602139</v>
      </c>
      <c r="X403" s="638">
        <f>W403+P403</f>
        <v>21.55720536360214</v>
      </c>
      <c r="Y403" s="636">
        <f>U403*V403</f>
        <v>0.64783593277191565</v>
      </c>
      <c r="Z403" s="636">
        <f>IF(VLOOKUP(109.2,table_CIA_JCTS,25,FALSE)+VLOOKUP(109.1,table_CIA_JCTS,24,FALSE)&lt;VLOOKUP(109.1,table_CIA_JCTS,28,FALSE),VLOOKUP(109.1,table_CIA_JCTS,28,FALSE),VLOOKUP(109.2,table_CIA_JCTS,25,FALSE)+VLOOKUP(109.1,table_CIA_JCTS,24,FALSE))</f>
        <v>391.42581491729965</v>
      </c>
      <c r="AA403" s="636">
        <v>401.83</v>
      </c>
      <c r="AB403" s="636">
        <f>(AA403-0.5)-Z403</f>
        <v>9.9041850827003373</v>
      </c>
      <c r="AC403" s="639" t="s">
        <v>10</v>
      </c>
      <c r="AD403" t="s">
        <v>10</v>
      </c>
    </row>
    <row r="404" spans="1:30" x14ac:dyDescent="0.2">
      <c r="A404" s="641"/>
      <c r="B404" s="633" t="s">
        <v>10</v>
      </c>
      <c r="C404" s="634">
        <v>130</v>
      </c>
      <c r="D404" s="635">
        <f>VLOOKUP(C404,table_DI,2)</f>
        <v>0.87</v>
      </c>
      <c r="E404" s="635" t="s">
        <v>10</v>
      </c>
      <c r="F404" s="636">
        <f>VLOOKUP(C404,table_DI,5)</f>
        <v>0.55172413793103448</v>
      </c>
      <c r="G404" s="635">
        <f>VLOOKUP(C404,table_DI,3)</f>
        <v>0.48</v>
      </c>
      <c r="H404" s="635" t="s">
        <v>10</v>
      </c>
      <c r="I404" s="635">
        <f>VLOOKUP(C404,table_DI,4)</f>
        <v>0.48</v>
      </c>
      <c r="J404" s="635" t="s">
        <v>10</v>
      </c>
      <c r="K404" s="637">
        <f>VLOOKUP(C404,table_DI,9)</f>
        <v>3.1521739130434948E-3</v>
      </c>
      <c r="L404" s="638">
        <f>VLOOKUP(C404,table_DI,8)</f>
        <v>552</v>
      </c>
      <c r="M404" s="636">
        <f>(0.84*(K404^0.5)*(cell_GUTDEP^0.6666)/cell_NRD)</f>
        <v>1.6531884623324038</v>
      </c>
      <c r="N404" s="638">
        <f>VLOOKUP(C404,table_DI,10)</f>
        <v>20</v>
      </c>
      <c r="O404" s="638">
        <f>(L404/(M404*60))</f>
        <v>5.5650037546355513</v>
      </c>
      <c r="P404" s="638">
        <f>N404+O404</f>
        <v>25.565003754635551</v>
      </c>
      <c r="Q404" s="636">
        <f>cell_P*(P404^cell_E)</f>
        <v>0.72800772463981822</v>
      </c>
      <c r="R404" s="635">
        <f>Q404*I404</f>
        <v>0.34944370782711276</v>
      </c>
      <c r="S404" s="638" t="s">
        <v>10</v>
      </c>
      <c r="T404" s="636" t="s">
        <v>10</v>
      </c>
      <c r="U404" s="637" t="s">
        <v>10</v>
      </c>
      <c r="V404" s="638" t="s">
        <v>10</v>
      </c>
      <c r="W404" s="638" t="s">
        <v>10</v>
      </c>
      <c r="X404" s="638" t="s">
        <v>10</v>
      </c>
      <c r="Y404" s="636" t="s">
        <v>10</v>
      </c>
      <c r="Z404" s="636" t="s">
        <v>10</v>
      </c>
      <c r="AA404" s="636" t="s">
        <v>10</v>
      </c>
      <c r="AB404" s="636" t="s">
        <v>10</v>
      </c>
      <c r="AC404" s="639" t="s">
        <v>10</v>
      </c>
      <c r="AD404" t="s">
        <v>10</v>
      </c>
    </row>
    <row r="405" spans="1:30" x14ac:dyDescent="0.2">
      <c r="A405" s="641"/>
      <c r="B405" s="633" t="s">
        <v>10</v>
      </c>
      <c r="C405" s="634">
        <v>130.1</v>
      </c>
      <c r="D405" s="635">
        <f>VLOOKUP(C405,table_DI,2)</f>
        <v>0.5</v>
      </c>
      <c r="E405" s="635" t="s">
        <v>10</v>
      </c>
      <c r="F405" s="636">
        <f>VLOOKUP(C405,table_DI,5)</f>
        <v>0.9</v>
      </c>
      <c r="G405" s="635">
        <f>VLOOKUP(C405,table_DI,3)</f>
        <v>0.45</v>
      </c>
      <c r="H405" s="635" t="s">
        <v>10</v>
      </c>
      <c r="I405" s="635">
        <f>VLOOKUP(C405,table_DI,4)</f>
        <v>0.45</v>
      </c>
      <c r="J405" s="635" t="s">
        <v>10</v>
      </c>
      <c r="K405" s="637">
        <f>VLOOKUP(C405,table_DI,9)</f>
        <v>4.3534482758620296E-3</v>
      </c>
      <c r="L405" s="638">
        <f>VLOOKUP(C405,table_DI,8)</f>
        <v>232</v>
      </c>
      <c r="M405" s="636">
        <f>(0.84*(K405^0.5)*(cell_GUTDEP^0.6666)/cell_NRD)</f>
        <v>1.9428263042710128</v>
      </c>
      <c r="N405" s="638">
        <f>VLOOKUP(C405,table_DI,10)</f>
        <v>5</v>
      </c>
      <c r="O405" s="638">
        <f>(L405/(M405*60))</f>
        <v>1.9902276689204685</v>
      </c>
      <c r="P405" s="638">
        <f>N405+O405</f>
        <v>6.9902276689204683</v>
      </c>
      <c r="Q405" s="636">
        <f>cell_P*(P405^cell_E)</f>
        <v>1.6397716003608185</v>
      </c>
      <c r="R405" s="635">
        <f>Q405*I405</f>
        <v>0.73789722016236836</v>
      </c>
      <c r="S405" s="638" t="s">
        <v>10</v>
      </c>
      <c r="T405" s="636" t="s">
        <v>10</v>
      </c>
      <c r="U405" s="637" t="s">
        <v>10</v>
      </c>
      <c r="V405" s="638" t="s">
        <v>10</v>
      </c>
      <c r="W405" s="638" t="s">
        <v>10</v>
      </c>
      <c r="X405" s="638" t="s">
        <v>10</v>
      </c>
      <c r="Y405" s="636" t="s">
        <v>10</v>
      </c>
      <c r="Z405" s="636" t="s">
        <v>10</v>
      </c>
      <c r="AA405" s="636" t="s">
        <v>10</v>
      </c>
      <c r="AB405" s="636" t="s">
        <v>10</v>
      </c>
      <c r="AC405" s="639" t="s">
        <v>10</v>
      </c>
      <c r="AD405" t="s">
        <v>10</v>
      </c>
    </row>
    <row r="406" spans="1:30" ht="15.75" x14ac:dyDescent="0.25">
      <c r="A406" s="641"/>
      <c r="B406" s="633">
        <v>109.2</v>
      </c>
      <c r="C406" s="640" t="s">
        <v>10</v>
      </c>
      <c r="D406" s="635" t="s">
        <v>10</v>
      </c>
      <c r="E406" s="635">
        <f>VLOOKUP(109.1,table_CIA_JCTS,4,FALSE)+VLOOKUP(130,table_CIA_INLETS,2,FALSE)+VLOOKUP(130.1,table_CIA_INLETS,2,FALSE)</f>
        <v>12.62</v>
      </c>
      <c r="F406" s="636" t="s">
        <v>10</v>
      </c>
      <c r="G406" s="635" t="s">
        <v>10</v>
      </c>
      <c r="H406" s="635">
        <f>VLOOKUP(109.1,table_CIA_JCTS,7,FALSE)+VLOOKUP(130,table_CIA_INLETS,5,FALSE)+VLOOKUP(130.1,table_CIA_INLETS,5,FALSE)</f>
        <v>5.94</v>
      </c>
      <c r="I406" s="635" t="s">
        <v>10</v>
      </c>
      <c r="J406" s="635">
        <f>VLOOKUP(109.1,table_CIA_JCTS,9,FALSE)+VLOOKUP(130,table_CIA_INLETS,7,FALSE)+VLOOKUP(130.1,table_CIA_INLETS,7,FALSE)</f>
        <v>6.7</v>
      </c>
      <c r="K406" s="637" t="s">
        <v>10</v>
      </c>
      <c r="L406" s="638" t="s">
        <v>10</v>
      </c>
      <c r="M406" s="636" t="s">
        <v>10</v>
      </c>
      <c r="N406" s="638" t="s">
        <v>10</v>
      </c>
      <c r="O406" s="638" t="s">
        <v>10</v>
      </c>
      <c r="P406" s="638">
        <f>VLOOKUP(109.1,table_CIA_JCTS,23,FALSE)</f>
        <v>21.55720536360214</v>
      </c>
      <c r="Q406" s="636">
        <f>cell_P*(P406^cell_E)</f>
        <v>0.81004328779931922</v>
      </c>
      <c r="R406" s="635">
        <f>J406*Q406</f>
        <v>5.427290028255439</v>
      </c>
      <c r="S406" s="646">
        <v>24</v>
      </c>
      <c r="T406" s="636">
        <f>(4*R406)/(3.14159*(S406/12)^2)</f>
        <v>1.7275615303892102</v>
      </c>
      <c r="U406" s="637">
        <f>((R406/((0.463135/cell_NP)*((S406/12)^(8/3))))^2)*cell_FF</f>
        <v>6.6197576500829562E-4</v>
      </c>
      <c r="V406" s="646">
        <v>554</v>
      </c>
      <c r="W406" s="638">
        <f>V406/(T406*60)</f>
        <v>5.3447203881954426</v>
      </c>
      <c r="X406" s="638">
        <f>W406+P406</f>
        <v>26.901925751797584</v>
      </c>
      <c r="Y406" s="636">
        <f>U406*V406</f>
        <v>0.36673457381459579</v>
      </c>
      <c r="Z406" s="636">
        <f>IF(VLOOKUP(110,table_CIA_JCTS,25,FALSE)+VLOOKUP(109.2,table_CIA_JCTS,24,FALSE)&lt;VLOOKUP(109.2,table_CIA_JCTS,28,FALSE),VLOOKUP(109.2,table_CIA_JCTS,28,FALSE),VLOOKUP(110,table_CIA_JCTS,25,FALSE)+VLOOKUP(109.2,table_CIA_JCTS,24,FALSE))</f>
        <v>390.77797898452775</v>
      </c>
      <c r="AA406" s="636">
        <v>400.82</v>
      </c>
      <c r="AB406" s="636">
        <f>(AA406-0.5)-Z406</f>
        <v>9.542021015472244</v>
      </c>
      <c r="AC406" s="639" t="s">
        <v>10</v>
      </c>
      <c r="AD406" t="s">
        <v>10</v>
      </c>
    </row>
    <row r="407" spans="1:30" ht="15.75" x14ac:dyDescent="0.25">
      <c r="A407" s="641"/>
      <c r="B407" s="633">
        <v>110</v>
      </c>
      <c r="C407" s="640" t="s">
        <v>10</v>
      </c>
      <c r="D407" s="635" t="s">
        <v>10</v>
      </c>
      <c r="E407" s="635">
        <f>VLOOKUP(108.4,table_CIA_JCTS,4,FALSE)+VLOOKUP(109.2,table_CIA_JCTS,4,FALSE)</f>
        <v>192.22000000000003</v>
      </c>
      <c r="F407" s="636" t="s">
        <v>10</v>
      </c>
      <c r="G407" s="635" t="s">
        <v>10</v>
      </c>
      <c r="H407" s="635">
        <f>VLOOKUP(108.4,table_CIA_JCTS,7,FALSE)+VLOOKUP(109.2,table_CIA_JCTS,7,FALSE)</f>
        <v>85.38</v>
      </c>
      <c r="I407" s="635" t="s">
        <v>10</v>
      </c>
      <c r="J407" s="635">
        <f>VLOOKUP(108.4,table_CIA_JCTS,9,FALSE)+VLOOKUP(109.2,table_CIA_JCTS,9,FALSE)</f>
        <v>89.689999999999984</v>
      </c>
      <c r="K407" s="637" t="s">
        <v>10</v>
      </c>
      <c r="L407" s="638" t="s">
        <v>10</v>
      </c>
      <c r="M407" s="636" t="s">
        <v>10</v>
      </c>
      <c r="N407" s="638" t="s">
        <v>10</v>
      </c>
      <c r="O407" s="638" t="s">
        <v>10</v>
      </c>
      <c r="P407" s="638">
        <f>VLOOKUP(108.4,table_CIA_JCTS,23,FALSE)</f>
        <v>42.290942112804139</v>
      </c>
      <c r="Q407" s="636">
        <f t="shared" si="26"/>
        <v>0.53118735583030441</v>
      </c>
      <c r="R407" s="635">
        <f>J407*Q407</f>
        <v>47.642193944419994</v>
      </c>
      <c r="S407" s="648">
        <v>48</v>
      </c>
      <c r="T407" s="636">
        <f>(4*R407)/(3.14159*(S407/12)^2)</f>
        <v>3.7912485353292436</v>
      </c>
      <c r="U407" s="637">
        <f>((R407/((0.463135/cell_NP)*((S407/12)^(8/3))))^2)*cell_FF</f>
        <v>1.2652205132730545E-3</v>
      </c>
      <c r="V407" s="646">
        <v>73</v>
      </c>
      <c r="W407" s="638">
        <f>V407/(T407*60)</f>
        <v>0.32091451017494627</v>
      </c>
      <c r="X407" s="638">
        <f>W407+P407</f>
        <v>42.611856622979083</v>
      </c>
      <c r="Y407" s="636">
        <f>U407*V407</f>
        <v>9.2361097468932979E-2</v>
      </c>
      <c r="Z407" s="636">
        <f>IF(VLOOKUP(110.2,table_CIA_JCTS,25,FALSE)+VLOOKUP(110,table_CIA_JCTS,24,FALSE)&lt;VLOOKUP(110,table_CIA_JCTS,28,FALSE),VLOOKUP(110,table_CIA_JCTS,28,FALSE),VLOOKUP(110.2,table_CIA_JCTS,25,FALSE)+VLOOKUP(110,table_CIA_JCTS,24,FALSE))</f>
        <v>390.41124441071315</v>
      </c>
      <c r="AA407" s="636">
        <v>400.95</v>
      </c>
      <c r="AB407" s="636">
        <f>(AA407-0.5)-Z407</f>
        <v>10.038755589286836</v>
      </c>
      <c r="AC407" s="639" t="s">
        <v>10</v>
      </c>
      <c r="AD407" t="s">
        <v>10</v>
      </c>
    </row>
    <row r="408" spans="1:30" x14ac:dyDescent="0.2">
      <c r="A408" s="641"/>
      <c r="B408" s="633" t="s">
        <v>10</v>
      </c>
      <c r="C408" s="640" t="s">
        <v>10</v>
      </c>
      <c r="D408" s="635" t="s">
        <v>10</v>
      </c>
      <c r="E408" s="635" t="s">
        <v>10</v>
      </c>
      <c r="F408" s="636" t="s">
        <v>10</v>
      </c>
      <c r="G408" s="635" t="s">
        <v>10</v>
      </c>
      <c r="H408" s="635" t="s">
        <v>10</v>
      </c>
      <c r="I408" s="635" t="s">
        <v>10</v>
      </c>
      <c r="J408" s="635" t="s">
        <v>10</v>
      </c>
      <c r="K408" s="637" t="s">
        <v>10</v>
      </c>
      <c r="L408" s="638" t="s">
        <v>10</v>
      </c>
      <c r="M408" s="636" t="s">
        <v>10</v>
      </c>
      <c r="N408" s="638" t="s">
        <v>10</v>
      </c>
      <c r="O408" s="638" t="s">
        <v>10</v>
      </c>
      <c r="P408" s="638" t="s">
        <v>10</v>
      </c>
      <c r="Q408" s="636" t="s">
        <v>10</v>
      </c>
      <c r="R408" s="635" t="s">
        <v>10</v>
      </c>
      <c r="S408" s="638" t="s">
        <v>10</v>
      </c>
      <c r="T408" s="636" t="s">
        <v>10</v>
      </c>
      <c r="U408" s="637" t="s">
        <v>10</v>
      </c>
      <c r="V408" s="638" t="s">
        <v>10</v>
      </c>
      <c r="W408" s="638" t="s">
        <v>10</v>
      </c>
      <c r="X408" s="638" t="s">
        <v>10</v>
      </c>
      <c r="Y408" s="636" t="s">
        <v>10</v>
      </c>
      <c r="Z408" s="636" t="s">
        <v>10</v>
      </c>
      <c r="AA408" s="636" t="s">
        <v>10</v>
      </c>
      <c r="AB408" s="636" t="s">
        <v>10</v>
      </c>
      <c r="AC408" s="639" t="s">
        <v>10</v>
      </c>
      <c r="AD408" t="s">
        <v>10</v>
      </c>
    </row>
    <row r="409" spans="1:30" x14ac:dyDescent="0.2">
      <c r="A409" s="641"/>
      <c r="B409" s="633" t="s">
        <v>10</v>
      </c>
      <c r="C409" s="634">
        <v>130.19999999999999</v>
      </c>
      <c r="D409" s="635">
        <f>VLOOKUP(C409,table_DI,2)</f>
        <v>3</v>
      </c>
      <c r="E409" s="635" t="s">
        <v>10</v>
      </c>
      <c r="F409" s="636">
        <f>VLOOKUP(C409,table_DI,5)</f>
        <v>0.59666666666666668</v>
      </c>
      <c r="G409" s="635">
        <f>VLOOKUP(C409,table_DI,3)</f>
        <v>1.79</v>
      </c>
      <c r="H409" s="635" t="s">
        <v>10</v>
      </c>
      <c r="I409" s="635">
        <f>VLOOKUP(C409,table_DI,4)</f>
        <v>1.79</v>
      </c>
      <c r="J409" s="635" t="s">
        <v>10</v>
      </c>
      <c r="K409" s="637">
        <f>VLOOKUP(C409,table_DI,9)</f>
        <v>1.0344311377245546E-2</v>
      </c>
      <c r="L409" s="638">
        <f>VLOOKUP(C409,table_DI,8)</f>
        <v>668</v>
      </c>
      <c r="M409" s="636">
        <f>(0.84*(K409^0.5)*(cell_GUTDEP^0.6666)/cell_NRD)</f>
        <v>2.9948017127645978</v>
      </c>
      <c r="N409" s="638">
        <f>VLOOKUP(C409,table_DI,10)</f>
        <v>20</v>
      </c>
      <c r="O409" s="638">
        <f>(L409/(M409*60))</f>
        <v>3.7175527467746088</v>
      </c>
      <c r="P409" s="638">
        <f>N409+O409</f>
        <v>23.717552746774608</v>
      </c>
      <c r="Q409" s="636">
        <f t="shared" ref="Q409:Q415" si="27">cell_P*(P409^cell_E)</f>
        <v>0.76301850325832421</v>
      </c>
      <c r="R409" s="635">
        <f>Q409*I409</f>
        <v>1.3658031208324004</v>
      </c>
      <c r="S409" s="638" t="s">
        <v>10</v>
      </c>
      <c r="T409" s="636" t="s">
        <v>10</v>
      </c>
      <c r="U409" s="637" t="s">
        <v>10</v>
      </c>
      <c r="V409" s="638" t="s">
        <v>10</v>
      </c>
      <c r="W409" s="638" t="s">
        <v>10</v>
      </c>
      <c r="X409" s="638" t="s">
        <v>10</v>
      </c>
      <c r="Y409" s="636" t="s">
        <v>10</v>
      </c>
      <c r="Z409" s="636" t="s">
        <v>10</v>
      </c>
      <c r="AA409" s="636" t="s">
        <v>10</v>
      </c>
      <c r="AB409" s="636" t="s">
        <v>10</v>
      </c>
      <c r="AC409" s="639" t="s">
        <v>10</v>
      </c>
      <c r="AD409" t="s">
        <v>10</v>
      </c>
    </row>
    <row r="410" spans="1:30" x14ac:dyDescent="0.2">
      <c r="A410" s="641"/>
      <c r="B410" s="633" t="s">
        <v>10</v>
      </c>
      <c r="C410" s="634">
        <v>130.30000000000001</v>
      </c>
      <c r="D410" s="635">
        <f>VLOOKUP(C410,table_DI,2)</f>
        <v>0.57999999999999996</v>
      </c>
      <c r="E410" s="635" t="s">
        <v>10</v>
      </c>
      <c r="F410" s="636">
        <f>VLOOKUP(C410,table_DI,5)</f>
        <v>0.89655172413793116</v>
      </c>
      <c r="G410" s="635">
        <f>VLOOKUP(C410,table_DI,3)</f>
        <v>0.52</v>
      </c>
      <c r="H410" s="635" t="s">
        <v>10</v>
      </c>
      <c r="I410" s="635">
        <f>VLOOKUP(C410,table_DI,4)</f>
        <v>0.52</v>
      </c>
      <c r="J410" s="635" t="s">
        <v>10</v>
      </c>
      <c r="K410" s="637">
        <f>VLOOKUP(C410,table_DI,9)</f>
        <v>2.4120603015075339E-3</v>
      </c>
      <c r="L410" s="638">
        <f>VLOOKUP(C410,table_DI,8)</f>
        <v>597</v>
      </c>
      <c r="M410" s="636">
        <f>(0.84*(K410^0.5)*(cell_GUTDEP^0.6666)/cell_NRD)</f>
        <v>1.4461434033539535</v>
      </c>
      <c r="N410" s="638">
        <f>VLOOKUP(C410,table_DI,10)</f>
        <v>5</v>
      </c>
      <c r="O410" s="638">
        <f>(L410/(M410*60))</f>
        <v>6.8803688326645638</v>
      </c>
      <c r="P410" s="638">
        <f>N410+O410</f>
        <v>11.880368832664564</v>
      </c>
      <c r="Q410" s="636">
        <f t="shared" si="27"/>
        <v>1.1763737563247547</v>
      </c>
      <c r="R410" s="635">
        <f>Q410*I410</f>
        <v>0.61171435328887247</v>
      </c>
      <c r="S410" s="638" t="s">
        <v>10</v>
      </c>
      <c r="T410" s="636" t="s">
        <v>10</v>
      </c>
      <c r="U410" s="637" t="s">
        <v>10</v>
      </c>
      <c r="V410" s="638" t="s">
        <v>10</v>
      </c>
      <c r="W410" s="638" t="s">
        <v>10</v>
      </c>
      <c r="X410" s="638" t="s">
        <v>10</v>
      </c>
      <c r="Y410" s="636" t="s">
        <v>10</v>
      </c>
      <c r="Z410" s="636" t="s">
        <v>10</v>
      </c>
      <c r="AA410" s="636" t="s">
        <v>10</v>
      </c>
      <c r="AB410" s="636" t="s">
        <v>10</v>
      </c>
      <c r="AC410" s="639" t="s">
        <v>10</v>
      </c>
      <c r="AD410" t="s">
        <v>10</v>
      </c>
    </row>
    <row r="411" spans="1:30" ht="15.75" x14ac:dyDescent="0.25">
      <c r="A411" s="641"/>
      <c r="B411" s="633">
        <v>110.1</v>
      </c>
      <c r="C411" s="640" t="s">
        <v>10</v>
      </c>
      <c r="D411" s="635" t="s">
        <v>10</v>
      </c>
      <c r="E411" s="635">
        <f>VLOOKUP(130.2,table_CIA_INLETS,2,FALSE)+VLOOKUP(130.3,table_CIA_INLETS,2,FALSE)</f>
        <v>3.58</v>
      </c>
      <c r="F411" s="636" t="s">
        <v>10</v>
      </c>
      <c r="G411" s="635" t="s">
        <v>10</v>
      </c>
      <c r="H411" s="635">
        <f>VLOOKUP(130.2,table_CIA_INLETS,5,FALSE)+VLOOKUP(130.3,table_CIA_INLETS,5,FALSE)</f>
        <v>2.31</v>
      </c>
      <c r="I411" s="635" t="s">
        <v>10</v>
      </c>
      <c r="J411" s="635">
        <f>VLOOKUP(130.2,table_CIA_INLETS,7,FALSE)+VLOOKUP(130.3,table_CIA_INLETS,7,FALSE)</f>
        <v>2.31</v>
      </c>
      <c r="K411" s="637" t="s">
        <v>10</v>
      </c>
      <c r="L411" s="638" t="s">
        <v>10</v>
      </c>
      <c r="M411" s="636" t="s">
        <v>10</v>
      </c>
      <c r="N411" s="638" t="s">
        <v>10</v>
      </c>
      <c r="O411" s="638" t="s">
        <v>10</v>
      </c>
      <c r="P411" s="638">
        <f>VLOOKUP(130.2,table_CIA_INLETS,14,FALSE)</f>
        <v>23.717552746774608</v>
      </c>
      <c r="Q411" s="636">
        <f t="shared" si="27"/>
        <v>0.76301850325832421</v>
      </c>
      <c r="R411" s="635">
        <f>J411*Q411</f>
        <v>1.762572742526729</v>
      </c>
      <c r="S411" s="646">
        <v>18</v>
      </c>
      <c r="T411" s="636">
        <f>(4*R411)/(3.14159*(S411/12)^2)</f>
        <v>0.9974129830375229</v>
      </c>
      <c r="U411" s="637">
        <f>((R411/((0.463135/cell_NP)*((S411/12)^(8/3))))^2)*cell_FF</f>
        <v>3.2382476366157132E-4</v>
      </c>
      <c r="V411" s="646">
        <v>659</v>
      </c>
      <c r="W411" s="638">
        <f>V411/(T411*60)</f>
        <v>11.011821101310186</v>
      </c>
      <c r="X411" s="638">
        <f>W411+P411</f>
        <v>34.729373848084791</v>
      </c>
      <c r="Y411" s="636">
        <f>U411*V411</f>
        <v>0.21340051925297551</v>
      </c>
      <c r="Z411" s="636">
        <f>IF(VLOOKUP(110.2,table_CIA_JCTS,25,FALSE)+VLOOKUP(110.1,table_CIA_JCTS,24,FALSE)&lt;VLOOKUP(110.1,table_CIA_JCTS,28,FALSE),VLOOKUP(110.1,table_CIA_JCTS,28,FALSE),VLOOKUP(110.2,table_CIA_JCTS,25,FALSE)+VLOOKUP(110.1,table_CIA_JCTS,24,FALSE))</f>
        <v>390.53228383249717</v>
      </c>
      <c r="AA411" s="636">
        <v>399.51</v>
      </c>
      <c r="AB411" s="636">
        <f>(AA411-0.5)-Z411</f>
        <v>8.4777161675028196</v>
      </c>
      <c r="AC411" s="639" t="s">
        <v>10</v>
      </c>
      <c r="AD411" t="s">
        <v>10</v>
      </c>
    </row>
    <row r="412" spans="1:30" ht="15.75" x14ac:dyDescent="0.25">
      <c r="A412" s="641"/>
      <c r="B412" s="633">
        <v>110.2</v>
      </c>
      <c r="C412" s="640" t="s">
        <v>10</v>
      </c>
      <c r="D412" s="635" t="s">
        <v>10</v>
      </c>
      <c r="E412" s="635">
        <f>VLOOKUP(110,table_CIA_JCTS,4,FALSE)+VLOOKUP(110.1,table_CIA_JCTS,4,FALSE)</f>
        <v>195.80000000000004</v>
      </c>
      <c r="F412" s="636" t="s">
        <v>10</v>
      </c>
      <c r="G412" s="635" t="s">
        <v>10</v>
      </c>
      <c r="H412" s="635">
        <f>VLOOKUP(110,table_CIA_JCTS,7,FALSE)+VLOOKUP(110.1,table_CIA_JCTS,7,FALSE)</f>
        <v>87.69</v>
      </c>
      <c r="I412" s="635" t="s">
        <v>10</v>
      </c>
      <c r="J412" s="635">
        <f>VLOOKUP(110,table_CIA_JCTS,9,FALSE)+VLOOKUP(110.1,table_CIA_JCTS,9,FALSE)</f>
        <v>91.999999999999986</v>
      </c>
      <c r="K412" s="637" t="s">
        <v>10</v>
      </c>
      <c r="L412" s="638" t="s">
        <v>10</v>
      </c>
      <c r="M412" s="636" t="s">
        <v>10</v>
      </c>
      <c r="N412" s="638" t="s">
        <v>10</v>
      </c>
      <c r="O412" s="638" t="s">
        <v>10</v>
      </c>
      <c r="P412" s="638">
        <f>VLOOKUP(110,table_CIA_JCTS,23,FALSE)</f>
        <v>42.611856622979083</v>
      </c>
      <c r="Q412" s="636">
        <f t="shared" si="27"/>
        <v>0.52867874859025266</v>
      </c>
      <c r="R412" s="635">
        <f>J412*Q412</f>
        <v>48.638444870303239</v>
      </c>
      <c r="S412" s="646">
        <v>48</v>
      </c>
      <c r="T412" s="636">
        <f>(4*R412)/(3.14159*(S412/12)^2)</f>
        <v>3.8705277320006144</v>
      </c>
      <c r="U412" s="637">
        <f>((R412/((0.463135/cell_NP)*((S412/12)^(8/3))))^2)*cell_FF</f>
        <v>1.3186880800242424E-3</v>
      </c>
      <c r="V412" s="646">
        <v>115</v>
      </c>
      <c r="W412" s="638">
        <f>V412/(T412*60)</f>
        <v>0.49519517734496948</v>
      </c>
      <c r="X412" s="638">
        <f>W412+P412</f>
        <v>43.107051800324051</v>
      </c>
      <c r="Y412" s="636">
        <f>U412*V412</f>
        <v>0.15164912920278786</v>
      </c>
      <c r="Z412" s="636">
        <f>IF(VLOOKUP(110.3,table_CIA_JCTS,25,FALSE)+VLOOKUP(110.2,table_CIA_JCTS,24,FALSE)&lt;VLOOKUP(110.2,table_CIA_JCTS,28,FALSE),VLOOKUP(110.2,table_CIA_JCTS,28,FALSE),VLOOKUP(110.3,table_CIA_JCTS,25,FALSE)+VLOOKUP(110.2,table_CIA_JCTS,24,FALSE))</f>
        <v>390.31888331324421</v>
      </c>
      <c r="AA412" s="636">
        <v>400.95</v>
      </c>
      <c r="AB412" s="636">
        <f>(AA412-0.5)-Z412</f>
        <v>10.131116686755774</v>
      </c>
      <c r="AC412" s="639" t="s">
        <v>10</v>
      </c>
      <c r="AD412" t="s">
        <v>10</v>
      </c>
    </row>
    <row r="413" spans="1:30" x14ac:dyDescent="0.2">
      <c r="A413" s="641"/>
      <c r="B413" s="633" t="s">
        <v>10</v>
      </c>
      <c r="C413" s="634">
        <v>130.4</v>
      </c>
      <c r="D413" s="635">
        <f>VLOOKUP(C413,table_DI,2)</f>
        <v>0.48</v>
      </c>
      <c r="E413" s="635" t="s">
        <v>10</v>
      </c>
      <c r="F413" s="636">
        <f>VLOOKUP(C413,table_DI,5)</f>
        <v>0.89583333333333337</v>
      </c>
      <c r="G413" s="635">
        <f>VLOOKUP(C413,table_DI,3)</f>
        <v>0.43</v>
      </c>
      <c r="H413" s="635" t="s">
        <v>10</v>
      </c>
      <c r="I413" s="635">
        <f>VLOOKUP(C413,table_DI,4)</f>
        <v>0.43</v>
      </c>
      <c r="J413" s="635" t="s">
        <v>10</v>
      </c>
      <c r="K413" s="637">
        <f>VLOOKUP(C413,table_DI,9)</f>
        <v>2.0689655172414579E-3</v>
      </c>
      <c r="L413" s="638">
        <f>VLOOKUP(C413,table_DI,8)</f>
        <v>174</v>
      </c>
      <c r="M413" s="636">
        <f>(0.84*(K413^0.5)*(cell_GUTDEP^0.6666)/cell_NRD)</f>
        <v>1.339349459094471</v>
      </c>
      <c r="N413" s="638">
        <f>VLOOKUP(C413,table_DI,10)</f>
        <v>5</v>
      </c>
      <c r="O413" s="638">
        <f>(L413/(M413*60))</f>
        <v>2.1652302767648699</v>
      </c>
      <c r="P413" s="638">
        <f>N413+O413</f>
        <v>7.1652302767648699</v>
      </c>
      <c r="Q413" s="636">
        <f t="shared" si="27"/>
        <v>1.6145767865109029</v>
      </c>
      <c r="R413" s="635">
        <f>Q413*I413</f>
        <v>0.6942680181996882</v>
      </c>
      <c r="S413" s="638" t="s">
        <v>10</v>
      </c>
      <c r="T413" s="636" t="s">
        <v>10</v>
      </c>
      <c r="U413" s="637" t="s">
        <v>10</v>
      </c>
      <c r="V413" s="638" t="s">
        <v>10</v>
      </c>
      <c r="W413" s="638" t="s">
        <v>10</v>
      </c>
      <c r="X413" s="638" t="s">
        <v>10</v>
      </c>
      <c r="Y413" s="636" t="s">
        <v>10</v>
      </c>
      <c r="Z413" s="636" t="s">
        <v>10</v>
      </c>
      <c r="AA413" s="636" t="s">
        <v>10</v>
      </c>
      <c r="AB413" s="636" t="s">
        <v>10</v>
      </c>
      <c r="AC413" s="639" t="s">
        <v>10</v>
      </c>
      <c r="AD413" t="s">
        <v>10</v>
      </c>
    </row>
    <row r="414" spans="1:30" x14ac:dyDescent="0.2">
      <c r="A414" s="641"/>
      <c r="B414" s="633" t="s">
        <v>10</v>
      </c>
      <c r="C414" s="634">
        <v>130.5</v>
      </c>
      <c r="D414" s="635">
        <f>VLOOKUP(C414,table_DI,2)</f>
        <v>0.72</v>
      </c>
      <c r="E414" s="635" t="s">
        <v>10</v>
      </c>
      <c r="F414" s="636">
        <f>VLOOKUP(C414,table_DI,5)</f>
        <v>0.90277777777777779</v>
      </c>
      <c r="G414" s="635">
        <f>VLOOKUP(C414,table_DI,3)</f>
        <v>0.65</v>
      </c>
      <c r="H414" s="635" t="s">
        <v>10</v>
      </c>
      <c r="I414" s="635">
        <f>VLOOKUP(C414,table_DI,4)</f>
        <v>0.65</v>
      </c>
      <c r="J414" s="635" t="s">
        <v>10</v>
      </c>
      <c r="K414" s="637">
        <f>VLOOKUP(C414,table_DI,9)</f>
        <v>2.0107238605898124E-3</v>
      </c>
      <c r="L414" s="638">
        <f>VLOOKUP(C414,table_DI,8)</f>
        <v>373</v>
      </c>
      <c r="M414" s="636">
        <f>(0.84*(K414^0.5)*(cell_GUTDEP^0.6666)/cell_NRD)</f>
        <v>1.3203634572749285</v>
      </c>
      <c r="N414" s="638">
        <f>VLOOKUP(C414,table_DI,10)</f>
        <v>5</v>
      </c>
      <c r="O414" s="638">
        <f>(L414/(M414*60))</f>
        <v>4.7082995461697488</v>
      </c>
      <c r="P414" s="638">
        <f>N414+O414</f>
        <v>9.7082995461697479</v>
      </c>
      <c r="Q414" s="636">
        <f t="shared" si="27"/>
        <v>1.3349185677637323</v>
      </c>
      <c r="R414" s="635">
        <f>Q414*I414</f>
        <v>0.86769706904642607</v>
      </c>
      <c r="S414" s="638" t="s">
        <v>10</v>
      </c>
      <c r="T414" s="636" t="s">
        <v>10</v>
      </c>
      <c r="U414" s="637" t="s">
        <v>10</v>
      </c>
      <c r="V414" s="638" t="s">
        <v>10</v>
      </c>
      <c r="W414" s="638" t="s">
        <v>10</v>
      </c>
      <c r="X414" s="638" t="s">
        <v>10</v>
      </c>
      <c r="Y414" s="636" t="s">
        <v>10</v>
      </c>
      <c r="Z414" s="636" t="s">
        <v>10</v>
      </c>
      <c r="AA414" s="636" t="s">
        <v>10</v>
      </c>
      <c r="AB414" s="636" t="s">
        <v>10</v>
      </c>
      <c r="AC414" s="639" t="s">
        <v>10</v>
      </c>
      <c r="AD414" t="s">
        <v>10</v>
      </c>
    </row>
    <row r="415" spans="1:30" ht="15.75" x14ac:dyDescent="0.25">
      <c r="A415" s="641"/>
      <c r="B415" s="633">
        <v>110.3</v>
      </c>
      <c r="C415" s="640" t="s">
        <v>10</v>
      </c>
      <c r="D415" s="635" t="s">
        <v>10</v>
      </c>
      <c r="E415" s="635">
        <f>VLOOKUP(110.2,table_CIA_JCTS,4,FALSE)+VLOOKUP(130.4,table_CIA_INLETS,2,FALSE)+VLOOKUP(130.5,table_CIA_INLETS,2,FALSE)</f>
        <v>197.00000000000003</v>
      </c>
      <c r="F415" s="636" t="s">
        <v>10</v>
      </c>
      <c r="G415" s="635" t="s">
        <v>10</v>
      </c>
      <c r="H415" s="635">
        <f>VLOOKUP(110.2,table_CIA_JCTS,7,FALSE)+VLOOKUP(130.4,table_CIA_INLETS,5,FALSE)+VLOOKUP(130.5,table_CIA_INLETS,5,FALSE)</f>
        <v>88.77000000000001</v>
      </c>
      <c r="I415" s="635" t="s">
        <v>10</v>
      </c>
      <c r="J415" s="635">
        <f>VLOOKUP(110.2,table_CIA_JCTS,9,FALSE)+VLOOKUP(130.4,table_CIA_INLETS,7,FALSE)+VLOOKUP(130.5,table_CIA_INLETS,7,FALSE)</f>
        <v>93.08</v>
      </c>
      <c r="K415" s="637" t="s">
        <v>10</v>
      </c>
      <c r="L415" s="638" t="s">
        <v>10</v>
      </c>
      <c r="M415" s="636" t="s">
        <v>10</v>
      </c>
      <c r="N415" s="638" t="s">
        <v>10</v>
      </c>
      <c r="O415" s="638" t="s">
        <v>10</v>
      </c>
      <c r="P415" s="638">
        <f>VLOOKUP(110.2,table_CIA_JCTS,23,FALSE)</f>
        <v>43.107051800324051</v>
      </c>
      <c r="Q415" s="636">
        <f t="shared" si="27"/>
        <v>0.52486748161140673</v>
      </c>
      <c r="R415" s="635">
        <f>J415*Q415</f>
        <v>48.854665188389738</v>
      </c>
      <c r="S415" s="646">
        <v>48</v>
      </c>
      <c r="T415" s="636">
        <f>(4*R415)/(3.14159*(S415/12)^2)</f>
        <v>3.8877340127443221</v>
      </c>
      <c r="U415" s="637">
        <f>((R415/((0.463135/cell_NP)*((S415/12)^(8/3))))^2)*cell_FF</f>
        <v>1.3304384934156393E-3</v>
      </c>
      <c r="V415" s="646">
        <v>415</v>
      </c>
      <c r="W415" s="638">
        <f>V415/(T415*60)</f>
        <v>1.779099764539767</v>
      </c>
      <c r="X415" s="638">
        <f>W415+P415</f>
        <v>44.886151564863816</v>
      </c>
      <c r="Y415" s="636">
        <f>U415*V415</f>
        <v>0.55213197476749032</v>
      </c>
      <c r="Z415" s="636">
        <f>IF(VLOOKUP(111,table_CIA_JCTS,25,FALSE)+VLOOKUP(110.3,table_CIA_JCTS,24,FALSE)&lt;VLOOKUP(110.3,table_CIA_JCTS,28,FALSE),VLOOKUP(110.3,table_CIA_JCTS,28,FALSE),VLOOKUP(111,table_CIA_JCTS,25,FALSE)+VLOOKUP(110.3,table_CIA_JCTS,24,FALSE))</f>
        <v>390.16723418404143</v>
      </c>
      <c r="AA415" s="636">
        <v>400.69</v>
      </c>
      <c r="AB415" s="636">
        <f>(AA415-0.5)-Z415</f>
        <v>10.022765815958564</v>
      </c>
      <c r="AC415" s="639" t="s">
        <v>10</v>
      </c>
      <c r="AD415" t="s">
        <v>10</v>
      </c>
    </row>
    <row r="416" spans="1:30" x14ac:dyDescent="0.2">
      <c r="A416" s="641"/>
      <c r="B416" s="633" t="s">
        <v>10</v>
      </c>
      <c r="C416" s="634">
        <v>131</v>
      </c>
      <c r="D416" s="635">
        <f>VLOOKUP(C416,table_DI,2)</f>
        <v>12.61</v>
      </c>
      <c r="E416" s="635" t="s">
        <v>10</v>
      </c>
      <c r="F416" s="636">
        <f>VLOOKUP(C416,table_DI,5)</f>
        <v>0.67010309278350511</v>
      </c>
      <c r="G416" s="635">
        <f>VLOOKUP(C416,table_DI,3)</f>
        <v>7.72</v>
      </c>
      <c r="H416" s="635" t="s">
        <v>10</v>
      </c>
      <c r="I416" s="635">
        <f>VLOOKUP(C416,table_DI,4)</f>
        <v>8.4499999999999993</v>
      </c>
      <c r="J416" s="635" t="s">
        <v>10</v>
      </c>
      <c r="K416" s="637">
        <f>VLOOKUP(C416,table_DI,9)</f>
        <v>1.9809825673534074E-3</v>
      </c>
      <c r="L416" s="638">
        <f>VLOOKUP(C416,table_DI,8)</f>
        <v>631</v>
      </c>
      <c r="M416" s="636">
        <f>(0.84*(K416^0.5)*(cell_GUTDEP^0.6666)/cell_NRD)</f>
        <v>1.310562108387314</v>
      </c>
      <c r="N416" s="638">
        <f>VLOOKUP(C416,table_DI,10)</f>
        <v>10</v>
      </c>
      <c r="O416" s="638">
        <f>(L416/(M416*60))</f>
        <v>8.024546566211761</v>
      </c>
      <c r="P416" s="638">
        <f>N416+O416</f>
        <v>18.024546566211761</v>
      </c>
      <c r="Q416" s="636">
        <f t="shared" si="26"/>
        <v>0.90611135054228176</v>
      </c>
      <c r="R416" s="635">
        <f>Q416*I416</f>
        <v>7.6566409120822803</v>
      </c>
      <c r="S416" s="638" t="s">
        <v>10</v>
      </c>
      <c r="T416" s="636" t="s">
        <v>10</v>
      </c>
      <c r="U416" s="637" t="s">
        <v>10</v>
      </c>
      <c r="V416" s="638" t="s">
        <v>10</v>
      </c>
      <c r="W416" s="638" t="s">
        <v>10</v>
      </c>
      <c r="X416" s="638" t="s">
        <v>10</v>
      </c>
      <c r="Y416" s="636" t="s">
        <v>10</v>
      </c>
      <c r="Z416" s="636" t="s">
        <v>10</v>
      </c>
      <c r="AA416" s="636" t="s">
        <v>10</v>
      </c>
      <c r="AB416" s="636" t="s">
        <v>10</v>
      </c>
      <c r="AC416" s="639" t="s">
        <v>10</v>
      </c>
      <c r="AD416" t="s">
        <v>10</v>
      </c>
    </row>
    <row r="417" spans="1:30" x14ac:dyDescent="0.2">
      <c r="A417" s="641"/>
      <c r="B417" s="633" t="s">
        <v>10</v>
      </c>
      <c r="C417" s="634">
        <v>132</v>
      </c>
      <c r="D417" s="635">
        <f>VLOOKUP(C417,table_DI,2)</f>
        <v>10.37</v>
      </c>
      <c r="E417" s="635" t="s">
        <v>10</v>
      </c>
      <c r="F417" s="636">
        <f>VLOOKUP(C417,table_DI,5)</f>
        <v>0.84667309546769531</v>
      </c>
      <c r="G417" s="635">
        <f>VLOOKUP(C417,table_DI,3)</f>
        <v>7.48</v>
      </c>
      <c r="H417" s="635" t="s">
        <v>10</v>
      </c>
      <c r="I417" s="635">
        <f>VLOOKUP(C417,table_DI,4)</f>
        <v>8.7799999999999994</v>
      </c>
      <c r="J417" s="635" t="s">
        <v>10</v>
      </c>
      <c r="K417" s="637">
        <f>VLOOKUP(C417,table_DI,9)</f>
        <v>3.5195007800312458E-3</v>
      </c>
      <c r="L417" s="638">
        <f>VLOOKUP(C417,table_DI,8)</f>
        <v>641</v>
      </c>
      <c r="M417" s="636">
        <f>(0.84*(K417^0.5)*(cell_GUTDEP^0.6666)/cell_NRD)</f>
        <v>1.7468588452574481</v>
      </c>
      <c r="N417" s="638">
        <f>VLOOKUP(C417,table_DI,10)</f>
        <v>10</v>
      </c>
      <c r="O417" s="638">
        <f>(L417/(M417*60))</f>
        <v>6.1157393239514146</v>
      </c>
      <c r="P417" s="638">
        <f>N417+O417</f>
        <v>16.115739323951416</v>
      </c>
      <c r="Q417" s="636">
        <f t="shared" si="26"/>
        <v>0.97190480457033412</v>
      </c>
      <c r="R417" s="635">
        <f>Q417*I417</f>
        <v>8.5333241841275331</v>
      </c>
      <c r="S417" s="638" t="s">
        <v>10</v>
      </c>
      <c r="T417" s="636" t="s">
        <v>10</v>
      </c>
      <c r="U417" s="637" t="s">
        <v>10</v>
      </c>
      <c r="V417" s="638" t="s">
        <v>10</v>
      </c>
      <c r="W417" s="638" t="s">
        <v>10</v>
      </c>
      <c r="X417" s="638" t="s">
        <v>10</v>
      </c>
      <c r="Y417" s="636" t="s">
        <v>10</v>
      </c>
      <c r="Z417" s="636" t="s">
        <v>10</v>
      </c>
      <c r="AA417" s="636" t="s">
        <v>10</v>
      </c>
      <c r="AB417" s="636" t="s">
        <v>10</v>
      </c>
      <c r="AC417" s="639" t="s">
        <v>10</v>
      </c>
      <c r="AD417" t="s">
        <v>10</v>
      </c>
    </row>
    <row r="418" spans="1:30" ht="15.75" x14ac:dyDescent="0.25">
      <c r="A418" s="649"/>
      <c r="B418" s="633">
        <v>111</v>
      </c>
      <c r="C418" s="640" t="s">
        <v>10</v>
      </c>
      <c r="D418" s="635" t="s">
        <v>10</v>
      </c>
      <c r="E418" s="635">
        <f>VLOOKUP(110.3,table_CIA_JCTS,4,FALSE)+VLOOKUP(131,table_CIA_INLETS,2,FALSE)+VLOOKUP(132,table_CIA_INLETS,2,FALSE)</f>
        <v>219.98000000000002</v>
      </c>
      <c r="F418" s="636" t="s">
        <v>10</v>
      </c>
      <c r="G418" s="635" t="s">
        <v>10</v>
      </c>
      <c r="H418" s="635">
        <f>VLOOKUP(110.3,table_CIA_JCTS,7,FALSE)+VLOOKUP(131,table_CIA_INLETS,5,FALSE)+VLOOKUP(132,table_CIA_INLETS,5,FALSE)</f>
        <v>103.97000000000001</v>
      </c>
      <c r="I418" s="635" t="s">
        <v>10</v>
      </c>
      <c r="J418" s="635">
        <f>VLOOKUP(110.3,table_CIA_JCTS,9,FALSE)+VLOOKUP(131,table_CIA_INLETS,7,FALSE)+VLOOKUP(132,table_CIA_INLETS,7,FALSE)</f>
        <v>110.31</v>
      </c>
      <c r="K418" s="637" t="s">
        <v>10</v>
      </c>
      <c r="L418" s="638" t="s">
        <v>10</v>
      </c>
      <c r="M418" s="636" t="s">
        <v>10</v>
      </c>
      <c r="N418" s="638" t="s">
        <v>10</v>
      </c>
      <c r="O418" s="638" t="s">
        <v>10</v>
      </c>
      <c r="P418" s="638">
        <f>VLOOKUP(110.3,table_CIA_JCTS,23,FALSE)</f>
        <v>44.886151564863816</v>
      </c>
      <c r="Q418" s="636">
        <f t="shared" si="26"/>
        <v>0.51174199569153356</v>
      </c>
      <c r="R418" s="635">
        <f>J418*Q418</f>
        <v>56.450259544733065</v>
      </c>
      <c r="S418" s="648">
        <v>48</v>
      </c>
      <c r="T418" s="636">
        <f>(4*R418)/(3.14159*(S418/12)^2)</f>
        <v>4.4921727170583265</v>
      </c>
      <c r="U418" s="637">
        <f>((R418/((0.463135/cell_NP)*((S418/12)^(8/3))))^2)*cell_FF</f>
        <v>1.7762930036942142E-3</v>
      </c>
      <c r="V418" s="646">
        <v>108</v>
      </c>
      <c r="W418" s="638">
        <f>V418/(T418*60)</f>
        <v>0.40069697079205796</v>
      </c>
      <c r="X418" s="638">
        <f>W418+P418</f>
        <v>45.286848535655871</v>
      </c>
      <c r="Y418" s="636">
        <f>U418*V418</f>
        <v>0.19183964439897513</v>
      </c>
      <c r="Z418" s="636">
        <f>IF(VLOOKUP(117,table_CIA_JCTS,25,FALSE)+VLOOKUP(111,table_CIA_JCTS,24,FALSE)&lt;VLOOKUP(111,table_CIA_JCTS,28,FALSE),VLOOKUP(111,table_CIA_JCTS,28,FALSE),VLOOKUP(117,table_CIA_JCTS,25,FALSE)+VLOOKUP(111,table_CIA_JCTS,24,FALSE))</f>
        <v>389.61510220927397</v>
      </c>
      <c r="AA418" s="636">
        <v>396.9</v>
      </c>
      <c r="AB418" s="636">
        <f>(AA418-0.5)-Z418</f>
        <v>6.7848977907260064</v>
      </c>
      <c r="AC418" s="639">
        <v>385.69</v>
      </c>
      <c r="AD418" t="s">
        <v>594</v>
      </c>
    </row>
    <row r="419" spans="1:30" x14ac:dyDescent="0.2">
      <c r="B419" s="216" t="s">
        <v>10</v>
      </c>
      <c r="C419" s="217" t="s">
        <v>10</v>
      </c>
      <c r="D419" s="54" t="s">
        <v>10</v>
      </c>
      <c r="E419" s="54" t="s">
        <v>10</v>
      </c>
      <c r="F419" s="55" t="s">
        <v>10</v>
      </c>
      <c r="G419" s="54" t="s">
        <v>10</v>
      </c>
      <c r="H419" s="54" t="s">
        <v>10</v>
      </c>
      <c r="I419" s="54" t="s">
        <v>10</v>
      </c>
      <c r="J419" s="54" t="s">
        <v>10</v>
      </c>
      <c r="K419" s="56" t="s">
        <v>10</v>
      </c>
      <c r="L419" s="53" t="s">
        <v>10</v>
      </c>
      <c r="M419" s="55" t="s">
        <v>10</v>
      </c>
      <c r="N419" s="53" t="s">
        <v>10</v>
      </c>
      <c r="O419" s="53" t="s">
        <v>10</v>
      </c>
      <c r="P419" s="53" t="s">
        <v>10</v>
      </c>
      <c r="Q419" s="55" t="s">
        <v>10</v>
      </c>
      <c r="R419" s="54" t="s">
        <v>10</v>
      </c>
      <c r="S419" s="53" t="s">
        <v>10</v>
      </c>
      <c r="T419" s="55" t="s">
        <v>10</v>
      </c>
      <c r="U419" s="56" t="s">
        <v>10</v>
      </c>
      <c r="V419" s="53" t="s">
        <v>10</v>
      </c>
      <c r="W419" s="53" t="s">
        <v>10</v>
      </c>
      <c r="X419" s="53" t="s">
        <v>10</v>
      </c>
      <c r="Y419" s="55" t="s">
        <v>10</v>
      </c>
      <c r="Z419" s="55" t="s">
        <v>10</v>
      </c>
      <c r="AA419" s="55" t="s">
        <v>10</v>
      </c>
      <c r="AB419" s="55" t="s">
        <v>10</v>
      </c>
      <c r="AC419" s="57" t="s">
        <v>10</v>
      </c>
      <c r="AD419" t="s">
        <v>595</v>
      </c>
    </row>
    <row r="420" spans="1:30" x14ac:dyDescent="0.2">
      <c r="B420" s="216" t="s">
        <v>10</v>
      </c>
      <c r="C420" s="215">
        <v>133</v>
      </c>
      <c r="D420" s="54">
        <f>VLOOKUP(C420,table_DI,2)</f>
        <v>4.4400000000000004</v>
      </c>
      <c r="E420" s="54" t="s">
        <v>10</v>
      </c>
      <c r="F420" s="55">
        <f>VLOOKUP(C420,table_DI,5)</f>
        <v>0.35</v>
      </c>
      <c r="G420" s="54">
        <f>VLOOKUP(C420,table_DI,3)</f>
        <v>1.42</v>
      </c>
      <c r="H420" s="54" t="s">
        <v>10</v>
      </c>
      <c r="I420" s="54">
        <f>VLOOKUP(C420,table_DI,4)</f>
        <v>1.554</v>
      </c>
      <c r="J420" s="54" t="s">
        <v>10</v>
      </c>
      <c r="K420" s="56">
        <f>VLOOKUP(C420,table_DI,9)</f>
        <v>2.291666666666697E-3</v>
      </c>
      <c r="L420" s="53">
        <f>VLOOKUP(C420,table_DI,8)</f>
        <v>672</v>
      </c>
      <c r="M420" s="55">
        <f>(0.84*(K420^0.5)*(cell_GUTDEP^0.6666)/cell_NRD)</f>
        <v>1.4095906303029893</v>
      </c>
      <c r="N420" s="53">
        <f>VLOOKUP(C420,table_DI,10)</f>
        <v>25</v>
      </c>
      <c r="O420" s="53">
        <f>(L420/(M420*60))</f>
        <v>7.9455692732524605</v>
      </c>
      <c r="P420" s="53">
        <f>N420+O420</f>
        <v>32.94556927325246</v>
      </c>
      <c r="Q420" s="55">
        <f t="shared" ref="Q420:Q426" si="28">cell_P*(P420^cell_E)</f>
        <v>0.62109686050446311</v>
      </c>
      <c r="R420" s="54">
        <f>Q420*I420</f>
        <v>0.96518452122393572</v>
      </c>
      <c r="S420" s="53" t="s">
        <v>10</v>
      </c>
      <c r="T420" s="55" t="s">
        <v>10</v>
      </c>
      <c r="U420" s="56" t="s">
        <v>10</v>
      </c>
      <c r="V420" s="53" t="s">
        <v>10</v>
      </c>
      <c r="W420" s="53" t="s">
        <v>10</v>
      </c>
      <c r="X420" s="53" t="s">
        <v>10</v>
      </c>
      <c r="Y420" s="55" t="s">
        <v>10</v>
      </c>
      <c r="Z420" s="55" t="s">
        <v>10</v>
      </c>
      <c r="AA420" s="55" t="s">
        <v>10</v>
      </c>
      <c r="AB420" s="55" t="s">
        <v>10</v>
      </c>
      <c r="AC420" s="57" t="s">
        <v>10</v>
      </c>
      <c r="AD420" t="s">
        <v>10</v>
      </c>
    </row>
    <row r="421" spans="1:30" x14ac:dyDescent="0.2">
      <c r="B421" s="216" t="s">
        <v>10</v>
      </c>
      <c r="C421" s="215">
        <v>134</v>
      </c>
      <c r="D421" s="54">
        <f>VLOOKUP(C421,table_DI,2)</f>
        <v>1.07</v>
      </c>
      <c r="E421" s="54" t="s">
        <v>10</v>
      </c>
      <c r="F421" s="55">
        <f>VLOOKUP(C421,table_DI,5)</f>
        <v>0.35</v>
      </c>
      <c r="G421" s="54">
        <f>VLOOKUP(C421,table_DI,3)</f>
        <v>0.34239999999999998</v>
      </c>
      <c r="H421" s="54" t="s">
        <v>10</v>
      </c>
      <c r="I421" s="54">
        <f>VLOOKUP(C421,table_DI,4)</f>
        <v>0.3745</v>
      </c>
      <c r="J421" s="54" t="s">
        <v>10</v>
      </c>
      <c r="K421" s="56">
        <f>VLOOKUP(C421,table_DI,9)</f>
        <v>2.4857142857142986E-3</v>
      </c>
      <c r="L421" s="53">
        <f>VLOOKUP(C421,table_DI,8)</f>
        <v>350</v>
      </c>
      <c r="M421" s="55">
        <f>(0.84*(K421^0.5)*(cell_GUTDEP^0.6666)/cell_NRD)</f>
        <v>1.4680568861972985</v>
      </c>
      <c r="N421" s="53">
        <f>VLOOKUP(C421,table_DI,10)</f>
        <v>25</v>
      </c>
      <c r="O421" s="53">
        <f>(L421/(M421*60))</f>
        <v>3.9735063321990145</v>
      </c>
      <c r="P421" s="53">
        <f>N421+O421</f>
        <v>28.973506332199015</v>
      </c>
      <c r="Q421" s="55">
        <f t="shared" si="28"/>
        <v>0.67312971735966909</v>
      </c>
      <c r="R421" s="54">
        <f>Q421*I421</f>
        <v>0.25208707915119605</v>
      </c>
      <c r="S421" s="53" t="s">
        <v>10</v>
      </c>
      <c r="T421" s="55" t="s">
        <v>10</v>
      </c>
      <c r="U421" s="56" t="s">
        <v>10</v>
      </c>
      <c r="V421" s="53" t="s">
        <v>10</v>
      </c>
      <c r="W421" s="53" t="s">
        <v>10</v>
      </c>
      <c r="X421" s="53" t="s">
        <v>10</v>
      </c>
      <c r="Y421" s="55" t="s">
        <v>10</v>
      </c>
      <c r="Z421" s="55" t="s">
        <v>10</v>
      </c>
      <c r="AA421" s="55" t="s">
        <v>10</v>
      </c>
      <c r="AB421" s="55" t="s">
        <v>10</v>
      </c>
      <c r="AC421" s="57" t="s">
        <v>10</v>
      </c>
      <c r="AD421" t="s">
        <v>10</v>
      </c>
    </row>
    <row r="422" spans="1:30" x14ac:dyDescent="0.2">
      <c r="B422" s="216">
        <v>112</v>
      </c>
      <c r="C422" s="217" t="s">
        <v>10</v>
      </c>
      <c r="D422" s="54" t="s">
        <v>10</v>
      </c>
      <c r="E422" s="54">
        <f>VLOOKUP(133,table_CIA_INLETS,2,FALSE)+VLOOKUP(134,table_CIA_INLETS,2,FALSE)</f>
        <v>5.5100000000000007</v>
      </c>
      <c r="F422" s="55" t="s">
        <v>10</v>
      </c>
      <c r="G422" s="54" t="s">
        <v>10</v>
      </c>
      <c r="H422" s="54">
        <f>VLOOKUP(133,table_CIA_INLETS,5,FALSE)+VLOOKUP(134,table_CIA_INLETS,5,FALSE)</f>
        <v>1.7624</v>
      </c>
      <c r="I422" s="54" t="s">
        <v>10</v>
      </c>
      <c r="J422" s="54">
        <f>VLOOKUP(133,table_CIA_INLETS,7,FALSE)+VLOOKUP(134,table_CIA_INLETS,7,FALSE)</f>
        <v>1.9285000000000001</v>
      </c>
      <c r="K422" s="56" t="s">
        <v>10</v>
      </c>
      <c r="L422" s="53" t="s">
        <v>10</v>
      </c>
      <c r="M422" s="55" t="s">
        <v>10</v>
      </c>
      <c r="N422" s="53" t="s">
        <v>10</v>
      </c>
      <c r="O422" s="53" t="s">
        <v>10</v>
      </c>
      <c r="P422" s="53">
        <f>VLOOKUP(133,table_CIA_INLETS,14,FALSE)</f>
        <v>32.94556927325246</v>
      </c>
      <c r="Q422" s="55">
        <f t="shared" si="28"/>
        <v>0.62109686050446311</v>
      </c>
      <c r="R422" s="54">
        <f>J422*Q422</f>
        <v>1.1977852954828572</v>
      </c>
      <c r="S422" s="611">
        <v>18</v>
      </c>
      <c r="T422" s="55">
        <f>(4*R422)/(3.14159*(S422/12)^2)</f>
        <v>0.67780839665851134</v>
      </c>
      <c r="U422" s="56">
        <f>((R422/((0.463135/cell_NP)*((S422/12)^(8/3))))^2)*cell_FF</f>
        <v>1.4954569393336482E-4</v>
      </c>
      <c r="V422" s="611">
        <v>572</v>
      </c>
      <c r="W422" s="53">
        <f>V422/(T422*60)</f>
        <v>14.064938381305344</v>
      </c>
      <c r="X422" s="53">
        <f>W422+P422</f>
        <v>47.010507654557806</v>
      </c>
      <c r="Y422" s="55">
        <f>U422*V422</f>
        <v>8.5540136929884686E-2</v>
      </c>
      <c r="Z422" s="55">
        <f>IF(VLOOKUP(113,table_CIA_JCTS,25,FALSE)+VLOOKUP(112,table_CIA_JCTS,24,FALSE)&lt;VLOOKUP(112,table_CIA_JCTS,28,FALSE),VLOOKUP(112,table_CIA_JCTS,28,FALSE),VLOOKUP(113,table_CIA_JCTS,25,FALSE)+VLOOKUP(112,table_CIA_JCTS,24,FALSE))</f>
        <v>390.03562783991219</v>
      </c>
      <c r="AA422" s="55">
        <v>394.57</v>
      </c>
      <c r="AB422" s="55">
        <f>(AA422-0.5)-Z422</f>
        <v>4.0343721600877984</v>
      </c>
      <c r="AC422" s="594">
        <v>389.03</v>
      </c>
      <c r="AD422" t="s">
        <v>446</v>
      </c>
    </row>
    <row r="423" spans="1:30" x14ac:dyDescent="0.2">
      <c r="B423" s="216" t="s">
        <v>10</v>
      </c>
      <c r="C423" s="215">
        <v>135</v>
      </c>
      <c r="D423" s="54">
        <f>VLOOKUP(C423,table_DI,2)</f>
        <v>2.2200000000000002</v>
      </c>
      <c r="E423" s="54" t="s">
        <v>10</v>
      </c>
      <c r="F423" s="55">
        <f>VLOOKUP(C423,table_DI,5)</f>
        <v>0.35</v>
      </c>
      <c r="G423" s="54">
        <f>VLOOKUP(C423,table_DI,3)</f>
        <v>0.71040000000000003</v>
      </c>
      <c r="H423" s="54" t="s">
        <v>10</v>
      </c>
      <c r="I423" s="54">
        <f>VLOOKUP(C423,table_DI,4)</f>
        <v>0.77700000000000002</v>
      </c>
      <c r="J423" s="54" t="s">
        <v>10</v>
      </c>
      <c r="K423" s="56">
        <f>VLOOKUP(C423,table_DI,9)</f>
        <v>2.2950819672131239E-3</v>
      </c>
      <c r="L423" s="53">
        <f>VLOOKUP(C423,table_DI,8)</f>
        <v>732</v>
      </c>
      <c r="M423" s="55">
        <f>(0.84*(K423^0.5)*(cell_GUTDEP^0.6666)/cell_NRD)</f>
        <v>1.4106406048473077</v>
      </c>
      <c r="N423" s="53">
        <f>VLOOKUP(C423,table_DI,10)</f>
        <v>25</v>
      </c>
      <c r="O423" s="53">
        <f>(L423/(M423*60))</f>
        <v>8.6485529752070107</v>
      </c>
      <c r="P423" s="53">
        <f>N423+O423</f>
        <v>33.648552975207011</v>
      </c>
      <c r="Q423" s="55">
        <f t="shared" si="28"/>
        <v>0.61293930355776416</v>
      </c>
      <c r="R423" s="54">
        <f>Q423*I423</f>
        <v>0.47625383886438277</v>
      </c>
      <c r="S423" s="53" t="s">
        <v>10</v>
      </c>
      <c r="T423" s="55" t="s">
        <v>10</v>
      </c>
      <c r="U423" s="56" t="s">
        <v>10</v>
      </c>
      <c r="V423" s="53" t="s">
        <v>10</v>
      </c>
      <c r="W423" s="53" t="s">
        <v>10</v>
      </c>
      <c r="X423" s="53" t="s">
        <v>10</v>
      </c>
      <c r="Y423" s="55" t="s">
        <v>10</v>
      </c>
      <c r="Z423" s="55" t="s">
        <v>10</v>
      </c>
      <c r="AA423" s="55" t="s">
        <v>10</v>
      </c>
      <c r="AB423" s="55" t="s">
        <v>10</v>
      </c>
      <c r="AC423" s="57" t="s">
        <v>10</v>
      </c>
      <c r="AD423" t="s">
        <v>10</v>
      </c>
    </row>
    <row r="424" spans="1:30" x14ac:dyDescent="0.2">
      <c r="B424" s="216">
        <v>113</v>
      </c>
      <c r="C424" s="217" t="s">
        <v>10</v>
      </c>
      <c r="D424" s="54" t="s">
        <v>10</v>
      </c>
      <c r="E424" s="54">
        <f>VLOOKUP(112,table_CIA_JCTS,4,FALSE)+VLOOKUP(135,table_CIA_INLETS,2,FALSE)</f>
        <v>7.73</v>
      </c>
      <c r="F424" s="55" t="s">
        <v>10</v>
      </c>
      <c r="G424" s="54" t="s">
        <v>10</v>
      </c>
      <c r="H424" s="54">
        <f>VLOOKUP(112,table_CIA_JCTS,7,FALSE)+VLOOKUP(135,table_CIA_INLETS,5,FALSE)</f>
        <v>2.4727999999999999</v>
      </c>
      <c r="I424" s="54" t="s">
        <v>10</v>
      </c>
      <c r="J424" s="54">
        <f>VLOOKUP(112,table_CIA_JCTS,9,FALSE)+VLOOKUP(135,table_CIA_INLETS,7,FALSE)</f>
        <v>2.7055000000000002</v>
      </c>
      <c r="K424" s="56" t="s">
        <v>10</v>
      </c>
      <c r="L424" s="53" t="s">
        <v>10</v>
      </c>
      <c r="M424" s="55" t="s">
        <v>10</v>
      </c>
      <c r="N424" s="53" t="s">
        <v>10</v>
      </c>
      <c r="O424" s="53" t="s">
        <v>10</v>
      </c>
      <c r="P424" s="53">
        <f>VLOOKUP(112,table_CIA_JCTS,23,FALSE)</f>
        <v>47.010507654557806</v>
      </c>
      <c r="Q424" s="55">
        <f>cell_P*(P424^cell_E)</f>
        <v>0.49713616007578748</v>
      </c>
      <c r="R424" s="54">
        <f>J424*Q424</f>
        <v>1.345001881085043</v>
      </c>
      <c r="S424" s="611">
        <v>24</v>
      </c>
      <c r="T424" s="55">
        <f>(4*R424)/(3.14159*(S424/12)^2)</f>
        <v>0.42812775730921065</v>
      </c>
      <c r="U424" s="56">
        <f>((R424/((0.463135/cell_NP)*((S424/12)^(8/3))))^2)*cell_FF</f>
        <v>4.0655734616252069E-5</v>
      </c>
      <c r="V424" s="53">
        <v>18</v>
      </c>
      <c r="W424" s="53">
        <f>V424/(T424*60)</f>
        <v>0.70072541403412969</v>
      </c>
      <c r="X424" s="53">
        <f>W424+P424</f>
        <v>47.711233068591937</v>
      </c>
      <c r="Y424" s="55">
        <f>U424*V424</f>
        <v>7.3180322309253723E-4</v>
      </c>
      <c r="Z424" s="55">
        <f>IF(VLOOKUP(113.1,table_CIA_JCTS,25,FALSE)+VLOOKUP(113,table_CIA_JCTS,24,FALSE)&lt;VLOOKUP(113,table_CIA_JCTS,28,FALSE),VLOOKUP(113,table_CIA_JCTS,28,FALSE),VLOOKUP(113.1,table_CIA_JCTS,25,FALSE)+VLOOKUP(113,table_CIA_JCTS,24,FALSE))</f>
        <v>389.95008770298233</v>
      </c>
      <c r="AA424" s="55">
        <v>393.5</v>
      </c>
      <c r="AB424" s="55">
        <f>(AA424-0.5)-Z424</f>
        <v>3.04991229701767</v>
      </c>
      <c r="AC424" s="613">
        <v>388.66</v>
      </c>
      <c r="AD424" t="s">
        <v>454</v>
      </c>
    </row>
    <row r="425" spans="1:30" x14ac:dyDescent="0.2">
      <c r="B425" s="216" t="s">
        <v>10</v>
      </c>
      <c r="C425" s="215">
        <v>136</v>
      </c>
      <c r="D425" s="54">
        <f>VLOOKUP(C425,table_DI,2)</f>
        <v>10.35</v>
      </c>
      <c r="E425" s="54" t="s">
        <v>10</v>
      </c>
      <c r="F425" s="55">
        <f>VLOOKUP(C425,table_DI,5)</f>
        <v>0.35000000000000003</v>
      </c>
      <c r="G425" s="54">
        <f>VLOOKUP(C425,table_DI,3)</f>
        <v>3.3119999999999998</v>
      </c>
      <c r="H425" s="54" t="s">
        <v>10</v>
      </c>
      <c r="I425" s="54">
        <f>VLOOKUP(C425,table_DI,4)</f>
        <v>3.6225000000000001</v>
      </c>
      <c r="J425" s="54" t="s">
        <v>10</v>
      </c>
      <c r="K425" s="56">
        <f>VLOOKUP(C425,table_DI,9)</f>
        <v>2.2617033276931702E-3</v>
      </c>
      <c r="L425" s="53">
        <f>VLOOKUP(C425,table_DI,8)</f>
        <v>1773</v>
      </c>
      <c r="M425" s="55">
        <f>(0.84*(K425^0.5)*(cell_GUTDEP^0.6666)/cell_NRD)</f>
        <v>1.4003451735778638</v>
      </c>
      <c r="N425" s="53">
        <f>VLOOKUP(C425,table_DI,10)</f>
        <v>25</v>
      </c>
      <c r="O425" s="53">
        <f>(L425/(M425*60))</f>
        <v>21.101940119877824</v>
      </c>
      <c r="P425" s="53">
        <f>N425+O425</f>
        <v>46.101940119877824</v>
      </c>
      <c r="Q425" s="55">
        <f t="shared" si="28"/>
        <v>0.50324893103825308</v>
      </c>
      <c r="R425" s="54">
        <f>Q425*I425</f>
        <v>1.8230192526860718</v>
      </c>
      <c r="S425" s="53" t="s">
        <v>10</v>
      </c>
      <c r="T425" s="55" t="s">
        <v>10</v>
      </c>
      <c r="U425" s="56" t="s">
        <v>10</v>
      </c>
      <c r="V425" s="53" t="s">
        <v>10</v>
      </c>
      <c r="W425" s="53" t="s">
        <v>10</v>
      </c>
      <c r="X425" s="53" t="s">
        <v>10</v>
      </c>
      <c r="Y425" s="55" t="s">
        <v>10</v>
      </c>
      <c r="Z425" s="55" t="s">
        <v>10</v>
      </c>
      <c r="AA425" s="55" t="s">
        <v>10</v>
      </c>
      <c r="AB425" s="55" t="s">
        <v>10</v>
      </c>
      <c r="AC425" s="57" t="s">
        <v>10</v>
      </c>
      <c r="AD425" t="s">
        <v>10</v>
      </c>
    </row>
    <row r="426" spans="1:30" x14ac:dyDescent="0.2">
      <c r="B426" s="216">
        <v>113.1</v>
      </c>
      <c r="C426" s="217" t="s">
        <v>10</v>
      </c>
      <c r="D426" s="54" t="s">
        <v>10</v>
      </c>
      <c r="E426" s="54">
        <f>VLOOKUP(113,table_CIA_JCTS,4,FALSE)+VLOOKUP(136,table_CIA_INLETS,2,FALSE)</f>
        <v>18.079999999999998</v>
      </c>
      <c r="F426" s="55" t="s">
        <v>10</v>
      </c>
      <c r="G426" s="54" t="s">
        <v>10</v>
      </c>
      <c r="H426" s="54">
        <f>VLOOKUP(113,table_CIA_JCTS,7,FALSE)+VLOOKUP(136,table_CIA_INLETS,5,FALSE)</f>
        <v>5.7847999999999997</v>
      </c>
      <c r="I426" s="54" t="s">
        <v>10</v>
      </c>
      <c r="J426" s="54">
        <f>VLOOKUP(113,table_CIA_JCTS,9,FALSE)+VLOOKUP(136,table_CIA_INLETS,7,FALSE)</f>
        <v>6.3280000000000003</v>
      </c>
      <c r="K426" s="56" t="s">
        <v>10</v>
      </c>
      <c r="L426" s="53" t="s">
        <v>10</v>
      </c>
      <c r="M426" s="55" t="s">
        <v>10</v>
      </c>
      <c r="N426" s="53" t="s">
        <v>10</v>
      </c>
      <c r="O426" s="53" t="s">
        <v>10</v>
      </c>
      <c r="P426" s="53">
        <f>VLOOKUP(136,table_CIA_INLETS,14,FALSE)</f>
        <v>46.101940119877824</v>
      </c>
      <c r="Q426" s="55">
        <f t="shared" si="28"/>
        <v>0.50324893103825308</v>
      </c>
      <c r="R426" s="54">
        <f>J426*Q426</f>
        <v>3.1845592356100658</v>
      </c>
      <c r="S426" s="611">
        <v>24</v>
      </c>
      <c r="T426" s="55">
        <f>(4*R426)/(3.14159*(S426/12)^2)</f>
        <v>1.0136775440493717</v>
      </c>
      <c r="U426" s="56">
        <f>((R426/((0.463135/cell_NP)*((S426/12)^(8/3))))^2)*cell_FF</f>
        <v>2.2791593607105628E-4</v>
      </c>
      <c r="V426" s="53">
        <v>133</v>
      </c>
      <c r="W426" s="53">
        <f>V426/(T426*60)</f>
        <v>2.1867571987554091</v>
      </c>
      <c r="X426" s="53">
        <f>W426+P426</f>
        <v>48.288697318633233</v>
      </c>
      <c r="Y426" s="55">
        <f>U426*V426</f>
        <v>3.0312819497450485E-2</v>
      </c>
      <c r="Z426" s="55">
        <f>IF(VLOOKUP(113.2,table_CIA_JCTS,25,FALSE)+VLOOKUP(113.1,table_CIA_JCTS,24,FALSE)&lt;VLOOKUP(113.1,table_CIA_JCTS,28,FALSE),VLOOKUP(113.1,table_CIA_JCTS,28,FALSE),VLOOKUP(113.2,table_CIA_JCTS,25,FALSE)+VLOOKUP(113.1,table_CIA_JCTS,24,FALSE))</f>
        <v>389.94935589975921</v>
      </c>
      <c r="AA426" s="55">
        <v>393.48</v>
      </c>
      <c r="AB426" s="55">
        <f>(AA426-0.5)-Z426</f>
        <v>3.0306441002408064</v>
      </c>
      <c r="AC426" s="57">
        <v>388.63</v>
      </c>
      <c r="AD426" t="s">
        <v>454</v>
      </c>
    </row>
    <row r="427" spans="1:30" x14ac:dyDescent="0.2">
      <c r="B427" s="216" t="s">
        <v>10</v>
      </c>
      <c r="C427" s="215">
        <v>140</v>
      </c>
      <c r="D427" s="54">
        <f>VLOOKUP(C427,table_DI,2)</f>
        <v>2.25</v>
      </c>
      <c r="E427" s="54" t="s">
        <v>10</v>
      </c>
      <c r="F427" s="55">
        <f>VLOOKUP(C427,table_DI,5)</f>
        <v>0.89999999999999991</v>
      </c>
      <c r="G427" s="54">
        <f>VLOOKUP(C427,table_DI,3)</f>
        <v>2.0249999999999999</v>
      </c>
      <c r="H427" s="54" t="s">
        <v>10</v>
      </c>
      <c r="I427" s="54">
        <f>VLOOKUP(C427,table_DI,4)</f>
        <v>2.0249999999999999</v>
      </c>
      <c r="J427" s="54" t="s">
        <v>10</v>
      </c>
      <c r="K427" s="56">
        <f>VLOOKUP(C427,table_DI,9)</f>
        <v>5.0595238095237759E-3</v>
      </c>
      <c r="L427" s="53">
        <f>VLOOKUP(C427,table_DI,8)</f>
        <v>672</v>
      </c>
      <c r="M427" s="55">
        <f>(0.84*(K427^0.5)*(cell_GUTDEP^0.6666)/cell_NRD)</f>
        <v>2.0944601531661196</v>
      </c>
      <c r="N427" s="53">
        <f>VLOOKUP(C427,table_DI,10)</f>
        <v>5</v>
      </c>
      <c r="O427" s="53">
        <f>(L427/(M427*60))</f>
        <v>5.3474399993093042</v>
      </c>
      <c r="P427" s="53">
        <f>N427+O427</f>
        <v>10.347439999309305</v>
      </c>
      <c r="Q427" s="55">
        <f>cell_P*(P427^cell_E)</f>
        <v>1.2826715233732793</v>
      </c>
      <c r="R427" s="54">
        <f>Q427*I427</f>
        <v>2.5974098348308905</v>
      </c>
      <c r="S427" s="53" t="s">
        <v>10</v>
      </c>
      <c r="T427" s="55" t="s">
        <v>10</v>
      </c>
      <c r="U427" s="56" t="s">
        <v>10</v>
      </c>
      <c r="V427" s="53" t="s">
        <v>10</v>
      </c>
      <c r="W427" s="53" t="s">
        <v>10</v>
      </c>
      <c r="X427" s="53" t="s">
        <v>10</v>
      </c>
      <c r="Y427" s="55" t="s">
        <v>10</v>
      </c>
      <c r="Z427" s="55" t="s">
        <v>10</v>
      </c>
      <c r="AA427" s="55" t="s">
        <v>10</v>
      </c>
      <c r="AB427" s="55" t="s">
        <v>10</v>
      </c>
      <c r="AC427" s="57" t="s">
        <v>10</v>
      </c>
      <c r="AD427" t="s">
        <v>10</v>
      </c>
    </row>
    <row r="428" spans="1:30" x14ac:dyDescent="0.2">
      <c r="B428" s="216">
        <v>113.2</v>
      </c>
      <c r="C428" s="217" t="s">
        <v>10</v>
      </c>
      <c r="D428" s="54" t="s">
        <v>10</v>
      </c>
      <c r="E428" s="54">
        <f>VLOOKUP(113.1,table_CIA_JCTS,4,FALSE)+VLOOKUP(140,table_CIA_INLETS,2,FALSE)</f>
        <v>20.329999999999998</v>
      </c>
      <c r="F428" s="55" t="s">
        <v>10</v>
      </c>
      <c r="G428" s="54" t="s">
        <v>10</v>
      </c>
      <c r="H428" s="54">
        <f>VLOOKUP(113.1,table_CIA_JCTS,7,FALSE)+VLOOKUP(140,table_CIA_INLETS,5,FALSE)</f>
        <v>7.8097999999999992</v>
      </c>
      <c r="I428" s="54" t="s">
        <v>10</v>
      </c>
      <c r="J428" s="54">
        <f>VLOOKUP(113.1,table_CIA_JCTS,9,FALSE)+VLOOKUP(140,table_CIA_INLETS,7,FALSE)</f>
        <v>8.3529999999999998</v>
      </c>
      <c r="K428" s="56" t="s">
        <v>10</v>
      </c>
      <c r="L428" s="53" t="s">
        <v>10</v>
      </c>
      <c r="M428" s="55" t="s">
        <v>10</v>
      </c>
      <c r="N428" s="53" t="s">
        <v>10</v>
      </c>
      <c r="O428" s="53" t="s">
        <v>10</v>
      </c>
      <c r="P428" s="53">
        <f>VLOOKUP(113.1,table_CIA_JCTS,23,FALSE)</f>
        <v>48.288697318633233</v>
      </c>
      <c r="Q428" s="55">
        <f>cell_P*(P428^cell_E)</f>
        <v>0.48885468307673613</v>
      </c>
      <c r="R428" s="54">
        <f>J428*Q428</f>
        <v>4.0834031677399771</v>
      </c>
      <c r="S428" s="611">
        <v>24</v>
      </c>
      <c r="T428" s="55">
        <f>(4*R428)/(3.14159*(S428/12)^2)</f>
        <v>1.2997886954503857</v>
      </c>
      <c r="U428" s="56">
        <f>((R428/((0.463135/cell_NP)*((S428/12)^(8/3))))^2)*cell_FF</f>
        <v>3.7473180248206875E-4</v>
      </c>
      <c r="V428" s="53">
        <v>27</v>
      </c>
      <c r="W428" s="53">
        <f>V428/(T428*60)</f>
        <v>0.34621011982572436</v>
      </c>
      <c r="X428" s="53">
        <f>W428+P428</f>
        <v>48.63490743845896</v>
      </c>
      <c r="Y428" s="55">
        <f>U428*V428</f>
        <v>1.0117758667015857E-2</v>
      </c>
      <c r="Z428" s="55">
        <f>IF(VLOOKUP(115,table_CIA_JCTS,25,FALSE)+VLOOKUP(113.2,table_CIA_JCTS,24,FALSE)&lt;VLOOKUP(113.2,table_CIA_JCTS,28,FALSE),VLOOKUP(113.2,table_CIA_JCTS,28,FALSE),VLOOKUP(115,table_CIA_JCTS,25,FALSE)+VLOOKUP(113.2,table_CIA_JCTS,24,FALSE))</f>
        <v>389.91904308026176</v>
      </c>
      <c r="AA428" s="55">
        <v>395</v>
      </c>
      <c r="AB428" s="55">
        <f>(AA428-0.5)-Z428</f>
        <v>4.5809569197382416</v>
      </c>
      <c r="AC428" s="57" t="s">
        <v>10</v>
      </c>
      <c r="AD428" t="s">
        <v>10</v>
      </c>
    </row>
    <row r="429" spans="1:30" x14ac:dyDescent="0.2">
      <c r="A429" s="598"/>
      <c r="B429" s="216" t="s">
        <v>10</v>
      </c>
      <c r="C429" s="217" t="s">
        <v>10</v>
      </c>
      <c r="D429" s="54" t="s">
        <v>10</v>
      </c>
      <c r="E429" s="54" t="s">
        <v>10</v>
      </c>
      <c r="F429" s="55" t="s">
        <v>10</v>
      </c>
      <c r="G429" s="54" t="s">
        <v>10</v>
      </c>
      <c r="H429" s="54" t="s">
        <v>10</v>
      </c>
      <c r="I429" s="54" t="s">
        <v>10</v>
      </c>
      <c r="J429" s="54" t="s">
        <v>10</v>
      </c>
      <c r="K429" s="56" t="s">
        <v>10</v>
      </c>
      <c r="L429" s="53" t="s">
        <v>10</v>
      </c>
      <c r="M429" s="55" t="s">
        <v>10</v>
      </c>
      <c r="N429" s="53" t="s">
        <v>10</v>
      </c>
      <c r="O429" s="53" t="s">
        <v>10</v>
      </c>
      <c r="P429" s="53" t="s">
        <v>10</v>
      </c>
      <c r="Q429" s="55" t="s">
        <v>10</v>
      </c>
      <c r="R429" s="54" t="s">
        <v>10</v>
      </c>
      <c r="S429" s="53" t="s">
        <v>10</v>
      </c>
      <c r="T429" s="55" t="s">
        <v>10</v>
      </c>
      <c r="U429" s="56" t="s">
        <v>10</v>
      </c>
      <c r="V429" s="53" t="s">
        <v>10</v>
      </c>
      <c r="W429" s="53" t="s">
        <v>10</v>
      </c>
      <c r="X429" s="53" t="s">
        <v>10</v>
      </c>
      <c r="Y429" s="55" t="s">
        <v>10</v>
      </c>
      <c r="Z429" s="55" t="s">
        <v>10</v>
      </c>
      <c r="AA429" s="55" t="s">
        <v>10</v>
      </c>
      <c r="AB429" s="55" t="s">
        <v>10</v>
      </c>
      <c r="AC429" s="57" t="s">
        <v>10</v>
      </c>
      <c r="AD429" t="s">
        <v>10</v>
      </c>
    </row>
    <row r="430" spans="1:30" x14ac:dyDescent="0.2">
      <c r="A430" s="632" t="s">
        <v>585</v>
      </c>
      <c r="B430" s="633" t="s">
        <v>10</v>
      </c>
      <c r="C430" s="634">
        <v>137</v>
      </c>
      <c r="D430" s="635">
        <f>VLOOKUP(C430,table_DI,2)</f>
        <v>2.4300000000000002</v>
      </c>
      <c r="E430" s="635" t="s">
        <v>10</v>
      </c>
      <c r="F430" s="636">
        <f>VLOOKUP(C430,table_DI,5)</f>
        <v>0.50205761316872421</v>
      </c>
      <c r="G430" s="635">
        <f>VLOOKUP(C430,table_DI,3)</f>
        <v>1.02</v>
      </c>
      <c r="H430" s="635" t="s">
        <v>10</v>
      </c>
      <c r="I430" s="635">
        <f>VLOOKUP(C430,table_DI,4)</f>
        <v>1.22</v>
      </c>
      <c r="J430" s="635" t="s">
        <v>10</v>
      </c>
      <c r="K430" s="637">
        <f>VLOOKUP(C430,table_DI,9)</f>
        <v>2.7447552447552328E-3</v>
      </c>
      <c r="L430" s="638">
        <f>VLOOKUP(C430,table_DI,8)</f>
        <v>572</v>
      </c>
      <c r="M430" s="636">
        <f>(0.84*(K430^0.5)*(cell_GUTDEP^0.6666)/cell_NRD)</f>
        <v>1.542655998380646</v>
      </c>
      <c r="N430" s="638">
        <f>VLOOKUP(C430,table_DI,10)</f>
        <v>20</v>
      </c>
      <c r="O430" s="638">
        <f>(L430/(M430*60))</f>
        <v>6.1798180173289738</v>
      </c>
      <c r="P430" s="638">
        <f>N430+O430</f>
        <v>26.179818017328973</v>
      </c>
      <c r="Q430" s="636">
        <f t="shared" ref="Q430:Q438" si="29">cell_P*(P430^cell_E)</f>
        <v>0.71725424295602469</v>
      </c>
      <c r="R430" s="635">
        <f>Q430*I430</f>
        <v>0.87505017640635008</v>
      </c>
      <c r="S430" s="638" t="s">
        <v>10</v>
      </c>
      <c r="T430" s="636" t="s">
        <v>10</v>
      </c>
      <c r="U430" s="637" t="s">
        <v>10</v>
      </c>
      <c r="V430" s="638" t="s">
        <v>10</v>
      </c>
      <c r="W430" s="638" t="s">
        <v>10</v>
      </c>
      <c r="X430" s="638" t="s">
        <v>10</v>
      </c>
      <c r="Y430" s="636" t="s">
        <v>10</v>
      </c>
      <c r="Z430" s="636" t="s">
        <v>10</v>
      </c>
      <c r="AA430" s="636" t="s">
        <v>10</v>
      </c>
      <c r="AB430" s="636" t="s">
        <v>10</v>
      </c>
      <c r="AC430" s="639" t="s">
        <v>10</v>
      </c>
      <c r="AD430" t="s">
        <v>10</v>
      </c>
    </row>
    <row r="431" spans="1:30" x14ac:dyDescent="0.2">
      <c r="A431" s="632" t="s">
        <v>586</v>
      </c>
      <c r="B431" s="633" t="s">
        <v>10</v>
      </c>
      <c r="C431" s="634">
        <v>137.1</v>
      </c>
      <c r="D431" s="635">
        <f>VLOOKUP(C431,table_DI,2)</f>
        <v>1.53</v>
      </c>
      <c r="E431" s="635" t="s">
        <v>10</v>
      </c>
      <c r="F431" s="636">
        <f>VLOOKUP(C431,table_DI,5)</f>
        <v>0.50326797385620914</v>
      </c>
      <c r="G431" s="635">
        <f>VLOOKUP(C431,table_DI,3)</f>
        <v>0.64</v>
      </c>
      <c r="H431" s="635" t="s">
        <v>10</v>
      </c>
      <c r="I431" s="635">
        <f>VLOOKUP(C431,table_DI,4)</f>
        <v>0.77</v>
      </c>
      <c r="J431" s="635" t="s">
        <v>10</v>
      </c>
      <c r="K431" s="637">
        <f>VLOOKUP(C431,table_DI,9)</f>
        <v>1.5639810426539529E-3</v>
      </c>
      <c r="L431" s="638">
        <f>VLOOKUP(C431,table_DI,8)</f>
        <v>211</v>
      </c>
      <c r="M431" s="636">
        <f>(0.84*(K431^0.5)*(cell_GUTDEP^0.6666)/cell_NRD)</f>
        <v>1.1644826512038493</v>
      </c>
      <c r="N431" s="638">
        <f>VLOOKUP(C431,table_DI,10)</f>
        <v>20</v>
      </c>
      <c r="O431" s="638">
        <f>(L431/(M431*60))</f>
        <v>3.0199390802697788</v>
      </c>
      <c r="P431" s="638">
        <f>N431+O431</f>
        <v>23.019939080269779</v>
      </c>
      <c r="Q431" s="636">
        <f>cell_P*(P431^cell_E)</f>
        <v>0.7774172883167072</v>
      </c>
      <c r="R431" s="635">
        <f>Q431*I431</f>
        <v>0.59861131200386453</v>
      </c>
      <c r="S431" s="638" t="s">
        <v>10</v>
      </c>
      <c r="T431" s="636" t="s">
        <v>10</v>
      </c>
      <c r="U431" s="637" t="s">
        <v>10</v>
      </c>
      <c r="V431" s="638" t="s">
        <v>10</v>
      </c>
      <c r="W431" s="638" t="s">
        <v>10</v>
      </c>
      <c r="X431" s="638" t="s">
        <v>10</v>
      </c>
      <c r="Y431" s="636" t="s">
        <v>10</v>
      </c>
      <c r="Z431" s="636" t="s">
        <v>10</v>
      </c>
      <c r="AA431" s="636" t="s">
        <v>10</v>
      </c>
      <c r="AB431" s="636" t="s">
        <v>10</v>
      </c>
      <c r="AC431" s="639" t="s">
        <v>10</v>
      </c>
      <c r="AD431" t="s">
        <v>10</v>
      </c>
    </row>
    <row r="432" spans="1:30" ht="15.75" x14ac:dyDescent="0.25">
      <c r="A432" s="641"/>
      <c r="B432" s="633">
        <v>114</v>
      </c>
      <c r="C432" s="640" t="s">
        <v>10</v>
      </c>
      <c r="D432" s="635" t="s">
        <v>10</v>
      </c>
      <c r="E432" s="635">
        <f>VLOOKUP(137,table_CIA_INLETS,2,FALSE)+VLOOKUP(137.1,table_CIA_INLETS,2,FALSE)</f>
        <v>3.96</v>
      </c>
      <c r="F432" s="636" t="s">
        <v>10</v>
      </c>
      <c r="G432" s="635" t="s">
        <v>10</v>
      </c>
      <c r="H432" s="635">
        <f>VLOOKUP(137,table_CIA_INLETS,5,FALSE)+VLOOKUP(137.1,table_CIA_INLETS,5,FALSE)</f>
        <v>1.6600000000000001</v>
      </c>
      <c r="I432" s="635" t="s">
        <v>10</v>
      </c>
      <c r="J432" s="635">
        <f>VLOOKUP(137,table_CIA_INLETS,7,FALSE)+VLOOKUP(137.1,table_CIA_INLETS,7,FALSE)</f>
        <v>1.99</v>
      </c>
      <c r="K432" s="637" t="s">
        <v>10</v>
      </c>
      <c r="L432" s="638" t="s">
        <v>10</v>
      </c>
      <c r="M432" s="636" t="s">
        <v>10</v>
      </c>
      <c r="N432" s="638" t="s">
        <v>10</v>
      </c>
      <c r="O432" s="638" t="s">
        <v>10</v>
      </c>
      <c r="P432" s="638">
        <f>VLOOKUP(137,table_CIA_INLETS,14,FALSE)</f>
        <v>26.179818017328973</v>
      </c>
      <c r="Q432" s="636">
        <f t="shared" si="29"/>
        <v>0.71725424295602469</v>
      </c>
      <c r="R432" s="635">
        <f>J432*Q432</f>
        <v>1.427335943482489</v>
      </c>
      <c r="S432" s="646">
        <v>18</v>
      </c>
      <c r="T432" s="636">
        <f>(4*R432)/(3.14159*(S432/12)^2)</f>
        <v>0.80770760084754767</v>
      </c>
      <c r="U432" s="637">
        <f>((R432/((0.463135/cell_NP)*((S432/12)^(8/3))))^2)*cell_FF</f>
        <v>2.1235787106437204E-4</v>
      </c>
      <c r="V432" s="646">
        <v>241</v>
      </c>
      <c r="W432" s="638">
        <f>V432/(T432*60)</f>
        <v>4.9729217138131157</v>
      </c>
      <c r="X432" s="638">
        <f>W432+P432</f>
        <v>31.152739731142088</v>
      </c>
      <c r="Y432" s="636">
        <f>U432*V432</f>
        <v>5.1178246926513661E-2</v>
      </c>
      <c r="Z432" s="636">
        <f>IF(VLOOKUP(115,table_CIA_JCTS,25,FALSE)+VLOOKUP(114,table_CIA_JCTS,24,FALSE)&lt;VLOOKUP(114,table_CIA_JCTS,28,FALSE),VLOOKUP(114,table_CIA_JCTS,28,FALSE),VLOOKUP(115,table_CIA_JCTS,25,FALSE)+VLOOKUP(114,table_CIA_JCTS,24,FALSE))</f>
        <v>389.96010356852122</v>
      </c>
      <c r="AA432" s="636">
        <v>396.81</v>
      </c>
      <c r="AB432" s="636">
        <f>(AA432-0.5)-Z432</f>
        <v>6.3498964314787827</v>
      </c>
      <c r="AC432" s="639" t="s">
        <v>10</v>
      </c>
      <c r="AD432" t="s">
        <v>10</v>
      </c>
    </row>
    <row r="433" spans="1:30" x14ac:dyDescent="0.2">
      <c r="A433" s="641"/>
      <c r="B433" s="633" t="s">
        <v>10</v>
      </c>
      <c r="C433" s="640" t="s">
        <v>10</v>
      </c>
      <c r="D433" s="635" t="s">
        <v>10</v>
      </c>
      <c r="E433" s="635" t="s">
        <v>10</v>
      </c>
      <c r="F433" s="636" t="s">
        <v>10</v>
      </c>
      <c r="G433" s="635" t="s">
        <v>10</v>
      </c>
      <c r="H433" s="635" t="s">
        <v>10</v>
      </c>
      <c r="I433" s="635" t="s">
        <v>10</v>
      </c>
      <c r="J433" s="635" t="s">
        <v>10</v>
      </c>
      <c r="K433" s="637" t="s">
        <v>10</v>
      </c>
      <c r="L433" s="638" t="s">
        <v>10</v>
      </c>
      <c r="M433" s="636" t="s">
        <v>10</v>
      </c>
      <c r="N433" s="638" t="s">
        <v>10</v>
      </c>
      <c r="O433" s="638" t="s">
        <v>10</v>
      </c>
      <c r="P433" s="638" t="s">
        <v>10</v>
      </c>
      <c r="Q433" s="636" t="s">
        <v>10</v>
      </c>
      <c r="R433" s="635" t="s">
        <v>10</v>
      </c>
      <c r="S433" s="638" t="s">
        <v>10</v>
      </c>
      <c r="T433" s="636" t="s">
        <v>10</v>
      </c>
      <c r="U433" s="637" t="s">
        <v>10</v>
      </c>
      <c r="V433" s="638" t="s">
        <v>10</v>
      </c>
      <c r="W433" s="638" t="s">
        <v>10</v>
      </c>
      <c r="X433" s="638" t="s">
        <v>10</v>
      </c>
      <c r="Y433" s="636" t="s">
        <v>10</v>
      </c>
      <c r="Z433" s="636" t="s">
        <v>10</v>
      </c>
      <c r="AA433" s="636" t="s">
        <v>10</v>
      </c>
      <c r="AB433" s="636" t="s">
        <v>10</v>
      </c>
      <c r="AC433" s="639" t="s">
        <v>10</v>
      </c>
      <c r="AD433" t="s">
        <v>10</v>
      </c>
    </row>
    <row r="434" spans="1:30" x14ac:dyDescent="0.2">
      <c r="A434" s="641"/>
      <c r="B434" s="633" t="s">
        <v>10</v>
      </c>
      <c r="C434" s="634">
        <v>138</v>
      </c>
      <c r="D434" s="635">
        <f>VLOOKUP(C434,table_DI,2)</f>
        <v>5.24</v>
      </c>
      <c r="E434" s="635" t="s">
        <v>10</v>
      </c>
      <c r="F434" s="636">
        <f>VLOOKUP(C434,table_DI,5)</f>
        <v>0.50381679389312972</v>
      </c>
      <c r="G434" s="635">
        <f>VLOOKUP(C434,table_DI,3)</f>
        <v>2.2000000000000002</v>
      </c>
      <c r="H434" s="635" t="s">
        <v>10</v>
      </c>
      <c r="I434" s="635">
        <f>VLOOKUP(C434,table_DI,4)</f>
        <v>2.64</v>
      </c>
      <c r="J434" s="635" t="s">
        <v>10</v>
      </c>
      <c r="K434" s="637">
        <f>VLOOKUP(C434,table_DI,9)</f>
        <v>7.554945054945055E-3</v>
      </c>
      <c r="L434" s="638">
        <f>VLOOKUP(C434,table_DI,8)</f>
        <v>728</v>
      </c>
      <c r="M434" s="636">
        <f>(0.84*(K434^0.5)*(cell_GUTDEP^0.6666)/cell_NRD)</f>
        <v>2.5593691777540037</v>
      </c>
      <c r="N434" s="638">
        <f>VLOOKUP(C434,table_DI,10)</f>
        <v>20</v>
      </c>
      <c r="O434" s="638">
        <f>(L434/(M434*60))</f>
        <v>4.7407515253352566</v>
      </c>
      <c r="P434" s="638">
        <f>N434+O434</f>
        <v>24.740751525335256</v>
      </c>
      <c r="Q434" s="636">
        <f t="shared" si="29"/>
        <v>0.74310241944864175</v>
      </c>
      <c r="R434" s="635">
        <f>Q434*I434</f>
        <v>1.9617903873444142</v>
      </c>
      <c r="S434" s="638" t="s">
        <v>10</v>
      </c>
      <c r="T434" s="636" t="s">
        <v>10</v>
      </c>
      <c r="U434" s="637" t="s">
        <v>10</v>
      </c>
      <c r="V434" s="638" t="s">
        <v>10</v>
      </c>
      <c r="W434" s="638" t="s">
        <v>10</v>
      </c>
      <c r="X434" s="638" t="s">
        <v>10</v>
      </c>
      <c r="Y434" s="636" t="s">
        <v>10</v>
      </c>
      <c r="Z434" s="636" t="s">
        <v>10</v>
      </c>
      <c r="AA434" s="636" t="s">
        <v>10</v>
      </c>
      <c r="AB434" s="636" t="s">
        <v>10</v>
      </c>
      <c r="AC434" s="639" t="s">
        <v>10</v>
      </c>
      <c r="AD434" t="s">
        <v>10</v>
      </c>
    </row>
    <row r="435" spans="1:30" ht="15.75" x14ac:dyDescent="0.25">
      <c r="A435" s="649"/>
      <c r="B435" s="633">
        <v>114.1</v>
      </c>
      <c r="C435" s="640" t="s">
        <v>10</v>
      </c>
      <c r="D435" s="635" t="s">
        <v>10</v>
      </c>
      <c r="E435" s="635">
        <f>VLOOKUP(138,table_CIA_INLETS,2,FALSE)</f>
        <v>5.24</v>
      </c>
      <c r="F435" s="636" t="s">
        <v>10</v>
      </c>
      <c r="G435" s="635" t="s">
        <v>10</v>
      </c>
      <c r="H435" s="635">
        <f>VLOOKUP(138,table_CIA_INLETS,5,FALSE)</f>
        <v>2.2000000000000002</v>
      </c>
      <c r="I435" s="635" t="s">
        <v>10</v>
      </c>
      <c r="J435" s="635">
        <f>VLOOKUP(138,table_CIA_INLETS,7,FALSE)</f>
        <v>2.64</v>
      </c>
      <c r="K435" s="637" t="s">
        <v>10</v>
      </c>
      <c r="L435" s="638" t="s">
        <v>10</v>
      </c>
      <c r="M435" s="636" t="s">
        <v>10</v>
      </c>
      <c r="N435" s="638" t="s">
        <v>10</v>
      </c>
      <c r="O435" s="638" t="s">
        <v>10</v>
      </c>
      <c r="P435" s="638">
        <f>VLOOKUP(138,table_CIA_INLETS,14,FALSE)</f>
        <v>24.740751525335256</v>
      </c>
      <c r="Q435" s="636">
        <f t="shared" si="29"/>
        <v>0.74310241944864175</v>
      </c>
      <c r="R435" s="635">
        <f>J435*Q435</f>
        <v>1.9617903873444142</v>
      </c>
      <c r="S435" s="646">
        <v>18</v>
      </c>
      <c r="T435" s="636">
        <f>(4*R435)/(3.14159*(S435/12)^2)</f>
        <v>1.1101472042115486</v>
      </c>
      <c r="U435" s="637">
        <f>((R435/((0.463135/cell_NP)*((S435/12)^(8/3))))^2)*cell_FF</f>
        <v>4.0116326962201922E-4</v>
      </c>
      <c r="V435" s="646">
        <v>120</v>
      </c>
      <c r="W435" s="638">
        <f>V435/(T435*60)</f>
        <v>1.8015628850053675</v>
      </c>
      <c r="X435" s="638">
        <f>W435+P435</f>
        <v>26.542314410340623</v>
      </c>
      <c r="Y435" s="636">
        <f>U435*V435</f>
        <v>4.8139592354642304E-2</v>
      </c>
      <c r="Z435" s="636">
        <f>IF(VLOOKUP(114.2,table_CIA_JCTS,25,FALSE)+VLOOKUP(114.1,table_CIA_JCTS,24,FALSE)&lt;VLOOKUP(114.1,table_CIA_JCTS,28,FALSE),VLOOKUP(114.1,table_CIA_JCTS,28,FALSE),VLOOKUP(114.2,table_CIA_JCTS,25,FALSE)+VLOOKUP(114.1,table_CIA_JCTS,24,FALSE))</f>
        <v>389.97473720256141</v>
      </c>
      <c r="AA435" s="636">
        <v>396.5</v>
      </c>
      <c r="AB435" s="636">
        <f>(AA435-0.5)-Z435</f>
        <v>6.0252627974385859</v>
      </c>
      <c r="AC435" s="639"/>
      <c r="AD435"/>
    </row>
    <row r="436" spans="1:30" x14ac:dyDescent="0.2">
      <c r="A436" s="641"/>
      <c r="B436" s="633" t="s">
        <v>10</v>
      </c>
      <c r="C436" s="634">
        <v>139</v>
      </c>
      <c r="D436" s="635">
        <f>VLOOKUP(C436,table_DI,2)</f>
        <v>2.27</v>
      </c>
      <c r="E436" s="635" t="s">
        <v>10</v>
      </c>
      <c r="F436" s="636">
        <f>VLOOKUP(C436,table_DI,5)</f>
        <v>0.89867841409691629</v>
      </c>
      <c r="G436" s="635">
        <f>VLOOKUP(C436,table_DI,3)</f>
        <v>2.04</v>
      </c>
      <c r="H436" s="635" t="s">
        <v>10</v>
      </c>
      <c r="I436" s="635">
        <f>VLOOKUP(C436,table_DI,4)</f>
        <v>2.04</v>
      </c>
      <c r="J436" s="635" t="s">
        <v>10</v>
      </c>
      <c r="K436" s="637">
        <f>VLOOKUP(C436,table_DI,9)</f>
        <v>4.5401459854014798E-3</v>
      </c>
      <c r="L436" s="638">
        <f>VLOOKUP(C436,table_DI,8)</f>
        <v>685</v>
      </c>
      <c r="M436" s="636">
        <f>(0.84*(K436^0.5)*(cell_GUTDEP^0.6666)/cell_NRD)</f>
        <v>1.9840480654967225</v>
      </c>
      <c r="N436" s="638">
        <f>VLOOKUP(C436,table_DI,10)</f>
        <v>5</v>
      </c>
      <c r="O436" s="638">
        <f>(L436/(M436*60))</f>
        <v>5.7542288743939336</v>
      </c>
      <c r="P436" s="638">
        <f>N436+O436</f>
        <v>10.754228874393934</v>
      </c>
      <c r="Q436" s="636">
        <f>cell_P*(P436^cell_E)</f>
        <v>1.2520707890778671</v>
      </c>
      <c r="R436" s="635">
        <f>Q436*I436</f>
        <v>2.5542244097188487</v>
      </c>
      <c r="S436" s="638" t="s">
        <v>10</v>
      </c>
      <c r="T436" s="636" t="s">
        <v>10</v>
      </c>
      <c r="U436" s="637" t="s">
        <v>10</v>
      </c>
      <c r="V436" s="638" t="s">
        <v>10</v>
      </c>
      <c r="W436" s="638" t="s">
        <v>10</v>
      </c>
      <c r="X436" s="638" t="s">
        <v>10</v>
      </c>
      <c r="Y436" s="636" t="s">
        <v>10</v>
      </c>
      <c r="Z436" s="636" t="s">
        <v>10</v>
      </c>
      <c r="AA436" s="636" t="s">
        <v>10</v>
      </c>
      <c r="AB436" s="636" t="s">
        <v>10</v>
      </c>
      <c r="AC436" s="639" t="s">
        <v>10</v>
      </c>
      <c r="AD436" t="s">
        <v>10</v>
      </c>
    </row>
    <row r="437" spans="1:30" ht="15.75" x14ac:dyDescent="0.25">
      <c r="A437" s="641"/>
      <c r="B437" s="633">
        <v>114.2</v>
      </c>
      <c r="C437" s="640" t="s">
        <v>10</v>
      </c>
      <c r="D437" s="635" t="s">
        <v>10</v>
      </c>
      <c r="E437" s="635">
        <f>VLOOKUP(114.1,table_CIA_JCTS,4,FALSE)+VLOOKUP(139,table_CIA_INLETS,2,FALSE)</f>
        <v>7.51</v>
      </c>
      <c r="F437" s="636" t="s">
        <v>10</v>
      </c>
      <c r="G437" s="635" t="s">
        <v>10</v>
      </c>
      <c r="H437" s="635">
        <f>VLOOKUP(114.1,table_CIA_JCTS,7,FALSE)+VLOOKUP(139,table_CIA_INLETS,5,FALSE)</f>
        <v>4.24</v>
      </c>
      <c r="I437" s="635" t="s">
        <v>10</v>
      </c>
      <c r="J437" s="635">
        <f>VLOOKUP(114.1,table_CIA_JCTS,9,FALSE)+VLOOKUP(139,table_CIA_INLETS,7,FALSE)</f>
        <v>4.68</v>
      </c>
      <c r="K437" s="637" t="s">
        <v>10</v>
      </c>
      <c r="L437" s="638" t="s">
        <v>10</v>
      </c>
      <c r="M437" s="636" t="s">
        <v>10</v>
      </c>
      <c r="N437" s="638" t="s">
        <v>10</v>
      </c>
      <c r="O437" s="638" t="s">
        <v>10</v>
      </c>
      <c r="P437" s="638">
        <f>VLOOKUP(114.1,table_CIA_JCTS,23,FALSE)</f>
        <v>26.542314410340623</v>
      </c>
      <c r="Q437" s="636">
        <f>cell_P*(P437^cell_E)</f>
        <v>0.71110438326863168</v>
      </c>
      <c r="R437" s="635">
        <f>J437*Q437</f>
        <v>3.3279685136971962</v>
      </c>
      <c r="S437" s="638">
        <v>24</v>
      </c>
      <c r="T437" s="636">
        <f>(4*R437)/(3.14159*(S437/12)^2)</f>
        <v>1.0593261735927337</v>
      </c>
      <c r="U437" s="637">
        <f>((R437/((0.463135/cell_NP)*((S437/12)^(8/3))))^2)*cell_FF</f>
        <v>2.4890547340957516E-4</v>
      </c>
      <c r="V437" s="646">
        <v>71</v>
      </c>
      <c r="W437" s="638">
        <f>V437/(T437*60)</f>
        <v>1.1170623013306902</v>
      </c>
      <c r="X437" s="638">
        <f>W437+P437</f>
        <v>27.659376711671314</v>
      </c>
      <c r="Y437" s="636">
        <f>U437*V437</f>
        <v>1.7672288612079836E-2</v>
      </c>
      <c r="Z437" s="636">
        <f>IF(VLOOKUP(115,table_CIA_JCTS,25,FALSE)+VLOOKUP(114.2,table_CIA_JCTS,24,FALSE)&lt;VLOOKUP(114.2,table_CIA_JCTS,28,FALSE),VLOOKUP(114.2,table_CIA_JCTS,28,FALSE),VLOOKUP(115,table_CIA_JCTS,25,FALSE)+VLOOKUP(114.2,table_CIA_JCTS,24,FALSE))</f>
        <v>389.92659761020678</v>
      </c>
      <c r="AA437" s="636">
        <v>395.04</v>
      </c>
      <c r="AB437" s="636">
        <f>(AA437-0.5)-Z437</f>
        <v>4.6134023897932366</v>
      </c>
      <c r="AC437" s="639" t="s">
        <v>10</v>
      </c>
      <c r="AD437" t="s">
        <v>10</v>
      </c>
    </row>
    <row r="438" spans="1:30" x14ac:dyDescent="0.2">
      <c r="B438" s="216">
        <v>115</v>
      </c>
      <c r="C438" s="217" t="s">
        <v>10</v>
      </c>
      <c r="D438" s="54" t="s">
        <v>10</v>
      </c>
      <c r="E438" s="54">
        <f>VLOOKUP(113.2,table_CIA_JCTS,4,FALSE)+VLOOKUP(114,table_CIA_JCTS,4,FALSE)+VLOOKUP(114.2,table_CIA_JCTS,4,FALSE)</f>
        <v>31.799999999999997</v>
      </c>
      <c r="F438" s="55" t="s">
        <v>10</v>
      </c>
      <c r="G438" s="54" t="s">
        <v>10</v>
      </c>
      <c r="H438" s="54">
        <f>VLOOKUP(113.2,table_CIA_JCTS,7,FALSE)+VLOOKUP(114,table_CIA_JCTS,7,FALSE)+VLOOKUP(114.2,table_CIA_JCTS,7,FALSE)</f>
        <v>13.7098</v>
      </c>
      <c r="I438" s="54" t="s">
        <v>10</v>
      </c>
      <c r="J438" s="54">
        <f>VLOOKUP(113.2,table_CIA_JCTS,9,FALSE)+VLOOKUP(114,table_CIA_JCTS,9,FALSE)+VLOOKUP(114.2,table_CIA_JCTS,9,FALSE)</f>
        <v>15.023</v>
      </c>
      <c r="K438" s="56" t="s">
        <v>10</v>
      </c>
      <c r="L438" s="53" t="s">
        <v>10</v>
      </c>
      <c r="M438" s="55" t="s">
        <v>10</v>
      </c>
      <c r="N438" s="53" t="s">
        <v>10</v>
      </c>
      <c r="O438" s="53" t="s">
        <v>10</v>
      </c>
      <c r="P438" s="53">
        <f>VLOOKUP(113.2,table_CIA_JCTS,23,FALSE)</f>
        <v>48.63490743845896</v>
      </c>
      <c r="Q438" s="55">
        <f t="shared" si="29"/>
        <v>0.48667263747177236</v>
      </c>
      <c r="R438" s="54">
        <f>J438*Q438</f>
        <v>7.3112830327384364</v>
      </c>
      <c r="S438" s="611">
        <v>30</v>
      </c>
      <c r="T438" s="55">
        <f>(4*R438)/(3.14159*(S438/12)^2)</f>
        <v>1.4894436068846029</v>
      </c>
      <c r="U438" s="56">
        <f>((R438/((0.463135/cell_NP)*((S438/12)^(8/3))))^2)*cell_FF</f>
        <v>3.6543473041361206E-4</v>
      </c>
      <c r="V438" s="611">
        <v>1329</v>
      </c>
      <c r="W438" s="53">
        <f>V438/(T438*60)</f>
        <v>14.871325035480922</v>
      </c>
      <c r="X438" s="53">
        <f>W438+P438</f>
        <v>63.506232473939882</v>
      </c>
      <c r="Y438" s="55">
        <f>U438*V438</f>
        <v>0.48566275671969045</v>
      </c>
      <c r="Z438" s="55">
        <f>IF(VLOOKUP(117,table_CIA_JCTS,25,FALSE)+VLOOKUP(115,table_CIA_JCTS,24,FALSE)&lt;VLOOKUP(115,table_CIA_JCTS,28,FALSE),VLOOKUP(115,table_CIA_JCTS,28,FALSE),VLOOKUP(117,table_CIA_JCTS,25,FALSE)+VLOOKUP(115,table_CIA_JCTS,24,FALSE))</f>
        <v>389.90892532159472</v>
      </c>
      <c r="AA438" s="55">
        <v>395</v>
      </c>
      <c r="AB438" s="55">
        <f>(AA438-0.5)-Z438</f>
        <v>4.5910746784052776</v>
      </c>
      <c r="AC438" s="613">
        <v>388.79</v>
      </c>
      <c r="AD438" t="s">
        <v>450</v>
      </c>
    </row>
    <row r="439" spans="1:30" x14ac:dyDescent="0.2">
      <c r="A439" s="598"/>
      <c r="B439" s="216" t="s">
        <v>10</v>
      </c>
      <c r="C439" s="217" t="s">
        <v>10</v>
      </c>
      <c r="D439" s="54" t="s">
        <v>10</v>
      </c>
      <c r="E439" s="54" t="s">
        <v>10</v>
      </c>
      <c r="F439" s="55" t="s">
        <v>10</v>
      </c>
      <c r="G439" s="54" t="s">
        <v>10</v>
      </c>
      <c r="H439" s="54" t="s">
        <v>10</v>
      </c>
      <c r="I439" s="54" t="s">
        <v>10</v>
      </c>
      <c r="J439" s="54" t="s">
        <v>10</v>
      </c>
      <c r="K439" s="56" t="s">
        <v>10</v>
      </c>
      <c r="L439" s="53" t="s">
        <v>10</v>
      </c>
      <c r="M439" s="55" t="s">
        <v>10</v>
      </c>
      <c r="N439" s="53" t="s">
        <v>10</v>
      </c>
      <c r="O439" s="53" t="s">
        <v>10</v>
      </c>
      <c r="P439" s="53" t="s">
        <v>10</v>
      </c>
      <c r="Q439" s="55" t="s">
        <v>10</v>
      </c>
      <c r="R439" s="54" t="s">
        <v>10</v>
      </c>
      <c r="S439" s="53" t="s">
        <v>10</v>
      </c>
      <c r="T439" s="55" t="s">
        <v>10</v>
      </c>
      <c r="U439" s="56" t="s">
        <v>10</v>
      </c>
      <c r="V439" s="53" t="s">
        <v>10</v>
      </c>
      <c r="W439" s="53" t="s">
        <v>10</v>
      </c>
      <c r="X439" s="53" t="s">
        <v>10</v>
      </c>
      <c r="Y439" s="55" t="s">
        <v>10</v>
      </c>
      <c r="Z439" s="55" t="s">
        <v>10</v>
      </c>
      <c r="AA439" s="55" t="s">
        <v>10</v>
      </c>
      <c r="AB439" s="55" t="s">
        <v>10</v>
      </c>
      <c r="AC439" s="57" t="s">
        <v>10</v>
      </c>
      <c r="AD439" t="s">
        <v>10</v>
      </c>
    </row>
    <row r="440" spans="1:30" x14ac:dyDescent="0.2">
      <c r="A440" s="632" t="s">
        <v>585</v>
      </c>
      <c r="B440" s="633" t="s">
        <v>10</v>
      </c>
      <c r="C440" s="634">
        <v>141</v>
      </c>
      <c r="D440" s="635">
        <f>VLOOKUP(C440,table_DI,2)</f>
        <v>9.7100000000000009</v>
      </c>
      <c r="E440" s="635" t="s">
        <v>10</v>
      </c>
      <c r="F440" s="636">
        <f>VLOOKUP(C440,table_DI,5)</f>
        <v>0.50360453141091654</v>
      </c>
      <c r="G440" s="635">
        <f>VLOOKUP(C440,table_DI,3)</f>
        <v>4.08</v>
      </c>
      <c r="H440" s="635" t="s">
        <v>10</v>
      </c>
      <c r="I440" s="635">
        <f>VLOOKUP(C440,table_DI,4)</f>
        <v>4.8899999999999997</v>
      </c>
      <c r="J440" s="635" t="s">
        <v>10</v>
      </c>
      <c r="K440" s="637">
        <f>VLOOKUP(C440,table_DI,9)</f>
        <v>1.8421052631579396E-3</v>
      </c>
      <c r="L440" s="638">
        <f>VLOOKUP(C440,table_DI,8)</f>
        <v>760</v>
      </c>
      <c r="M440" s="636">
        <f>(0.84*(K440^0.5)*(cell_GUTDEP^0.6666)/cell_NRD)</f>
        <v>1.2637887995953674</v>
      </c>
      <c r="N440" s="638">
        <f>VLOOKUP(C440,table_DI,10)</f>
        <v>20</v>
      </c>
      <c r="O440" s="638">
        <f>(L440/(M440*60))</f>
        <v>10.022771740596378</v>
      </c>
      <c r="P440" s="638">
        <f>N440+O440</f>
        <v>30.022771740596376</v>
      </c>
      <c r="Q440" s="636">
        <f>cell_P*(P440^cell_E)</f>
        <v>0.65830043848607678</v>
      </c>
      <c r="R440" s="635">
        <f>Q440*I440</f>
        <v>3.2190891441969152</v>
      </c>
      <c r="S440" s="638" t="s">
        <v>10</v>
      </c>
      <c r="T440" s="636" t="s">
        <v>10</v>
      </c>
      <c r="U440" s="637" t="s">
        <v>10</v>
      </c>
      <c r="V440" s="638" t="s">
        <v>10</v>
      </c>
      <c r="W440" s="638" t="s">
        <v>10</v>
      </c>
      <c r="X440" s="638" t="s">
        <v>10</v>
      </c>
      <c r="Y440" s="636" t="s">
        <v>10</v>
      </c>
      <c r="Z440" s="636" t="s">
        <v>10</v>
      </c>
      <c r="AA440" s="636" t="s">
        <v>10</v>
      </c>
      <c r="AB440" s="636" t="s">
        <v>10</v>
      </c>
      <c r="AC440" s="639" t="s">
        <v>10</v>
      </c>
      <c r="AD440" t="s">
        <v>10</v>
      </c>
    </row>
    <row r="441" spans="1:30" x14ac:dyDescent="0.2">
      <c r="A441" s="632" t="s">
        <v>586</v>
      </c>
      <c r="B441" s="633">
        <v>116</v>
      </c>
      <c r="C441" s="640" t="s">
        <v>10</v>
      </c>
      <c r="D441" s="635" t="s">
        <v>10</v>
      </c>
      <c r="E441" s="635">
        <f>VLOOKUP(141,table_CIA_INLETS,2,FALSE)</f>
        <v>9.7100000000000009</v>
      </c>
      <c r="F441" s="636" t="s">
        <v>10</v>
      </c>
      <c r="G441" s="635" t="s">
        <v>10</v>
      </c>
      <c r="H441" s="635">
        <f>VLOOKUP(141,table_CIA_INLETS,5,FALSE)</f>
        <v>4.08</v>
      </c>
      <c r="I441" s="635" t="s">
        <v>10</v>
      </c>
      <c r="J441" s="635">
        <f>VLOOKUP(141,table_CIA_INLETS,7,FALSE)</f>
        <v>4.8899999999999997</v>
      </c>
      <c r="K441" s="637" t="s">
        <v>10</v>
      </c>
      <c r="L441" s="638" t="s">
        <v>10</v>
      </c>
      <c r="M441" s="636" t="s">
        <v>10</v>
      </c>
      <c r="N441" s="638" t="s">
        <v>10</v>
      </c>
      <c r="O441" s="638" t="s">
        <v>10</v>
      </c>
      <c r="P441" s="638">
        <f>VLOOKUP(141,table_CIA_INLETS,14,FALSE)</f>
        <v>30.022771740596376</v>
      </c>
      <c r="Q441" s="636">
        <f>cell_P*(P441^cell_E)</f>
        <v>0.65830043848607678</v>
      </c>
      <c r="R441" s="635">
        <f>J441*Q441</f>
        <v>3.2190891441969152</v>
      </c>
      <c r="S441" s="638">
        <v>18</v>
      </c>
      <c r="T441" s="636">
        <f>(4*R441)/(3.14159*(S441/12)^2)</f>
        <v>1.8216333592986227</v>
      </c>
      <c r="U441" s="637">
        <f>((R441/((0.463135/cell_NP)*((S441/12)^(8/3))))^2)*cell_FF</f>
        <v>1.0801447644569798E-3</v>
      </c>
      <c r="V441" s="638">
        <v>890</v>
      </c>
      <c r="W441" s="638">
        <f>V441/(T441*60)</f>
        <v>8.1428753253863118</v>
      </c>
      <c r="X441" s="638">
        <f>W441+P441</f>
        <v>38.165647065982689</v>
      </c>
      <c r="Y441" s="636">
        <f>U441*V441</f>
        <v>0.96132884036671207</v>
      </c>
      <c r="Z441" s="636">
        <f>IF(VLOOKUP(117,table_CIA_JCTS,25,FALSE)+VLOOKUP(116,table_CIA_JCTS,24,FALSE)&lt;VLOOKUP(116,table_CIA_JCTS,28,FALSE),VLOOKUP(116,table_CIA_JCTS,28,FALSE),VLOOKUP(117,table_CIA_JCTS,25,FALSE)+VLOOKUP(116,table_CIA_JCTS,24,FALSE))</f>
        <v>390.38459140524174</v>
      </c>
      <c r="AA441" s="636">
        <v>398.7</v>
      </c>
      <c r="AB441" s="636">
        <f>(AA441-0.5)-Z441</f>
        <v>7.815408594758253</v>
      </c>
      <c r="AC441" s="639" t="s">
        <v>10</v>
      </c>
      <c r="AD441" t="s">
        <v>10</v>
      </c>
    </row>
    <row r="442" spans="1:30" x14ac:dyDescent="0.2">
      <c r="A442" s="598"/>
      <c r="B442" s="216">
        <v>117</v>
      </c>
      <c r="C442" s="217" t="s">
        <v>10</v>
      </c>
      <c r="D442" s="54" t="s">
        <v>10</v>
      </c>
      <c r="E442" s="54">
        <f>VLOOKUP(111,table_CIA_JCTS,4,FALSE)+VLOOKUP(115,table_CIA_JCTS,4,FALSE)+VLOOKUP(116,table_CIA_JCTS,4,FALSE)</f>
        <v>261.49</v>
      </c>
      <c r="F442" s="55" t="s">
        <v>10</v>
      </c>
      <c r="G442" s="54" t="s">
        <v>10</v>
      </c>
      <c r="H442" s="54">
        <f>VLOOKUP(111,table_CIA_JCTS,7,FALSE)+VLOOKUP(115,table_CIA_JCTS,7,FALSE)+VLOOKUP(116,table_CIA_JCTS,7,FALSE)</f>
        <v>121.75980000000001</v>
      </c>
      <c r="I442" s="54" t="s">
        <v>10</v>
      </c>
      <c r="J442" s="54">
        <f>VLOOKUP(111,table_CIA_JCTS,9,FALSE)+VLOOKUP(115,table_CIA_JCTS,9,FALSE)+VLOOKUP(116,table_CIA_JCTS,9,FALSE)</f>
        <v>130.22299999999998</v>
      </c>
      <c r="K442" s="56" t="s">
        <v>10</v>
      </c>
      <c r="L442" s="53" t="s">
        <v>10</v>
      </c>
      <c r="M442" s="55" t="s">
        <v>10</v>
      </c>
      <c r="N442" s="53" t="s">
        <v>10</v>
      </c>
      <c r="O442" s="53" t="s">
        <v>10</v>
      </c>
      <c r="P442" s="53">
        <f>VLOOKUP(111,table_CIA_JCTS,23,FALSE)</f>
        <v>45.286848535655871</v>
      </c>
      <c r="Q442" s="55">
        <f>cell_P*(P442^cell_E)</f>
        <v>0.50890192862553418</v>
      </c>
      <c r="R442" s="54">
        <f>J442*Q442</f>
        <v>66.270735851402932</v>
      </c>
      <c r="S442" s="611">
        <v>48</v>
      </c>
      <c r="T442" s="55">
        <f>(4*R442)/(3.14159*(S442/12)^2)</f>
        <v>5.2736620510158021</v>
      </c>
      <c r="U442" s="56">
        <f>((R442/((0.463135/cell_NP)*((S442/12)^(8/3))))^2)*cell_FF</f>
        <v>2.4480839406480007E-3</v>
      </c>
      <c r="V442" s="611">
        <v>813</v>
      </c>
      <c r="W442" s="53">
        <f>V442/(T442*60)</f>
        <v>2.5693720736978256</v>
      </c>
      <c r="X442" s="53">
        <f>W442+P442</f>
        <v>47.856220609353699</v>
      </c>
      <c r="Y442" s="55">
        <f>U442*V442</f>
        <v>1.9902922437468245</v>
      </c>
      <c r="Z442" s="55">
        <f>IF(VLOOKUP(119,table_CIA_JCTS,25,FALSE)+VLOOKUP(117,table_CIA_JCTS,24,FALSE)&lt;VLOOKUP(117,table_CIA_JCTS,28,FALSE),VLOOKUP(117,table_CIA_JCTS,28,FALSE),VLOOKUP(119,table_CIA_JCTS,25,FALSE)+VLOOKUP(117,table_CIA_JCTS,24,FALSE))</f>
        <v>389.42326256487502</v>
      </c>
      <c r="AA442" s="55">
        <v>396.86</v>
      </c>
      <c r="AB442" s="55">
        <f>(AA442-0.5)-Z442</f>
        <v>6.9367374351249964</v>
      </c>
      <c r="AC442" s="57">
        <v>386.19</v>
      </c>
      <c r="AD442" t="s">
        <v>455</v>
      </c>
    </row>
    <row r="443" spans="1:30" x14ac:dyDescent="0.2">
      <c r="B443" s="216" t="s">
        <v>10</v>
      </c>
      <c r="C443" s="217" t="s">
        <v>10</v>
      </c>
      <c r="D443" s="54" t="s">
        <v>10</v>
      </c>
      <c r="E443" s="54" t="s">
        <v>10</v>
      </c>
      <c r="F443" s="55" t="s">
        <v>10</v>
      </c>
      <c r="G443" s="54" t="s">
        <v>10</v>
      </c>
      <c r="H443" s="54" t="s">
        <v>10</v>
      </c>
      <c r="I443" s="54" t="s">
        <v>10</v>
      </c>
      <c r="J443" s="54" t="s">
        <v>10</v>
      </c>
      <c r="K443" s="56" t="s">
        <v>10</v>
      </c>
      <c r="L443" s="53" t="s">
        <v>10</v>
      </c>
      <c r="M443" s="55" t="s">
        <v>10</v>
      </c>
      <c r="N443" s="53" t="s">
        <v>10</v>
      </c>
      <c r="O443" s="53" t="s">
        <v>10</v>
      </c>
      <c r="P443" s="53" t="s">
        <v>10</v>
      </c>
      <c r="Q443" s="55" t="s">
        <v>10</v>
      </c>
      <c r="R443" s="54" t="s">
        <v>10</v>
      </c>
      <c r="S443" s="53" t="s">
        <v>10</v>
      </c>
      <c r="T443" s="55" t="s">
        <v>10</v>
      </c>
      <c r="U443" s="56" t="s">
        <v>10</v>
      </c>
      <c r="V443" s="53" t="s">
        <v>10</v>
      </c>
      <c r="W443" s="53" t="s">
        <v>10</v>
      </c>
      <c r="X443" s="53" t="s">
        <v>10</v>
      </c>
      <c r="Y443" s="55" t="s">
        <v>10</v>
      </c>
      <c r="Z443" s="55" t="s">
        <v>10</v>
      </c>
      <c r="AA443" s="55" t="s">
        <v>10</v>
      </c>
      <c r="AB443" s="55" t="s">
        <v>10</v>
      </c>
      <c r="AC443" s="57" t="s">
        <v>10</v>
      </c>
      <c r="AD443" t="s">
        <v>10</v>
      </c>
    </row>
    <row r="444" spans="1:30" x14ac:dyDescent="0.2">
      <c r="B444" s="216" t="s">
        <v>10</v>
      </c>
      <c r="C444" s="215">
        <v>143</v>
      </c>
      <c r="D444" s="54">
        <f>VLOOKUP(C444,table_DI,2)</f>
        <v>4.28</v>
      </c>
      <c r="E444" s="54" t="s">
        <v>10</v>
      </c>
      <c r="F444" s="55">
        <f>VLOOKUP(C444,table_DI,5)</f>
        <v>0.38399532710280371</v>
      </c>
      <c r="G444" s="54">
        <f>VLOOKUP(C444,table_DI,3)</f>
        <v>1.3695999999999999</v>
      </c>
      <c r="H444" s="54" t="s">
        <v>10</v>
      </c>
      <c r="I444" s="54">
        <f>VLOOKUP(C444,table_DI,4)</f>
        <v>1.6435</v>
      </c>
      <c r="J444" s="54" t="s">
        <v>10</v>
      </c>
      <c r="K444" s="56">
        <f>VLOOKUP(C444,table_DI,9)</f>
        <v>4.2804878048780378E-3</v>
      </c>
      <c r="L444" s="53">
        <f>VLOOKUP(C444,table_DI,8)</f>
        <v>820</v>
      </c>
      <c r="M444" s="55">
        <f>(0.84*(K444^0.5)*(cell_GUTDEP^0.6666)/cell_NRD)</f>
        <v>1.9264773727956155</v>
      </c>
      <c r="N444" s="53">
        <f>VLOOKUP(C444,table_DI,10)</f>
        <v>25</v>
      </c>
      <c r="O444" s="53">
        <f>(L444/(M444*60))</f>
        <v>7.094122598924808</v>
      </c>
      <c r="P444" s="53">
        <f>N444+O444</f>
        <v>32.094122598924805</v>
      </c>
      <c r="Q444" s="55">
        <f>cell_P*(P444^cell_E)</f>
        <v>0.63136452021992318</v>
      </c>
      <c r="R444" s="54">
        <f>Q444*I444</f>
        <v>1.0376475889814438</v>
      </c>
      <c r="S444" s="53" t="s">
        <v>10</v>
      </c>
      <c r="T444" s="55" t="s">
        <v>10</v>
      </c>
      <c r="U444" s="56" t="s">
        <v>10</v>
      </c>
      <c r="V444" s="53" t="s">
        <v>10</v>
      </c>
      <c r="W444" s="53" t="s">
        <v>10</v>
      </c>
      <c r="X444" s="53" t="s">
        <v>10</v>
      </c>
      <c r="Y444" s="55" t="s">
        <v>10</v>
      </c>
      <c r="Z444" s="55" t="s">
        <v>10</v>
      </c>
      <c r="AA444" s="55" t="s">
        <v>10</v>
      </c>
      <c r="AB444" s="55" t="s">
        <v>10</v>
      </c>
      <c r="AC444" s="57" t="s">
        <v>10</v>
      </c>
      <c r="AD444" t="s">
        <v>10</v>
      </c>
    </row>
    <row r="445" spans="1:30" x14ac:dyDescent="0.2">
      <c r="B445" s="216" t="s">
        <v>10</v>
      </c>
      <c r="C445" s="215">
        <v>144</v>
      </c>
      <c r="D445" s="54">
        <f>VLOOKUP(C445,table_DI,2)</f>
        <v>4.33</v>
      </c>
      <c r="E445" s="54" t="s">
        <v>10</v>
      </c>
      <c r="F445" s="55">
        <f>VLOOKUP(C445,table_DI,5)</f>
        <v>0.38399538106235565</v>
      </c>
      <c r="G445" s="54">
        <f>VLOOKUP(C445,table_DI,3)</f>
        <v>1.3855999999999999</v>
      </c>
      <c r="H445" s="54" t="s">
        <v>10</v>
      </c>
      <c r="I445" s="54">
        <f>VLOOKUP(C445,table_DI,4)</f>
        <v>1.6627000000000001</v>
      </c>
      <c r="J445" s="54" t="s">
        <v>10</v>
      </c>
      <c r="K445" s="56">
        <f>VLOOKUP(C445,table_DI,9)</f>
        <v>3.8408644400786101E-3</v>
      </c>
      <c r="L445" s="53">
        <f>VLOOKUP(C445,table_DI,8)</f>
        <v>1018</v>
      </c>
      <c r="M445" s="55">
        <f>(0.84*(K445^0.5)*(cell_GUTDEP^0.6666)/cell_NRD)</f>
        <v>1.8248693211274187</v>
      </c>
      <c r="N445" s="53">
        <f>VLOOKUP(C445,table_DI,10)</f>
        <v>25</v>
      </c>
      <c r="O445" s="53">
        <f>(L445/(M445*60))</f>
        <v>9.2974693969782596</v>
      </c>
      <c r="P445" s="53">
        <f>N445+O445</f>
        <v>34.297469396978258</v>
      </c>
      <c r="Q445" s="55">
        <f>cell_P*(P445^cell_E)</f>
        <v>0.60565138230573834</v>
      </c>
      <c r="R445" s="54">
        <f>Q445*I445</f>
        <v>1.0070165533597513</v>
      </c>
      <c r="S445" s="53" t="s">
        <v>10</v>
      </c>
      <c r="T445" s="55" t="s">
        <v>10</v>
      </c>
      <c r="U445" s="56" t="s">
        <v>10</v>
      </c>
      <c r="V445" s="53" t="s">
        <v>10</v>
      </c>
      <c r="W445" s="53" t="s">
        <v>10</v>
      </c>
      <c r="X445" s="53" t="s">
        <v>10</v>
      </c>
      <c r="Y445" s="55" t="s">
        <v>10</v>
      </c>
      <c r="Z445" s="55" t="s">
        <v>10</v>
      </c>
      <c r="AA445" s="55" t="s">
        <v>10</v>
      </c>
      <c r="AB445" s="55" t="s">
        <v>10</v>
      </c>
      <c r="AC445" s="57" t="s">
        <v>10</v>
      </c>
      <c r="AD445" t="s">
        <v>10</v>
      </c>
    </row>
    <row r="446" spans="1:30" x14ac:dyDescent="0.2">
      <c r="B446" s="216" t="s">
        <v>10</v>
      </c>
      <c r="C446" s="215">
        <v>145</v>
      </c>
      <c r="D446" s="54">
        <f>VLOOKUP(C446,table_DI,2)</f>
        <v>4.03</v>
      </c>
      <c r="E446" s="54" t="s">
        <v>10</v>
      </c>
      <c r="F446" s="55">
        <f>VLOOKUP(C446,table_DI,5)</f>
        <v>0.38399503722084366</v>
      </c>
      <c r="G446" s="54">
        <f>VLOOKUP(C446,table_DI,3)</f>
        <v>1.2896000000000001</v>
      </c>
      <c r="H446" s="54" t="s">
        <v>10</v>
      </c>
      <c r="I446" s="54">
        <f>VLOOKUP(C446,table_DI,4)</f>
        <v>1.5475000000000001</v>
      </c>
      <c r="J446" s="54" t="s">
        <v>10</v>
      </c>
      <c r="K446" s="56">
        <f>VLOOKUP(C446,table_DI,9)</f>
        <v>2.383531960996799E-3</v>
      </c>
      <c r="L446" s="53">
        <f>VLOOKUP(C446,table_DI,8)</f>
        <v>923</v>
      </c>
      <c r="M446" s="55">
        <f>(0.84*(K446^0.5)*(cell_GUTDEP^0.6666)/cell_NRD)</f>
        <v>1.4375659258466873</v>
      </c>
      <c r="N446" s="53">
        <f>VLOOKUP(C446,table_DI,10)</f>
        <v>25</v>
      </c>
      <c r="O446" s="53">
        <f>(L446/(M446*60))</f>
        <v>10.700958513796833</v>
      </c>
      <c r="P446" s="53">
        <f>N446+O446</f>
        <v>35.700958513796834</v>
      </c>
      <c r="Q446" s="55">
        <f>cell_P*(P446^cell_E)</f>
        <v>0.59063025098742761</v>
      </c>
      <c r="R446" s="54">
        <f>Q446*I446</f>
        <v>0.91400031340304433</v>
      </c>
      <c r="S446" s="53" t="s">
        <v>10</v>
      </c>
      <c r="T446" s="55" t="s">
        <v>10</v>
      </c>
      <c r="U446" s="56" t="s">
        <v>10</v>
      </c>
      <c r="V446" s="53" t="s">
        <v>10</v>
      </c>
      <c r="W446" s="53" t="s">
        <v>10</v>
      </c>
      <c r="X446" s="53" t="s">
        <v>10</v>
      </c>
      <c r="Y446" s="55" t="s">
        <v>10</v>
      </c>
      <c r="Z446" s="55" t="s">
        <v>10</v>
      </c>
      <c r="AA446" s="55" t="s">
        <v>10</v>
      </c>
      <c r="AB446" s="55" t="s">
        <v>10</v>
      </c>
      <c r="AC446" s="57" t="s">
        <v>10</v>
      </c>
      <c r="AD446" t="s">
        <v>10</v>
      </c>
    </row>
    <row r="447" spans="1:30" x14ac:dyDescent="0.2">
      <c r="B447" s="216">
        <v>118</v>
      </c>
      <c r="C447" s="217" t="s">
        <v>10</v>
      </c>
      <c r="D447" s="54" t="s">
        <v>10</v>
      </c>
      <c r="E447" s="54">
        <f>VLOOKUP(143,table_CIA_INLETS,2,FALSE)+VLOOKUP(144,table_CIA_INLETS,2,FALSE)+VLOOKUP(145,table_CIA_INLETS,2,FALSE)</f>
        <v>12.64</v>
      </c>
      <c r="F447" s="55" t="s">
        <v>10</v>
      </c>
      <c r="G447" s="54" t="s">
        <v>10</v>
      </c>
      <c r="H447" s="54">
        <f>VLOOKUP(143,table_CIA_INLETS,5,FALSE)+VLOOKUP(144,table_CIA_INLETS,5,FALSE)+VLOOKUP(145,table_CIA_INLETS,5,FALSE)</f>
        <v>4.0448000000000004</v>
      </c>
      <c r="I447" s="54" t="s">
        <v>10</v>
      </c>
      <c r="J447" s="54">
        <f>VLOOKUP(143,table_CIA_INLETS,7,FALSE)+VLOOKUP(144,table_CIA_INLETS,7,FALSE)+VLOOKUP(145,table_CIA_INLETS,7,FALSE)</f>
        <v>4.8536999999999999</v>
      </c>
      <c r="K447" s="56" t="s">
        <v>10</v>
      </c>
      <c r="L447" s="53" t="s">
        <v>10</v>
      </c>
      <c r="M447" s="55" t="s">
        <v>10</v>
      </c>
      <c r="N447" s="53" t="s">
        <v>10</v>
      </c>
      <c r="O447" s="53" t="s">
        <v>10</v>
      </c>
      <c r="P447" s="53">
        <f>VLOOKUP(144,table_CIA_INLETS,14,FALSE)</f>
        <v>34.297469396978258</v>
      </c>
      <c r="Q447" s="55">
        <f>cell_P*(P447^cell_E)</f>
        <v>0.60565138230573834</v>
      </c>
      <c r="R447" s="54">
        <f>J447*Q447</f>
        <v>2.9396501142973621</v>
      </c>
      <c r="S447" s="53">
        <v>18</v>
      </c>
      <c r="T447" s="55">
        <f>(4*R447)/(3.14159*(S447/12)^2)</f>
        <v>1.6635030820825616</v>
      </c>
      <c r="U447" s="56">
        <f>((R447/((0.463135/cell_NP)*((S447/12)^(8/3))))^2)*cell_FF</f>
        <v>9.0075616438464994E-4</v>
      </c>
      <c r="V447" s="53">
        <v>188</v>
      </c>
      <c r="W447" s="53">
        <f>V447/(T447*60)</f>
        <v>1.8835753098880177</v>
      </c>
      <c r="X447" s="53">
        <f>W447+P447</f>
        <v>36.181044706866274</v>
      </c>
      <c r="Y447" s="55">
        <f>U447*V447</f>
        <v>0.1693421589043142</v>
      </c>
      <c r="Z447" s="55">
        <f>IF(VLOOKUP(119,table_CIA_JCTS,25,FALSE)+VLOOKUP(118,table_CIA_JCTS,24,FALSE)&lt;VLOOKUP(118,table_CIA_JCTS,28,FALSE),VLOOKUP(118,table_CIA_JCTS,28,FALSE),VLOOKUP(119,table_CIA_JCTS,25,FALSE)+VLOOKUP(118,table_CIA_JCTS,24,FALSE))</f>
        <v>387.60231248003254</v>
      </c>
      <c r="AA447" s="55">
        <v>393.65</v>
      </c>
      <c r="AB447" s="55">
        <f>(AA447-0.5)-Z447</f>
        <v>5.5476875199674396</v>
      </c>
      <c r="AC447" s="57">
        <v>385.08</v>
      </c>
      <c r="AD447" t="s">
        <v>444</v>
      </c>
    </row>
    <row r="448" spans="1:30" x14ac:dyDescent="0.2">
      <c r="B448" s="216">
        <v>119</v>
      </c>
      <c r="C448" s="217" t="s">
        <v>10</v>
      </c>
      <c r="D448" s="54" t="s">
        <v>10</v>
      </c>
      <c r="E448" s="54">
        <f>VLOOKUP(117,table_CIA_JCTS,4,FALSE)+VLOOKUP(118,table_CIA_JCTS,4,FALSE)</f>
        <v>274.13</v>
      </c>
      <c r="F448" s="55" t="s">
        <v>10</v>
      </c>
      <c r="G448" s="54" t="s">
        <v>10</v>
      </c>
      <c r="H448" s="54">
        <f>VLOOKUP(117,table_CIA_JCTS,7,FALSE)+VLOOKUP(118,table_CIA_JCTS,7,FALSE)</f>
        <v>125.80460000000001</v>
      </c>
      <c r="I448" s="54" t="s">
        <v>10</v>
      </c>
      <c r="J448" s="54">
        <f>VLOOKUP(117,table_CIA_JCTS,9,FALSE)+VLOOKUP(118,table_CIA_JCTS,9,FALSE)</f>
        <v>135.07669999999999</v>
      </c>
      <c r="K448" s="56" t="s">
        <v>10</v>
      </c>
      <c r="L448" s="53" t="s">
        <v>10</v>
      </c>
      <c r="M448" s="55" t="s">
        <v>10</v>
      </c>
      <c r="N448" s="53" t="s">
        <v>10</v>
      </c>
      <c r="O448" s="53" t="s">
        <v>10</v>
      </c>
      <c r="P448" s="53">
        <f>VLOOKUP(117,table_CIA_JCTS,23,FALSE)</f>
        <v>47.856220609353699</v>
      </c>
      <c r="Q448" s="55">
        <f>cell_P*(P448^cell_E)</f>
        <v>0.49161644376582808</v>
      </c>
      <c r="R448" s="54">
        <f>J448*Q448</f>
        <v>66.405926889623629</v>
      </c>
      <c r="S448" s="53">
        <v>48</v>
      </c>
      <c r="T448" s="55">
        <f>(4*R448)/(3.14159*(S448/12)^2)</f>
        <v>5.2844202211001141</v>
      </c>
      <c r="U448" s="56">
        <f>((R448/((0.463135/cell_NP)*((S448/12)^(8/3))))^2)*cell_FF</f>
        <v>2.4580822175757446E-3</v>
      </c>
      <c r="V448" s="53">
        <v>479</v>
      </c>
      <c r="W448" s="53">
        <f>V448/(T448*60)</f>
        <v>1.5107302219185283</v>
      </c>
      <c r="X448" s="53">
        <f>W448+P448</f>
        <v>49.366950831272227</v>
      </c>
      <c r="Y448" s="55">
        <f>U448*V448</f>
        <v>1.1774213822187818</v>
      </c>
      <c r="Z448" s="55">
        <f>IF(VLOOKUP(121,table_CIA_JCTS,25,FALSE)+VLOOKUP(119,table_CIA_JCTS,24,FALSE)&lt;VLOOKUP(119,table_CIA_JCTS,28,FALSE),VLOOKUP(119,table_CIA_JCTS,28,FALSE),VLOOKUP(121,table_CIA_JCTS,25,FALSE)+VLOOKUP(119,table_CIA_JCTS,24,FALSE))</f>
        <v>387.43297032112821</v>
      </c>
      <c r="AA448" s="55">
        <v>394.26</v>
      </c>
      <c r="AB448" s="55">
        <f>(AA448-0.5)-Z448</f>
        <v>6.3270296788717815</v>
      </c>
      <c r="AC448" s="57">
        <v>385.33</v>
      </c>
      <c r="AD448" t="s">
        <v>455</v>
      </c>
    </row>
    <row r="449" spans="2:30" x14ac:dyDescent="0.2">
      <c r="B449" s="216" t="s">
        <v>10</v>
      </c>
      <c r="C449" s="217" t="s">
        <v>10</v>
      </c>
      <c r="D449" s="54" t="s">
        <v>10</v>
      </c>
      <c r="E449" s="54" t="s">
        <v>10</v>
      </c>
      <c r="F449" s="55" t="s">
        <v>10</v>
      </c>
      <c r="G449" s="54" t="s">
        <v>10</v>
      </c>
      <c r="H449" s="54" t="s">
        <v>10</v>
      </c>
      <c r="I449" s="54" t="s">
        <v>10</v>
      </c>
      <c r="J449" s="54" t="s">
        <v>10</v>
      </c>
      <c r="K449" s="56" t="s">
        <v>10</v>
      </c>
      <c r="L449" s="53" t="s">
        <v>10</v>
      </c>
      <c r="M449" s="55" t="s">
        <v>10</v>
      </c>
      <c r="N449" s="53" t="s">
        <v>10</v>
      </c>
      <c r="O449" s="53" t="s">
        <v>10</v>
      </c>
      <c r="P449" s="53" t="s">
        <v>10</v>
      </c>
      <c r="Q449" s="55" t="s">
        <v>10</v>
      </c>
      <c r="R449" s="54" t="s">
        <v>10</v>
      </c>
      <c r="S449" s="53" t="s">
        <v>10</v>
      </c>
      <c r="T449" s="55" t="s">
        <v>10</v>
      </c>
      <c r="U449" s="56" t="s">
        <v>10</v>
      </c>
      <c r="V449" s="53" t="s">
        <v>10</v>
      </c>
      <c r="W449" s="53" t="s">
        <v>10</v>
      </c>
      <c r="X449" s="53" t="s">
        <v>10</v>
      </c>
      <c r="Y449" s="55" t="s">
        <v>10</v>
      </c>
      <c r="Z449" s="55" t="s">
        <v>10</v>
      </c>
      <c r="AA449" s="55" t="s">
        <v>10</v>
      </c>
      <c r="AB449" s="55" t="s">
        <v>10</v>
      </c>
      <c r="AC449" s="57" t="s">
        <v>10</v>
      </c>
      <c r="AD449" t="s">
        <v>10</v>
      </c>
    </row>
    <row r="450" spans="2:30" x14ac:dyDescent="0.2">
      <c r="B450" s="216" t="s">
        <v>10</v>
      </c>
      <c r="C450" s="215">
        <v>146</v>
      </c>
      <c r="D450" s="54">
        <f>VLOOKUP(C450,table_DI,2)</f>
        <v>9.0299999999999994</v>
      </c>
      <c r="E450" s="54" t="s">
        <v>10</v>
      </c>
      <c r="F450" s="55">
        <f>VLOOKUP(C450,table_DI,5)</f>
        <v>0.35000000000000003</v>
      </c>
      <c r="G450" s="54">
        <f>VLOOKUP(C450,table_DI,3)</f>
        <v>2.8896000000000002</v>
      </c>
      <c r="H450" s="54" t="s">
        <v>10</v>
      </c>
      <c r="I450" s="54">
        <f>VLOOKUP(C450,table_DI,4)</f>
        <v>3.1604999999999999</v>
      </c>
      <c r="J450" s="54" t="s">
        <v>10</v>
      </c>
      <c r="K450" s="56">
        <f>VLOOKUP(C450,table_DI,9)</f>
        <v>3.1485849056603959E-3</v>
      </c>
      <c r="L450" s="53">
        <f>VLOOKUP(C450,table_DI,8)</f>
        <v>1696</v>
      </c>
      <c r="M450" s="55">
        <f>(0.84*(K450^0.5)*(cell_GUTDEP^0.6666)/cell_NRD)</f>
        <v>1.6522470492614461</v>
      </c>
      <c r="N450" s="53">
        <f>VLOOKUP(C450,table_DI,10)</f>
        <v>25</v>
      </c>
      <c r="O450" s="53">
        <f>(L450/(M450*60))</f>
        <v>17.108014615188363</v>
      </c>
      <c r="P450" s="53">
        <f>N450+O450</f>
        <v>42.108014615188367</v>
      </c>
      <c r="Q450" s="55">
        <f>cell_P*(P450^cell_E)</f>
        <v>0.53263120875432701</v>
      </c>
      <c r="R450" s="54">
        <f>Q450*I450</f>
        <v>1.6833809352680504</v>
      </c>
      <c r="S450" s="53" t="s">
        <v>10</v>
      </c>
      <c r="T450" s="55" t="s">
        <v>10</v>
      </c>
      <c r="U450" s="56" t="s">
        <v>10</v>
      </c>
      <c r="V450" s="53" t="s">
        <v>10</v>
      </c>
      <c r="W450" s="53" t="s">
        <v>10</v>
      </c>
      <c r="X450" s="53" t="s">
        <v>10</v>
      </c>
      <c r="Y450" s="55" t="s">
        <v>10</v>
      </c>
      <c r="Z450" s="55" t="s">
        <v>10</v>
      </c>
      <c r="AA450" s="55" t="s">
        <v>10</v>
      </c>
      <c r="AB450" s="55" t="s">
        <v>10</v>
      </c>
      <c r="AC450" s="57" t="s">
        <v>10</v>
      </c>
      <c r="AD450" t="s">
        <v>10</v>
      </c>
    </row>
    <row r="451" spans="2:30" x14ac:dyDescent="0.2">
      <c r="B451" s="216">
        <v>120</v>
      </c>
      <c r="C451" s="217" t="s">
        <v>10</v>
      </c>
      <c r="D451" s="54" t="s">
        <v>10</v>
      </c>
      <c r="E451" s="54">
        <f>VLOOKUP(146,table_CIA_INLETS,2,FALSE)</f>
        <v>9.0299999999999994</v>
      </c>
      <c r="F451" s="55" t="s">
        <v>10</v>
      </c>
      <c r="G451" s="54" t="s">
        <v>10</v>
      </c>
      <c r="H451" s="54">
        <f>VLOOKUP(146,table_CIA_INLETS,5,FALSE)</f>
        <v>2.8896000000000002</v>
      </c>
      <c r="I451" s="54" t="s">
        <v>10</v>
      </c>
      <c r="J451" s="54">
        <f>VLOOKUP(146,table_CIA_INLETS,7,FALSE)</f>
        <v>3.1604999999999999</v>
      </c>
      <c r="K451" s="56" t="s">
        <v>10</v>
      </c>
      <c r="L451" s="53" t="s">
        <v>10</v>
      </c>
      <c r="M451" s="55" t="s">
        <v>10</v>
      </c>
      <c r="N451" s="53" t="s">
        <v>10</v>
      </c>
      <c r="O451" s="53" t="s">
        <v>10</v>
      </c>
      <c r="P451" s="53">
        <f>VLOOKUP(146,table_CIA_INLETS,14,FALSE)</f>
        <v>42.108014615188367</v>
      </c>
      <c r="Q451" s="55">
        <f>cell_P*(P451^cell_E)</f>
        <v>0.53263120875432701</v>
      </c>
      <c r="R451" s="54">
        <f>J451*Q451</f>
        <v>1.6833809352680504</v>
      </c>
      <c r="S451" s="53">
        <v>24</v>
      </c>
      <c r="T451" s="55">
        <f>(4*R451)/(3.14159*(S451/12)^2)</f>
        <v>0.53583724651149589</v>
      </c>
      <c r="U451" s="56">
        <f>((R451/((0.463135/cell_NP)*((S451/12)^(8/3))))^2)*cell_FF</f>
        <v>6.3685540363621996E-5</v>
      </c>
      <c r="V451" s="53">
        <v>178</v>
      </c>
      <c r="W451" s="53">
        <f>V451/(T451*60)</f>
        <v>5.536507000923871</v>
      </c>
      <c r="X451" s="53">
        <f>W451+P451</f>
        <v>47.644521616112236</v>
      </c>
      <c r="Y451" s="55">
        <f>U451*V451</f>
        <v>1.1336026184724715E-2</v>
      </c>
      <c r="Z451" s="55">
        <f>IF(VLOOKUP(121,table_CIA_JCTS,25,FALSE)+VLOOKUP(120,table_CIA_JCTS,24,FALSE)&lt;VLOOKUP(120,table_CIA_JCTS,28,FALSE),VLOOKUP(120,table_CIA_JCTS,28,FALSE),VLOOKUP(121,table_CIA_JCTS,25,FALSE)+VLOOKUP(120,table_CIA_JCTS,24,FALSE))</f>
        <v>387.13</v>
      </c>
      <c r="AA451" s="55">
        <v>392.15</v>
      </c>
      <c r="AB451" s="55">
        <f>(AA451-0.5)-Z451</f>
        <v>4.5199999999999818</v>
      </c>
      <c r="AC451" s="57">
        <v>387.13</v>
      </c>
      <c r="AD451" t="s">
        <v>456</v>
      </c>
    </row>
    <row r="452" spans="2:30" x14ac:dyDescent="0.2">
      <c r="B452" s="216" t="s">
        <v>10</v>
      </c>
      <c r="C452" s="215">
        <v>147</v>
      </c>
      <c r="D452" s="54">
        <f>VLOOKUP(C452,table_DI,2)</f>
        <v>6.25</v>
      </c>
      <c r="E452" s="54" t="s">
        <v>10</v>
      </c>
      <c r="F452" s="55">
        <f>VLOOKUP(C452,table_DI,5)</f>
        <v>0.9</v>
      </c>
      <c r="G452" s="54">
        <f>VLOOKUP(C452,table_DI,3)</f>
        <v>5.625</v>
      </c>
      <c r="H452" s="54" t="s">
        <v>10</v>
      </c>
      <c r="I452" s="54">
        <f>VLOOKUP(C452,table_DI,4)</f>
        <v>5.625</v>
      </c>
      <c r="J452" s="54" t="s">
        <v>10</v>
      </c>
      <c r="K452" s="56">
        <f>VLOOKUP(C452,table_DI,9)</f>
        <v>2.3460410557184781E-3</v>
      </c>
      <c r="L452" s="53">
        <f>VLOOKUP(C452,table_DI,8)</f>
        <v>3751</v>
      </c>
      <c r="M452" s="55">
        <f>(0.84*(K452^0.5)*(cell_GUTDEP^0.6666)/cell_NRD)</f>
        <v>1.4262152778994559</v>
      </c>
      <c r="N452" s="53">
        <f>VLOOKUP(C452,table_DI,10)</f>
        <v>5</v>
      </c>
      <c r="O452" s="53">
        <f>(L452/(M452*60))</f>
        <v>43.833962260411234</v>
      </c>
      <c r="P452" s="53">
        <f>N452+O452</f>
        <v>48.833962260411234</v>
      </c>
      <c r="Q452" s="55">
        <f>cell_P*(P452^cell_E)</f>
        <v>0.48542946299680345</v>
      </c>
      <c r="R452" s="54">
        <f>Q452*I452</f>
        <v>2.7305407293570196</v>
      </c>
      <c r="S452" s="53" t="s">
        <v>10</v>
      </c>
      <c r="T452" s="55" t="s">
        <v>10</v>
      </c>
      <c r="U452" s="56" t="s">
        <v>10</v>
      </c>
      <c r="V452" s="53" t="s">
        <v>10</v>
      </c>
      <c r="W452" s="53" t="s">
        <v>10</v>
      </c>
      <c r="X452" s="53" t="s">
        <v>10</v>
      </c>
      <c r="Y452" s="55" t="s">
        <v>10</v>
      </c>
      <c r="Z452" s="55" t="s">
        <v>10</v>
      </c>
      <c r="AA452" s="55" t="s">
        <v>10</v>
      </c>
      <c r="AB452" s="55" t="s">
        <v>10</v>
      </c>
      <c r="AC452" s="57" t="s">
        <v>10</v>
      </c>
      <c r="AD452" t="s">
        <v>10</v>
      </c>
    </row>
    <row r="453" spans="2:30" x14ac:dyDescent="0.2">
      <c r="B453" s="216">
        <v>121</v>
      </c>
      <c r="C453" s="217" t="s">
        <v>10</v>
      </c>
      <c r="D453" s="54" t="s">
        <v>10</v>
      </c>
      <c r="E453" s="54">
        <f>VLOOKUP(119,table_CIA_JCTS,4,FALSE)+VLOOKUP(120,table_CIA_JCTS,4,FALSE)+VLOOKUP(147,table_CIA_INLETS,2,FALSE)</f>
        <v>289.40999999999997</v>
      </c>
      <c r="F453" s="55" t="s">
        <v>10</v>
      </c>
      <c r="G453" s="54" t="s">
        <v>10</v>
      </c>
      <c r="H453" s="54">
        <f>VLOOKUP(119,table_CIA_JCTS,7,FALSE)+VLOOKUP(120,table_CIA_JCTS,7,FALSE)+VLOOKUP(147,table_CIA_INLETS,5,FALSE)</f>
        <v>134.3192</v>
      </c>
      <c r="I453" s="54" t="s">
        <v>10</v>
      </c>
      <c r="J453" s="54">
        <f>VLOOKUP(119,table_CIA_JCTS,9,FALSE)+VLOOKUP(120,table_CIA_JCTS,9,FALSE)+VLOOKUP(147,table_CIA_INLETS,7,FALSE)</f>
        <v>143.8622</v>
      </c>
      <c r="K453" s="56" t="s">
        <v>10</v>
      </c>
      <c r="L453" s="53" t="s">
        <v>10</v>
      </c>
      <c r="M453" s="55" t="s">
        <v>10</v>
      </c>
      <c r="N453" s="53" t="s">
        <v>10</v>
      </c>
      <c r="O453" s="53" t="s">
        <v>10</v>
      </c>
      <c r="P453" s="53">
        <f>VLOOKUP(119,table_CIA_JCTS,23,FALSE)</f>
        <v>49.366950831272227</v>
      </c>
      <c r="Q453" s="55">
        <f>cell_P*(P453^cell_E)</f>
        <v>0.48214094212834668</v>
      </c>
      <c r="R453" s="54">
        <f>J453*Q453</f>
        <v>69.36185664465664</v>
      </c>
      <c r="S453" s="53">
        <v>54</v>
      </c>
      <c r="T453" s="55">
        <f>(4*R453)/(3.14159*(S453/12)^2)</f>
        <v>4.3612016480076257</v>
      </c>
      <c r="U453" s="56">
        <f>((R453/((0.463135/cell_NP)*((S453/12)^(8/3))))^2)*cell_FF</f>
        <v>1.430904618071824E-3</v>
      </c>
      <c r="V453" s="53">
        <v>93</v>
      </c>
      <c r="W453" s="53">
        <f>V453/(T453*60)</f>
        <v>0.35540663447839038</v>
      </c>
      <c r="X453" s="53">
        <f>W453+P453</f>
        <v>49.722357465750619</v>
      </c>
      <c r="Y453" s="55">
        <f>U453*V453</f>
        <v>0.13307412948067962</v>
      </c>
      <c r="Z453" s="55">
        <f>IF(VLOOKUP(130,table_CIA_JCTS,25,FALSE)+VLOOKUP(121,table_CIA_JCTS,24,FALSE)&lt;VLOOKUP(121,table_CIA_JCTS,28,FALSE),VLOOKUP(121,table_CIA_JCTS,28,FALSE),VLOOKUP(130,table_CIA_JCTS,25,FALSE)+VLOOKUP(121,table_CIA_JCTS,24,FALSE))</f>
        <v>386.25554893890944</v>
      </c>
      <c r="AA453" s="55">
        <v>392.8</v>
      </c>
      <c r="AB453" s="55">
        <f>(AA453-0.5)-Z453</f>
        <v>6.0444510610905695</v>
      </c>
      <c r="AC453" s="57">
        <v>384.58</v>
      </c>
      <c r="AD453" t="s">
        <v>457</v>
      </c>
    </row>
    <row r="454" spans="2:30" x14ac:dyDescent="0.2">
      <c r="B454" s="216" t="s">
        <v>10</v>
      </c>
      <c r="C454" s="217" t="s">
        <v>10</v>
      </c>
      <c r="D454" s="54" t="s">
        <v>10</v>
      </c>
      <c r="E454" s="54" t="s">
        <v>10</v>
      </c>
      <c r="F454" s="55" t="s">
        <v>10</v>
      </c>
      <c r="G454" s="54" t="s">
        <v>10</v>
      </c>
      <c r="H454" s="54" t="s">
        <v>10</v>
      </c>
      <c r="I454" s="54" t="s">
        <v>10</v>
      </c>
      <c r="J454" s="54" t="s">
        <v>10</v>
      </c>
      <c r="K454" s="56" t="s">
        <v>10</v>
      </c>
      <c r="L454" s="53" t="s">
        <v>10</v>
      </c>
      <c r="M454" s="55" t="s">
        <v>10</v>
      </c>
      <c r="N454" s="53" t="s">
        <v>10</v>
      </c>
      <c r="O454" s="53" t="s">
        <v>10</v>
      </c>
      <c r="P454" s="53" t="s">
        <v>10</v>
      </c>
      <c r="Q454" s="55" t="s">
        <v>10</v>
      </c>
      <c r="R454" s="54" t="s">
        <v>10</v>
      </c>
      <c r="S454" s="53" t="s">
        <v>10</v>
      </c>
      <c r="T454" s="55" t="s">
        <v>10</v>
      </c>
      <c r="U454" s="56" t="s">
        <v>10</v>
      </c>
      <c r="V454" s="53" t="s">
        <v>10</v>
      </c>
      <c r="W454" s="53" t="s">
        <v>10</v>
      </c>
      <c r="X454" s="53" t="s">
        <v>10</v>
      </c>
      <c r="Y454" s="55" t="s">
        <v>10</v>
      </c>
      <c r="Z454" s="55" t="s">
        <v>10</v>
      </c>
      <c r="AA454" s="55" t="s">
        <v>10</v>
      </c>
      <c r="AB454" s="55" t="s">
        <v>10</v>
      </c>
      <c r="AC454" s="57" t="s">
        <v>10</v>
      </c>
      <c r="AD454" t="s">
        <v>10</v>
      </c>
    </row>
    <row r="455" spans="2:30" x14ac:dyDescent="0.2">
      <c r="B455" s="216" t="s">
        <v>10</v>
      </c>
      <c r="C455" s="596">
        <v>148</v>
      </c>
      <c r="D455" s="54">
        <f>VLOOKUP(C455,table_DI,2)</f>
        <v>0</v>
      </c>
      <c r="E455" s="54" t="s">
        <v>10</v>
      </c>
      <c r="F455" s="55" t="e">
        <f>VLOOKUP(C455,table_DI,5)</f>
        <v>#DIV/0!</v>
      </c>
      <c r="G455" s="54">
        <f>VLOOKUP(C455,table_DI,3)</f>
        <v>0</v>
      </c>
      <c r="H455" s="54" t="s">
        <v>10</v>
      </c>
      <c r="I455" s="54">
        <f>VLOOKUP(C455,table_DI,4)</f>
        <v>0</v>
      </c>
      <c r="J455" s="54" t="s">
        <v>10</v>
      </c>
      <c r="K455" s="56">
        <f>VLOOKUP(C455,table_DI,9)</f>
        <v>4.146572104018904E-3</v>
      </c>
      <c r="L455" s="53">
        <f>VLOOKUP(C455,table_DI,8)</f>
        <v>2115</v>
      </c>
      <c r="M455" s="55">
        <f>(0.84*(K455^0.5)*(cell_GUTDEP^0.6666)/cell_NRD)</f>
        <v>1.8961028509012057</v>
      </c>
      <c r="N455" s="53">
        <f>VLOOKUP(C455,table_DI,10)</f>
        <v>15</v>
      </c>
      <c r="O455" s="53">
        <f>(L455/(M455*60))</f>
        <v>18.590763672574987</v>
      </c>
      <c r="P455" s="53">
        <f>N455+O455</f>
        <v>33.590763672574987</v>
      </c>
      <c r="Q455" s="55">
        <f t="shared" ref="Q455:Q461" si="30">cell_P*(P455^cell_E)</f>
        <v>0.61359941696545139</v>
      </c>
      <c r="R455" s="54">
        <f>Q455*I455</f>
        <v>0</v>
      </c>
      <c r="S455" s="53" t="s">
        <v>10</v>
      </c>
      <c r="T455" s="55" t="s">
        <v>10</v>
      </c>
      <c r="U455" s="56" t="s">
        <v>10</v>
      </c>
      <c r="V455" s="53" t="s">
        <v>10</v>
      </c>
      <c r="W455" s="53" t="s">
        <v>10</v>
      </c>
      <c r="X455" s="53" t="s">
        <v>10</v>
      </c>
      <c r="Y455" s="55" t="s">
        <v>10</v>
      </c>
      <c r="Z455" s="55" t="s">
        <v>10</v>
      </c>
      <c r="AA455" s="55" t="s">
        <v>10</v>
      </c>
      <c r="AB455" s="55" t="s">
        <v>10</v>
      </c>
      <c r="AC455" s="57" t="s">
        <v>10</v>
      </c>
      <c r="AD455" t="s">
        <v>10</v>
      </c>
    </row>
    <row r="456" spans="2:30" x14ac:dyDescent="0.2">
      <c r="B456" s="216" t="s">
        <v>10</v>
      </c>
      <c r="C456" s="596">
        <v>149</v>
      </c>
      <c r="D456" s="54">
        <f>VLOOKUP(C456,table_DI,2)</f>
        <v>32.380000000000003</v>
      </c>
      <c r="E456" s="54" t="s">
        <v>10</v>
      </c>
      <c r="F456" s="55"/>
      <c r="G456" s="54">
        <f>VLOOKUP(C456,table_DI,3)</f>
        <v>10.36</v>
      </c>
      <c r="H456" s="54" t="s">
        <v>10</v>
      </c>
      <c r="I456" s="54">
        <f>VLOOKUP(C456,table_DI,4)</f>
        <v>12.43</v>
      </c>
      <c r="J456" s="54" t="s">
        <v>10</v>
      </c>
      <c r="K456" s="56">
        <f>VLOOKUP(C456,table_DI,9)</f>
        <v>2.8E-3</v>
      </c>
      <c r="L456" s="53">
        <f>VLOOKUP(C456,table_DI,8)</f>
        <v>1316</v>
      </c>
      <c r="M456" s="55">
        <f>(0.84*(K456^0.5)*(cell_GUTDEP^0.6666)/cell_NRD)</f>
        <v>1.5581034746041882</v>
      </c>
      <c r="N456" s="53">
        <f>VLOOKUP(C456,table_DI,10)</f>
        <v>25</v>
      </c>
      <c r="O456" s="53">
        <f>(L456/(M456*60))</f>
        <v>14.076942700423125</v>
      </c>
      <c r="P456" s="53">
        <f>N456+O456</f>
        <v>39.076942700423125</v>
      </c>
      <c r="Q456" s="55">
        <f t="shared" si="30"/>
        <v>0.55814001480206277</v>
      </c>
      <c r="R456" s="54">
        <f>Q456*I456</f>
        <v>6.9376803839896404</v>
      </c>
      <c r="S456" s="53" t="s">
        <v>10</v>
      </c>
      <c r="T456" s="55" t="s">
        <v>10</v>
      </c>
      <c r="U456" s="56" t="s">
        <v>10</v>
      </c>
      <c r="V456" s="53" t="s">
        <v>10</v>
      </c>
      <c r="W456" s="53" t="s">
        <v>10</v>
      </c>
      <c r="X456" s="53" t="s">
        <v>10</v>
      </c>
      <c r="Y456" s="55" t="s">
        <v>10</v>
      </c>
      <c r="Z456" s="55" t="s">
        <v>10</v>
      </c>
      <c r="AA456" s="55" t="s">
        <v>10</v>
      </c>
      <c r="AB456" s="55" t="s">
        <v>10</v>
      </c>
      <c r="AC456" s="57" t="s">
        <v>10</v>
      </c>
      <c r="AD456" t="s">
        <v>10</v>
      </c>
    </row>
    <row r="457" spans="2:30" ht="15.75" x14ac:dyDescent="0.25">
      <c r="B457" s="216">
        <v>122</v>
      </c>
      <c r="C457" s="217" t="s">
        <v>10</v>
      </c>
      <c r="D457" s="54" t="s">
        <v>10</v>
      </c>
      <c r="E457" s="54">
        <f>VLOOKUP(148,table_CIA_INLETS,2,FALSE)+VLOOKUP(149,table_CIA_INLETS,2,FALSE)</f>
        <v>32.380000000000003</v>
      </c>
      <c r="F457" s="55" t="s">
        <v>10</v>
      </c>
      <c r="G457" s="54" t="s">
        <v>10</v>
      </c>
      <c r="H457" s="54">
        <f>VLOOKUP(148,table_CIA_INLETS,5,FALSE)+VLOOKUP(149,table_CIA_INLETS,5,FALSE)</f>
        <v>10.36</v>
      </c>
      <c r="I457" s="54" t="s">
        <v>10</v>
      </c>
      <c r="J457" s="54">
        <f>VLOOKUP(148,table_CIA_INLETS,7,FALSE)+VLOOKUP(149,table_CIA_INLETS,7,FALSE)</f>
        <v>12.43</v>
      </c>
      <c r="K457" s="56" t="s">
        <v>10</v>
      </c>
      <c r="L457" s="53" t="s">
        <v>10</v>
      </c>
      <c r="M457" s="55" t="s">
        <v>10</v>
      </c>
      <c r="N457" s="53" t="s">
        <v>10</v>
      </c>
      <c r="O457" s="53" t="s">
        <v>10</v>
      </c>
      <c r="P457" s="53">
        <f>VLOOKUP(149,table_CIA_INLETS,14,FALSE)</f>
        <v>39.076942700423125</v>
      </c>
      <c r="Q457" s="55">
        <f t="shared" si="30"/>
        <v>0.55814001480206277</v>
      </c>
      <c r="R457" s="54">
        <f>J457*Q457</f>
        <v>6.9376803839896404</v>
      </c>
      <c r="S457" s="53">
        <v>24</v>
      </c>
      <c r="T457" s="55">
        <f>(4*R457)/(3.14159*(S457/12)^2)</f>
        <v>2.2083341187072918</v>
      </c>
      <c r="U457" s="56">
        <f>((R457/((0.463135/cell_NP)*((S457/12)^(8/3))))^2)*cell_FF</f>
        <v>1.0816944608240317E-3</v>
      </c>
      <c r="V457" s="592">
        <v>26</v>
      </c>
      <c r="W457" s="53">
        <f>V457/(T457*60)</f>
        <v>0.19622634530819855</v>
      </c>
      <c r="X457" s="53">
        <f>W457+P457</f>
        <v>39.273169045731322</v>
      </c>
      <c r="Y457" s="55">
        <f>U457*V457</f>
        <v>2.8124055981424825E-2</v>
      </c>
      <c r="Z457" s="55">
        <f>IF(VLOOKUP(123,table_CIA_JCTS,25,FALSE)+VLOOKUP(122,table_CIA_JCTS,24,FALSE)&lt;VLOOKUP(122,table_CIA_JCTS,28,FALSE),VLOOKUP(122,table_CIA_JCTS,28,FALSE),VLOOKUP(123,table_CIA_JCTS,25,FALSE)+VLOOKUP(122,table_CIA_JCTS,24,FALSE))</f>
        <v>397.95</v>
      </c>
      <c r="AA457" s="595">
        <v>402.03</v>
      </c>
      <c r="AB457" s="55">
        <f>(AA457-0.5)-Z457</f>
        <v>3.5799999999999841</v>
      </c>
      <c r="AC457" s="597">
        <v>397.95</v>
      </c>
      <c r="AD457" t="s">
        <v>449</v>
      </c>
    </row>
    <row r="458" spans="2:30" x14ac:dyDescent="0.2">
      <c r="B458" s="216" t="s">
        <v>10</v>
      </c>
      <c r="C458" s="215">
        <v>150</v>
      </c>
      <c r="D458" s="54">
        <f>VLOOKUP(C458,table_DI,2)</f>
        <v>1.99</v>
      </c>
      <c r="E458" s="54" t="s">
        <v>10</v>
      </c>
      <c r="F458" s="55">
        <f>VLOOKUP(C458,table_DI,5)</f>
        <v>0.89949748743718594</v>
      </c>
      <c r="G458" s="54">
        <f>VLOOKUP(C458,table_DI,3)</f>
        <v>1.79</v>
      </c>
      <c r="H458" s="54" t="s">
        <v>10</v>
      </c>
      <c r="I458" s="54">
        <f>VLOOKUP(C458,table_DI,4)</f>
        <v>1.79</v>
      </c>
      <c r="J458" s="54" t="s">
        <v>10</v>
      </c>
      <c r="K458" s="56">
        <f>VLOOKUP(C458,table_DI,9)</f>
        <v>5.0439648281374915E-3</v>
      </c>
      <c r="L458" s="53">
        <f>VLOOKUP(C458,table_DI,8)</f>
        <v>1251</v>
      </c>
      <c r="M458" s="55">
        <f>(0.84*(K458^0.5)*(cell_GUTDEP^0.6666)/cell_NRD)</f>
        <v>2.091237245274729</v>
      </c>
      <c r="N458" s="53">
        <f>VLOOKUP(C458,table_DI,10)</f>
        <v>5</v>
      </c>
      <c r="O458" s="53">
        <f>(L458/(M458*60))</f>
        <v>9.9701743774465452</v>
      </c>
      <c r="P458" s="53">
        <f>N458+O458</f>
        <v>14.970174377446545</v>
      </c>
      <c r="Q458" s="55">
        <f t="shared" si="30"/>
        <v>1.0178335600126105</v>
      </c>
      <c r="R458" s="54">
        <f>Q458*I458</f>
        <v>1.8219220724225729</v>
      </c>
      <c r="S458" s="53" t="s">
        <v>10</v>
      </c>
      <c r="T458" s="55" t="s">
        <v>10</v>
      </c>
      <c r="U458" s="56" t="s">
        <v>10</v>
      </c>
      <c r="V458" s="53" t="s">
        <v>10</v>
      </c>
      <c r="W458" s="53" t="s">
        <v>10</v>
      </c>
      <c r="X458" s="53" t="s">
        <v>10</v>
      </c>
      <c r="Y458" s="55" t="s">
        <v>10</v>
      </c>
      <c r="Z458" s="55" t="s">
        <v>10</v>
      </c>
      <c r="AA458" s="55" t="s">
        <v>10</v>
      </c>
      <c r="AB458" s="55" t="s">
        <v>10</v>
      </c>
      <c r="AC458" s="57" t="s">
        <v>10</v>
      </c>
      <c r="AD458" t="s">
        <v>10</v>
      </c>
    </row>
    <row r="459" spans="2:30" ht="15.75" x14ac:dyDescent="0.25">
      <c r="B459" s="216">
        <v>123</v>
      </c>
      <c r="C459" s="217" t="s">
        <v>10</v>
      </c>
      <c r="D459" s="54" t="s">
        <v>10</v>
      </c>
      <c r="E459" s="54">
        <f>VLOOKUP(122,table_CIA_JCTS,4,FALSE)+VLOOKUP(150,table_CIA_INLETS,2,FALSE)</f>
        <v>34.370000000000005</v>
      </c>
      <c r="F459" s="55" t="s">
        <v>10</v>
      </c>
      <c r="G459" s="54" t="s">
        <v>10</v>
      </c>
      <c r="H459" s="54">
        <f>VLOOKUP(122,table_CIA_JCTS,7,FALSE)+VLOOKUP(150,table_CIA_INLETS,5,FALSE)</f>
        <v>12.149999999999999</v>
      </c>
      <c r="I459" s="54" t="s">
        <v>10</v>
      </c>
      <c r="J459" s="54">
        <f>VLOOKUP(122,table_CIA_JCTS,9,FALSE)+VLOOKUP(150,table_CIA_INLETS,7,FALSE)</f>
        <v>14.219999999999999</v>
      </c>
      <c r="K459" s="56" t="s">
        <v>10</v>
      </c>
      <c r="L459" s="53" t="s">
        <v>10</v>
      </c>
      <c r="M459" s="55" t="s">
        <v>10</v>
      </c>
      <c r="N459" s="53" t="s">
        <v>10</v>
      </c>
      <c r="O459" s="53" t="s">
        <v>10</v>
      </c>
      <c r="P459" s="53">
        <f>VLOOKUP(122,table_CIA_JCTS,23,FALSE)</f>
        <v>39.273169045731322</v>
      </c>
      <c r="Q459" s="55">
        <f t="shared" si="30"/>
        <v>0.55639208538440887</v>
      </c>
      <c r="R459" s="54">
        <f>J459*Q459</f>
        <v>7.9118954541662934</v>
      </c>
      <c r="S459" s="53">
        <v>24</v>
      </c>
      <c r="T459" s="55">
        <f>(4*R459)/(3.14159*(S459/12)^2)</f>
        <v>2.5184366687461743</v>
      </c>
      <c r="U459" s="56">
        <f>((R459/((0.463135/cell_NP)*((S459/12)^(8/3))))^2)*cell_FF</f>
        <v>1.4068153855039433E-3</v>
      </c>
      <c r="V459" s="592">
        <v>394</v>
      </c>
      <c r="W459" s="53">
        <f>V459/(T459*60)</f>
        <v>2.6074376807481681</v>
      </c>
      <c r="X459" s="53">
        <f>W459+P459</f>
        <v>41.880606726479492</v>
      </c>
      <c r="Y459" s="55">
        <f>U459*V459</f>
        <v>0.55428526188855365</v>
      </c>
      <c r="Z459" s="55">
        <f>IF(VLOOKUP(124,table_CIA_JCTS,25,FALSE)+VLOOKUP(123,table_CIA_JCTS,24,FALSE)&lt;VLOOKUP(123,table_CIA_JCTS,28,FALSE),VLOOKUP(123,table_CIA_JCTS,28,FALSE),VLOOKUP(124,table_CIA_JCTS,25,FALSE)+VLOOKUP(123,table_CIA_JCTS,24,FALSE))</f>
        <v>395.85</v>
      </c>
      <c r="AA459" s="595">
        <v>401.51</v>
      </c>
      <c r="AB459" s="55">
        <f>(AA459-0.5)-Z459</f>
        <v>5.1599999999999682</v>
      </c>
      <c r="AC459" s="597">
        <v>395.85</v>
      </c>
      <c r="AD459" t="s">
        <v>449</v>
      </c>
    </row>
    <row r="460" spans="2:30" x14ac:dyDescent="0.2">
      <c r="B460" s="216" t="s">
        <v>10</v>
      </c>
      <c r="C460" s="215">
        <v>151</v>
      </c>
      <c r="D460" s="54">
        <f>VLOOKUP(C460,table_DI,2)</f>
        <v>4.08</v>
      </c>
      <c r="E460" s="54" t="s">
        <v>10</v>
      </c>
      <c r="F460" s="55">
        <f>VLOOKUP(C460,table_DI,5)</f>
        <v>0.35200980392156861</v>
      </c>
      <c r="G460" s="54">
        <f>VLOOKUP(C460,table_DI,3)</f>
        <v>1.3056000000000001</v>
      </c>
      <c r="H460" s="54" t="s">
        <v>10</v>
      </c>
      <c r="I460" s="54">
        <f>VLOOKUP(C460,table_DI,4)</f>
        <v>1.4361999999999999</v>
      </c>
      <c r="J460" s="54" t="s">
        <v>10</v>
      </c>
      <c r="K460" s="56">
        <f>VLOOKUP(C460,table_DI,9)</f>
        <v>1.7274472168905513E-3</v>
      </c>
      <c r="L460" s="53">
        <f>VLOOKUP(C460,table_DI,8)</f>
        <v>521</v>
      </c>
      <c r="M460" s="55">
        <f>(0.84*(K460^0.5)*(cell_GUTDEP^0.6666)/cell_NRD)</f>
        <v>1.2238259942943466</v>
      </c>
      <c r="N460" s="53">
        <f>VLOOKUP(C460,table_DI,10)</f>
        <v>25</v>
      </c>
      <c r="O460" s="53">
        <f>(L460/(M460*60))</f>
        <v>7.0952352489784394</v>
      </c>
      <c r="P460" s="53">
        <f>N460+O460</f>
        <v>32.09523524897844</v>
      </c>
      <c r="Q460" s="55">
        <f t="shared" si="30"/>
        <v>0.63135081411411842</v>
      </c>
      <c r="R460" s="54">
        <f>Q460*I460</f>
        <v>0.90674603923069685</v>
      </c>
      <c r="S460" s="53" t="s">
        <v>10</v>
      </c>
      <c r="T460" s="55" t="s">
        <v>10</v>
      </c>
      <c r="U460" s="56" t="s">
        <v>10</v>
      </c>
      <c r="V460" s="53" t="s">
        <v>10</v>
      </c>
      <c r="W460" s="53" t="s">
        <v>10</v>
      </c>
      <c r="X460" s="53" t="s">
        <v>10</v>
      </c>
      <c r="Y460" s="55" t="s">
        <v>10</v>
      </c>
      <c r="Z460" s="55" t="s">
        <v>10</v>
      </c>
      <c r="AA460" s="55" t="s">
        <v>10</v>
      </c>
      <c r="AB460" s="55" t="s">
        <v>10</v>
      </c>
      <c r="AC460" s="57" t="s">
        <v>10</v>
      </c>
      <c r="AD460" t="s">
        <v>10</v>
      </c>
    </row>
    <row r="461" spans="2:30" x14ac:dyDescent="0.2">
      <c r="B461" s="216">
        <v>124</v>
      </c>
      <c r="C461" s="217" t="s">
        <v>10</v>
      </c>
      <c r="D461" s="54" t="s">
        <v>10</v>
      </c>
      <c r="E461" s="54">
        <f>VLOOKUP(123,table_CIA_JCTS,4,FALSE)+VLOOKUP(151,table_CIA_INLETS,2,FALSE)</f>
        <v>38.450000000000003</v>
      </c>
      <c r="F461" s="55" t="s">
        <v>10</v>
      </c>
      <c r="G461" s="54" t="s">
        <v>10</v>
      </c>
      <c r="H461" s="54">
        <f>VLOOKUP(123,table_CIA_JCTS,7,FALSE)+VLOOKUP(151,table_CIA_INLETS,5,FALSE)</f>
        <v>13.455599999999999</v>
      </c>
      <c r="I461" s="54" t="s">
        <v>10</v>
      </c>
      <c r="J461" s="54">
        <f>VLOOKUP(123,table_CIA_JCTS,9,FALSE)+VLOOKUP(151,table_CIA_INLETS,7,FALSE)</f>
        <v>15.656199999999998</v>
      </c>
      <c r="K461" s="56" t="s">
        <v>10</v>
      </c>
      <c r="L461" s="53" t="s">
        <v>10</v>
      </c>
      <c r="M461" s="55" t="s">
        <v>10</v>
      </c>
      <c r="N461" s="53" t="s">
        <v>10</v>
      </c>
      <c r="O461" s="53" t="s">
        <v>10</v>
      </c>
      <c r="P461" s="53">
        <f>VLOOKUP(123,table_CIA_JCTS,23,FALSE)</f>
        <v>41.880606726479492</v>
      </c>
      <c r="Q461" s="55">
        <f t="shared" si="30"/>
        <v>0.53444043283854037</v>
      </c>
      <c r="R461" s="54">
        <f>J461*Q461</f>
        <v>8.3673063046067551</v>
      </c>
      <c r="S461" s="53">
        <v>24</v>
      </c>
      <c r="T461" s="55">
        <f>(4*R461)/(3.14159*(S461/12)^2)</f>
        <v>2.6633985671608182</v>
      </c>
      <c r="U461" s="56">
        <f>((R461/((0.463135/cell_NP)*((S461/12)^(8/3))))^2)*cell_FF</f>
        <v>1.5734297760203189E-3</v>
      </c>
      <c r="V461" s="53">
        <v>662</v>
      </c>
      <c r="W461" s="53">
        <f>V461/(T461*60)</f>
        <v>4.1425768825485489</v>
      </c>
      <c r="X461" s="53">
        <f>W461+P461</f>
        <v>46.023183609028038</v>
      </c>
      <c r="Y461" s="55">
        <f>U461*V461</f>
        <v>1.041610511725451</v>
      </c>
      <c r="Z461" s="55">
        <f>IF(VLOOKUP(127,table_CIA_JCTS,25,FALSE)+VLOOKUP(124,table_CIA_JCTS,24,FALSE)&lt;VLOOKUP(124,table_CIA_JCTS,28,FALSE),VLOOKUP(124,table_CIA_JCTS,28,FALSE),VLOOKUP(127,table_CIA_JCTS,25,FALSE)+VLOOKUP(124,table_CIA_JCTS,24,FALSE))</f>
        <v>392.79</v>
      </c>
      <c r="AA461" s="55">
        <v>400.44</v>
      </c>
      <c r="AB461" s="55">
        <f>(AA461-0.5)-Z461</f>
        <v>7.1499999999999773</v>
      </c>
      <c r="AC461" s="57">
        <v>392.79</v>
      </c>
      <c r="AD461" t="s">
        <v>449</v>
      </c>
    </row>
    <row r="462" spans="2:30" x14ac:dyDescent="0.2">
      <c r="B462" s="216" t="s">
        <v>10</v>
      </c>
      <c r="C462" s="217" t="s">
        <v>10</v>
      </c>
      <c r="D462" s="54" t="s">
        <v>10</v>
      </c>
      <c r="E462" s="54" t="s">
        <v>10</v>
      </c>
      <c r="F462" s="55" t="s">
        <v>10</v>
      </c>
      <c r="G462" s="54" t="s">
        <v>10</v>
      </c>
      <c r="H462" s="54" t="s">
        <v>10</v>
      </c>
      <c r="I462" s="54" t="s">
        <v>10</v>
      </c>
      <c r="J462" s="54" t="s">
        <v>10</v>
      </c>
      <c r="K462" s="56" t="s">
        <v>10</v>
      </c>
      <c r="L462" s="53" t="s">
        <v>10</v>
      </c>
      <c r="M462" s="55" t="s">
        <v>10</v>
      </c>
      <c r="N462" s="53" t="s">
        <v>10</v>
      </c>
      <c r="O462" s="53" t="s">
        <v>10</v>
      </c>
      <c r="P462" s="53" t="s">
        <v>10</v>
      </c>
      <c r="Q462" s="55" t="s">
        <v>10</v>
      </c>
      <c r="R462" s="54" t="s">
        <v>10</v>
      </c>
      <c r="S462" s="53" t="s">
        <v>10</v>
      </c>
      <c r="T462" s="55" t="s">
        <v>10</v>
      </c>
      <c r="U462" s="56" t="s">
        <v>10</v>
      </c>
      <c r="V462" s="53" t="s">
        <v>10</v>
      </c>
      <c r="W462" s="53" t="s">
        <v>10</v>
      </c>
      <c r="X462" s="53" t="s">
        <v>10</v>
      </c>
      <c r="Y462" s="55" t="s">
        <v>10</v>
      </c>
      <c r="Z462" s="55" t="s">
        <v>10</v>
      </c>
      <c r="AA462" s="55" t="s">
        <v>10</v>
      </c>
      <c r="AB462" s="55" t="s">
        <v>10</v>
      </c>
      <c r="AC462" s="57" t="s">
        <v>10</v>
      </c>
      <c r="AD462" t="s">
        <v>10</v>
      </c>
    </row>
    <row r="463" spans="2:30" x14ac:dyDescent="0.2">
      <c r="B463" s="216" t="s">
        <v>10</v>
      </c>
      <c r="C463" s="215">
        <v>152</v>
      </c>
      <c r="D463" s="54">
        <f>VLOOKUP(C463,table_DI,2)</f>
        <v>9.94</v>
      </c>
      <c r="E463" s="54" t="s">
        <v>10</v>
      </c>
      <c r="F463" s="55">
        <f>VLOOKUP(C463,table_DI,5)</f>
        <v>0.35000000000000003</v>
      </c>
      <c r="G463" s="54">
        <f>VLOOKUP(C463,table_DI,3)</f>
        <v>3.1808000000000001</v>
      </c>
      <c r="H463" s="54" t="s">
        <v>10</v>
      </c>
      <c r="I463" s="54">
        <f>VLOOKUP(C463,table_DI,4)</f>
        <v>3.4790000000000001</v>
      </c>
      <c r="J463" s="54" t="s">
        <v>10</v>
      </c>
      <c r="K463" s="56">
        <f>VLOOKUP(C463,table_DI,9)</f>
        <v>2.6802096985583434E-3</v>
      </c>
      <c r="L463" s="53">
        <f>VLOOKUP(C463,table_DI,8)</f>
        <v>1526</v>
      </c>
      <c r="M463" s="55">
        <f>(0.84*(K463^0.5)*(cell_GUTDEP^0.6666)/cell_NRD)</f>
        <v>1.5244095736480396</v>
      </c>
      <c r="N463" s="53">
        <f>VLOOKUP(C463,table_DI,10)</f>
        <v>25</v>
      </c>
      <c r="O463" s="53">
        <f>(L463/(M463*60))</f>
        <v>16.684055107623891</v>
      </c>
      <c r="P463" s="53">
        <f>N463+O463</f>
        <v>41.684055107623891</v>
      </c>
      <c r="Q463" s="55">
        <f t="shared" ref="Q463:Q476" si="31">cell_P*(P463^cell_E)</f>
        <v>0.53601708885850696</v>
      </c>
      <c r="R463" s="54">
        <f>Q463*I463</f>
        <v>1.8648034521387458</v>
      </c>
      <c r="S463" s="53" t="s">
        <v>10</v>
      </c>
      <c r="T463" s="55" t="s">
        <v>10</v>
      </c>
      <c r="U463" s="56" t="s">
        <v>10</v>
      </c>
      <c r="V463" s="53" t="s">
        <v>10</v>
      </c>
      <c r="W463" s="53" t="s">
        <v>10</v>
      </c>
      <c r="X463" s="53" t="s">
        <v>10</v>
      </c>
      <c r="Y463" s="55" t="s">
        <v>10</v>
      </c>
      <c r="Z463" s="55" t="s">
        <v>10</v>
      </c>
      <c r="AA463" s="55" t="s">
        <v>10</v>
      </c>
      <c r="AB463" s="55" t="s">
        <v>10</v>
      </c>
      <c r="AC463" s="57" t="s">
        <v>10</v>
      </c>
      <c r="AD463" t="s">
        <v>10</v>
      </c>
    </row>
    <row r="464" spans="2:30" x14ac:dyDescent="0.2">
      <c r="B464" s="216">
        <v>125</v>
      </c>
      <c r="C464" s="217" t="s">
        <v>10</v>
      </c>
      <c r="D464" s="54" t="s">
        <v>10</v>
      </c>
      <c r="E464" s="54">
        <f>VLOOKUP(152,table_CIA_INLETS,2,FALSE)</f>
        <v>9.94</v>
      </c>
      <c r="F464" s="55" t="s">
        <v>10</v>
      </c>
      <c r="G464" s="54" t="s">
        <v>10</v>
      </c>
      <c r="H464" s="54">
        <f>VLOOKUP(152,table_CIA_INLETS,5,FALSE)</f>
        <v>3.1808000000000001</v>
      </c>
      <c r="I464" s="54" t="s">
        <v>10</v>
      </c>
      <c r="J464" s="54">
        <f>VLOOKUP(152,table_CIA_INLETS,7,FALSE)</f>
        <v>3.4790000000000001</v>
      </c>
      <c r="K464" s="56" t="s">
        <v>10</v>
      </c>
      <c r="L464" s="53" t="s">
        <v>10</v>
      </c>
      <c r="M464" s="55" t="s">
        <v>10</v>
      </c>
      <c r="N464" s="53" t="s">
        <v>10</v>
      </c>
      <c r="O464" s="53" t="s">
        <v>10</v>
      </c>
      <c r="P464" s="53">
        <f>VLOOKUP(152,table_CIA_INLETS,14,FALSE)</f>
        <v>41.684055107623891</v>
      </c>
      <c r="Q464" s="55">
        <f t="shared" si="31"/>
        <v>0.53601708885850696</v>
      </c>
      <c r="R464" s="54">
        <f>J464*Q464</f>
        <v>1.8648034521387458</v>
      </c>
      <c r="S464" s="53">
        <v>18</v>
      </c>
      <c r="T464" s="55">
        <f>(4*R464)/(3.14159*(S464/12)^2)</f>
        <v>1.0552637795306032</v>
      </c>
      <c r="U464" s="56">
        <f>((R464/((0.463135/cell_NP)*((S464/12)^(8/3))))^2)*cell_FF</f>
        <v>3.6247836221208547E-4</v>
      </c>
      <c r="V464" s="53">
        <v>105</v>
      </c>
      <c r="W464" s="53">
        <f>V464/(T464*60)</f>
        <v>1.6583531378082792</v>
      </c>
      <c r="X464" s="53">
        <f>W464+P464</f>
        <v>43.342408245432168</v>
      </c>
      <c r="Y464" s="55">
        <f>U464*V464</f>
        <v>3.8060228032268974E-2</v>
      </c>
      <c r="Z464" s="55">
        <f>IF(VLOOKUP(126,table_CIA_JCTS,25,FALSE)+VLOOKUP(125,table_CIA_JCTS,24,FALSE)&lt;VLOOKUP(125,table_CIA_JCTS,28,FALSE),VLOOKUP(125,table_CIA_JCTS,28,FALSE),VLOOKUP(126,table_CIA_JCTS,25,FALSE)+VLOOKUP(125,table_CIA_JCTS,24,FALSE))</f>
        <v>389.19664143401621</v>
      </c>
      <c r="AA464" s="55">
        <v>394.71</v>
      </c>
      <c r="AB464" s="55">
        <f>(AA464-0.5)-Z464</f>
        <v>5.0133585659837649</v>
      </c>
      <c r="AC464" s="57">
        <v>388.63</v>
      </c>
      <c r="AD464" t="s">
        <v>444</v>
      </c>
    </row>
    <row r="465" spans="1:30" x14ac:dyDescent="0.2">
      <c r="B465" s="216" t="s">
        <v>10</v>
      </c>
      <c r="C465" s="215">
        <v>153</v>
      </c>
      <c r="D465" s="54">
        <f>VLOOKUP(C465,table_DI,2)</f>
        <v>23.48</v>
      </c>
      <c r="E465" s="54" t="s">
        <v>10</v>
      </c>
      <c r="F465" s="55">
        <f>VLOOKUP(C465,table_DI,5)</f>
        <v>0.35</v>
      </c>
      <c r="G465" s="54">
        <f>VLOOKUP(C465,table_DI,3)</f>
        <v>7.5136000000000003</v>
      </c>
      <c r="H465" s="54" t="s">
        <v>10</v>
      </c>
      <c r="I465" s="54">
        <f>VLOOKUP(C465,table_DI,4)</f>
        <v>8.218</v>
      </c>
      <c r="J465" s="54" t="s">
        <v>10</v>
      </c>
      <c r="K465" s="56">
        <f>VLOOKUP(C465,table_DI,9)</f>
        <v>5.8127802690582982E-3</v>
      </c>
      <c r="L465" s="53">
        <f>VLOOKUP(C465,table_DI,8)</f>
        <v>1784</v>
      </c>
      <c r="M465" s="55">
        <f>(0.84*(K465^0.5)*(cell_GUTDEP^0.6666)/cell_NRD)</f>
        <v>2.2449632373531916</v>
      </c>
      <c r="N465" s="53">
        <f>VLOOKUP(C465,table_DI,10)</f>
        <v>25</v>
      </c>
      <c r="O465" s="53">
        <f>(L465/(M465*60))</f>
        <v>13.244463356285909</v>
      </c>
      <c r="P465" s="53">
        <f>N465+O465</f>
        <v>38.244463356285905</v>
      </c>
      <c r="Q465" s="55">
        <f t="shared" si="31"/>
        <v>0.56571720392602531</v>
      </c>
      <c r="R465" s="54">
        <f>Q465*I465</f>
        <v>4.6490639818640762</v>
      </c>
      <c r="S465" s="53" t="s">
        <v>10</v>
      </c>
      <c r="T465" s="55" t="s">
        <v>10</v>
      </c>
      <c r="U465" s="56" t="s">
        <v>10</v>
      </c>
      <c r="V465" s="53" t="s">
        <v>10</v>
      </c>
      <c r="W465" s="53" t="s">
        <v>10</v>
      </c>
      <c r="X465" s="53" t="s">
        <v>10</v>
      </c>
      <c r="Y465" s="55" t="s">
        <v>10</v>
      </c>
      <c r="Z465" s="55" t="s">
        <v>10</v>
      </c>
      <c r="AA465" s="55" t="s">
        <v>10</v>
      </c>
      <c r="AB465" s="55" t="s">
        <v>10</v>
      </c>
      <c r="AC465" s="57" t="s">
        <v>10</v>
      </c>
      <c r="AD465" t="s">
        <v>10</v>
      </c>
    </row>
    <row r="466" spans="1:30" x14ac:dyDescent="0.2">
      <c r="B466" s="216" t="s">
        <v>10</v>
      </c>
      <c r="C466" s="215">
        <v>154</v>
      </c>
      <c r="D466" s="54">
        <f>VLOOKUP(C466,table_DI,2)</f>
        <v>3.59</v>
      </c>
      <c r="E466" s="54" t="s">
        <v>10</v>
      </c>
      <c r="F466" s="55">
        <f>VLOOKUP(C466,table_DI,5)</f>
        <v>0.35</v>
      </c>
      <c r="G466" s="54">
        <f>VLOOKUP(C466,table_DI,3)</f>
        <v>1.1488</v>
      </c>
      <c r="H466" s="54" t="s">
        <v>10</v>
      </c>
      <c r="I466" s="54">
        <f>VLOOKUP(C466,table_DI,4)</f>
        <v>1.2565</v>
      </c>
      <c r="J466" s="54" t="s">
        <v>10</v>
      </c>
      <c r="K466" s="56">
        <f>VLOOKUP(C466,table_DI,9)</f>
        <v>5.1202263083451266E-3</v>
      </c>
      <c r="L466" s="53">
        <f>VLOOKUP(C466,table_DI,8)</f>
        <v>707</v>
      </c>
      <c r="M466" s="55">
        <f>(0.84*(K466^0.5)*(cell_GUTDEP^0.6666)/cell_NRD)</f>
        <v>2.1069870131538573</v>
      </c>
      <c r="N466" s="53">
        <f>VLOOKUP(C466,table_DI,10)</f>
        <v>25</v>
      </c>
      <c r="O466" s="53">
        <f>(L466/(M466*60))</f>
        <v>5.5925040162897703</v>
      </c>
      <c r="P466" s="53">
        <f>N466+O466</f>
        <v>30.592504016289769</v>
      </c>
      <c r="Q466" s="55">
        <f t="shared" si="31"/>
        <v>0.65059646082965661</v>
      </c>
      <c r="R466" s="54">
        <f>Q466*I466</f>
        <v>0.81747445303246347</v>
      </c>
      <c r="S466" s="53" t="s">
        <v>10</v>
      </c>
      <c r="T466" s="55" t="s">
        <v>10</v>
      </c>
      <c r="U466" s="56" t="s">
        <v>10</v>
      </c>
      <c r="V466" s="53" t="s">
        <v>10</v>
      </c>
      <c r="W466" s="53" t="s">
        <v>10</v>
      </c>
      <c r="X466" s="53" t="s">
        <v>10</v>
      </c>
      <c r="Y466" s="55" t="s">
        <v>10</v>
      </c>
      <c r="Z466" s="55" t="s">
        <v>10</v>
      </c>
      <c r="AA466" s="55" t="s">
        <v>10</v>
      </c>
      <c r="AB466" s="55" t="s">
        <v>10</v>
      </c>
      <c r="AC466" s="57" t="s">
        <v>10</v>
      </c>
      <c r="AD466" t="s">
        <v>10</v>
      </c>
    </row>
    <row r="467" spans="1:30" x14ac:dyDescent="0.2">
      <c r="B467" s="216">
        <v>126</v>
      </c>
      <c r="C467" s="217" t="s">
        <v>10</v>
      </c>
      <c r="D467" s="54" t="s">
        <v>10</v>
      </c>
      <c r="E467" s="54">
        <f>VLOOKUP(125,table_CIA_JCTS,4,FALSE)+VLOOKUP(153,table_CIA_INLETS,2,FALSE)+VLOOKUP(154,table_CIA_INLETS,2,FALSE)</f>
        <v>37.010000000000005</v>
      </c>
      <c r="F467" s="55" t="s">
        <v>10</v>
      </c>
      <c r="G467" s="54" t="s">
        <v>10</v>
      </c>
      <c r="H467" s="54">
        <f>VLOOKUP(125,table_CIA_JCTS,7,FALSE)+VLOOKUP(153,table_CIA_INLETS,5,FALSE)+VLOOKUP(154,table_CIA_INLETS,5,FALSE)</f>
        <v>11.8432</v>
      </c>
      <c r="I467" s="54" t="s">
        <v>10</v>
      </c>
      <c r="J467" s="54">
        <f>VLOOKUP(125,table_CIA_JCTS,9,FALSE)+VLOOKUP(153,table_CIA_INLETS,7,FALSE)+VLOOKUP(154,table_CIA_INLETS,7,FALSE)</f>
        <v>12.953499999999998</v>
      </c>
      <c r="K467" s="56" t="s">
        <v>10</v>
      </c>
      <c r="L467" s="53" t="s">
        <v>10</v>
      </c>
      <c r="M467" s="55" t="s">
        <v>10</v>
      </c>
      <c r="N467" s="53" t="s">
        <v>10</v>
      </c>
      <c r="O467" s="53" t="s">
        <v>10</v>
      </c>
      <c r="P467" s="53">
        <f>VLOOKUP(125,table_CIA_JCTS,23,FALSE)</f>
        <v>43.342408245432168</v>
      </c>
      <c r="Q467" s="55">
        <f t="shared" si="31"/>
        <v>0.52308092234952541</v>
      </c>
      <c r="R467" s="54">
        <f>J467*Q467</f>
        <v>6.7757287276545766</v>
      </c>
      <c r="S467" s="53">
        <v>24</v>
      </c>
      <c r="T467" s="55">
        <f>(4*R467)/(3.14159*(S467/12)^2)</f>
        <v>2.1567832618688554</v>
      </c>
      <c r="U467" s="56">
        <f>((R467/((0.463135/cell_NP)*((S467/12)^(8/3))))^2)*cell_FF</f>
        <v>1.0317822443849196E-3</v>
      </c>
      <c r="V467" s="53">
        <v>270</v>
      </c>
      <c r="W467" s="53">
        <f>V467/(T467*60)</f>
        <v>2.0864405244413589</v>
      </c>
      <c r="X467" s="53">
        <f>W467+P467</f>
        <v>45.428848769873525</v>
      </c>
      <c r="Y467" s="55">
        <f>U467*V467</f>
        <v>0.27858120598392827</v>
      </c>
      <c r="Z467" s="55">
        <f>IF(VLOOKUP(127,table_CIA_JCTS,25,FALSE)+VLOOKUP(126,table_CIA_JCTS,24,FALSE)&lt;VLOOKUP(126,table_CIA_JCTS,28,FALSE),VLOOKUP(126,table_CIA_JCTS,28,FALSE),VLOOKUP(127,table_CIA_JCTS,25,FALSE)+VLOOKUP(126,table_CIA_JCTS,24,FALSE))</f>
        <v>389.15858120598392</v>
      </c>
      <c r="AA467" s="55">
        <v>394.49</v>
      </c>
      <c r="AB467" s="55">
        <f>(AA467-0.5)-Z467</f>
        <v>4.8314187940160878</v>
      </c>
      <c r="AC467" s="57">
        <v>388.9</v>
      </c>
      <c r="AD467" t="s">
        <v>445</v>
      </c>
    </row>
    <row r="468" spans="1:30" x14ac:dyDescent="0.2">
      <c r="B468" s="216">
        <v>127</v>
      </c>
      <c r="C468" s="217" t="s">
        <v>10</v>
      </c>
      <c r="D468" s="54" t="s">
        <v>10</v>
      </c>
      <c r="E468" s="54">
        <f>VLOOKUP(124,table_CIA_JCTS,4,FALSE)+VLOOKUP(126,table_CIA_JCTS,4,FALSE)</f>
        <v>75.460000000000008</v>
      </c>
      <c r="F468" s="55" t="s">
        <v>10</v>
      </c>
      <c r="G468" s="54" t="s">
        <v>10</v>
      </c>
      <c r="H468" s="54">
        <f>VLOOKUP(124,table_CIA_JCTS,7,FALSE)+VLOOKUP(126,table_CIA_JCTS,7,FALSE)</f>
        <v>25.2988</v>
      </c>
      <c r="I468" s="54" t="s">
        <v>10</v>
      </c>
      <c r="J468" s="54">
        <f>VLOOKUP(124,table_CIA_JCTS,9,FALSE)+VLOOKUP(126,table_CIA_JCTS,9,FALSE)</f>
        <v>28.609699999999997</v>
      </c>
      <c r="K468" s="56" t="s">
        <v>10</v>
      </c>
      <c r="L468" s="53" t="s">
        <v>10</v>
      </c>
      <c r="M468" s="55" t="s">
        <v>10</v>
      </c>
      <c r="N468" s="53" t="s">
        <v>10</v>
      </c>
      <c r="O468" s="53" t="s">
        <v>10</v>
      </c>
      <c r="P468" s="53">
        <f>VLOOKUP(124,table_CIA_JCTS,23,FALSE)</f>
        <v>46.023183609028038</v>
      </c>
      <c r="Q468" s="55">
        <f t="shared" si="31"/>
        <v>0.50378802804514189</v>
      </c>
      <c r="R468" s="54">
        <f>J468*Q468</f>
        <v>14.413224345963094</v>
      </c>
      <c r="S468" s="53">
        <v>30</v>
      </c>
      <c r="T468" s="55">
        <f>(4*R468)/(3.14159*(S468/12)^2)</f>
        <v>2.9362404328433631</v>
      </c>
      <c r="U468" s="56">
        <f>((R468/((0.463135/cell_NP)*((S468/12)^(8/3))))^2)*cell_FF</f>
        <v>1.4201849952156106E-3</v>
      </c>
      <c r="V468" s="53">
        <v>700</v>
      </c>
      <c r="W468" s="53">
        <f>V468/(T468*60)</f>
        <v>3.9733349272658276</v>
      </c>
      <c r="X468" s="53">
        <f>W468+P468</f>
        <v>49.996518536293863</v>
      </c>
      <c r="Y468" s="55">
        <f>U468*V468</f>
        <v>0.99412949665092742</v>
      </c>
      <c r="Z468" s="55">
        <f>IF(VLOOKUP(128,table_CIA_JCTS,25,FALSE)+VLOOKUP(127,table_CIA_JCTS,24,FALSE)&lt;VLOOKUP(127,table_CIA_JCTS,28,FALSE),VLOOKUP(127,table_CIA_JCTS,28,FALSE),VLOOKUP(128,table_CIA_JCTS,25,FALSE)+VLOOKUP(127,table_CIA_JCTS,24,FALSE))</f>
        <v>388.88</v>
      </c>
      <c r="AA468" s="55">
        <v>394.73</v>
      </c>
      <c r="AB468" s="55">
        <f>(AA468-0.5)-Z468</f>
        <v>5.3500000000000227</v>
      </c>
      <c r="AC468" s="57">
        <v>388.88</v>
      </c>
      <c r="AD468" t="s">
        <v>447</v>
      </c>
    </row>
    <row r="469" spans="1:30" x14ac:dyDescent="0.2">
      <c r="B469" s="216" t="s">
        <v>10</v>
      </c>
      <c r="C469" s="215">
        <v>155</v>
      </c>
      <c r="D469" s="54">
        <f>VLOOKUP(C469,table_DI,2)</f>
        <v>3.39</v>
      </c>
      <c r="E469" s="54" t="s">
        <v>10</v>
      </c>
      <c r="F469" s="55">
        <f>VLOOKUP(C469,table_DI,5)</f>
        <v>0.35103244837758107</v>
      </c>
      <c r="G469" s="54">
        <f>VLOOKUP(C469,table_DI,3)</f>
        <v>1.08</v>
      </c>
      <c r="H469" s="54" t="s">
        <v>10</v>
      </c>
      <c r="I469" s="54">
        <f>VLOOKUP(C469,table_DI,4)</f>
        <v>1.19</v>
      </c>
      <c r="J469" s="54" t="s">
        <v>10</v>
      </c>
      <c r="K469" s="56">
        <f>VLOOKUP(C469,table_DI,9)</f>
        <v>4.9494949494949371E-3</v>
      </c>
      <c r="L469" s="53">
        <f>VLOOKUP(C469,table_DI,8)</f>
        <v>1089</v>
      </c>
      <c r="M469" s="55">
        <f>(0.84*(K469^0.5)*(cell_GUTDEP^0.6666)/cell_NRD)</f>
        <v>2.0715609850793424</v>
      </c>
      <c r="N469" s="53">
        <f>VLOOKUP(C469,table_DI,10)</f>
        <v>25</v>
      </c>
      <c r="O469" s="53">
        <f>(L469/(M469*60))</f>
        <v>8.7615088962996861</v>
      </c>
      <c r="P469" s="53">
        <f>N469+O469</f>
        <v>33.761508896299688</v>
      </c>
      <c r="Q469" s="55">
        <f t="shared" si="31"/>
        <v>0.61165434361835902</v>
      </c>
      <c r="R469" s="54">
        <f>Q469*I469</f>
        <v>0.72786866890584723</v>
      </c>
      <c r="S469" s="53" t="s">
        <v>10</v>
      </c>
      <c r="T469" s="55" t="s">
        <v>10</v>
      </c>
      <c r="U469" s="56" t="s">
        <v>10</v>
      </c>
      <c r="V469" s="53" t="s">
        <v>10</v>
      </c>
      <c r="W469" s="53" t="s">
        <v>10</v>
      </c>
      <c r="X469" s="53" t="s">
        <v>10</v>
      </c>
      <c r="Y469" s="55" t="s">
        <v>10</v>
      </c>
      <c r="Z469" s="55" t="s">
        <v>10</v>
      </c>
      <c r="AA469" s="55" t="s">
        <v>10</v>
      </c>
      <c r="AB469" s="55" t="s">
        <v>10</v>
      </c>
      <c r="AC469" s="57" t="s">
        <v>10</v>
      </c>
      <c r="AD469" t="s">
        <v>10</v>
      </c>
    </row>
    <row r="470" spans="1:30" x14ac:dyDescent="0.2">
      <c r="B470" s="216" t="s">
        <v>10</v>
      </c>
      <c r="C470" s="215">
        <v>156</v>
      </c>
      <c r="D470" s="54">
        <f>VLOOKUP(C470,table_DI,2)</f>
        <v>9.2799999999999994</v>
      </c>
      <c r="E470" s="54" t="s">
        <v>10</v>
      </c>
      <c r="F470" s="55">
        <f>VLOOKUP(C470,table_DI,5)</f>
        <v>0.35237068965517243</v>
      </c>
      <c r="G470" s="54">
        <f>VLOOKUP(C470,table_DI,3)</f>
        <v>2.97</v>
      </c>
      <c r="H470" s="54" t="s">
        <v>10</v>
      </c>
      <c r="I470" s="54">
        <f>VLOOKUP(C470,table_DI,4)</f>
        <v>3.27</v>
      </c>
      <c r="J470" s="54" t="s">
        <v>10</v>
      </c>
      <c r="K470" s="56">
        <f>VLOOKUP(C470,table_DI,9)</f>
        <v>0.23092059838895279</v>
      </c>
      <c r="L470" s="53">
        <f>VLOOKUP(C470,table_DI,8)</f>
        <v>1738</v>
      </c>
      <c r="M470" s="55">
        <f>(0.84*(K470^0.5)*(cell_GUTDEP^0.6666)/cell_NRD)</f>
        <v>14.149745137347008</v>
      </c>
      <c r="N470" s="53">
        <f>VLOOKUP(C470,table_DI,10)</f>
        <v>25</v>
      </c>
      <c r="O470" s="53">
        <f>(L470/(M470*60))</f>
        <v>2.0471511243133063</v>
      </c>
      <c r="P470" s="53">
        <f>N470+O470</f>
        <v>27.047151124313306</v>
      </c>
      <c r="Q470" s="55">
        <f t="shared" si="31"/>
        <v>0.70276370687772272</v>
      </c>
      <c r="R470" s="54">
        <f>Q470*I470</f>
        <v>2.2980373214901535</v>
      </c>
      <c r="S470" s="53" t="s">
        <v>10</v>
      </c>
      <c r="T470" s="55" t="s">
        <v>10</v>
      </c>
      <c r="U470" s="56" t="s">
        <v>10</v>
      </c>
      <c r="V470" s="53" t="s">
        <v>10</v>
      </c>
      <c r="W470" s="53" t="s">
        <v>10</v>
      </c>
      <c r="X470" s="53" t="s">
        <v>10</v>
      </c>
      <c r="Y470" s="55" t="s">
        <v>10</v>
      </c>
      <c r="Z470" s="55" t="s">
        <v>10</v>
      </c>
      <c r="AA470" s="55" t="s">
        <v>10</v>
      </c>
      <c r="AB470" s="55" t="s">
        <v>10</v>
      </c>
      <c r="AC470" s="57" t="s">
        <v>10</v>
      </c>
      <c r="AD470" t="s">
        <v>10</v>
      </c>
    </row>
    <row r="471" spans="1:30" x14ac:dyDescent="0.2">
      <c r="B471" s="216">
        <v>128</v>
      </c>
      <c r="C471" s="217" t="s">
        <v>10</v>
      </c>
      <c r="D471" s="54" t="s">
        <v>10</v>
      </c>
      <c r="E471" s="54">
        <f>VLOOKUP(127,table_CIA_JCTS,4,FALSE)+VLOOKUP(155,table_CIA_INLETS,2,FALSE)+VLOOKUP(156,table_CIA_INLETS,2,FALSE)</f>
        <v>88.13000000000001</v>
      </c>
      <c r="F471" s="55" t="s">
        <v>10</v>
      </c>
      <c r="G471" s="54" t="s">
        <v>10</v>
      </c>
      <c r="H471" s="54">
        <f>VLOOKUP(127,table_CIA_JCTS,7,FALSE)+VLOOKUP(155,table_CIA_INLETS,5,FALSE)+VLOOKUP(156,table_CIA_INLETS,5,FALSE)</f>
        <v>29.348799999999997</v>
      </c>
      <c r="I471" s="54" t="s">
        <v>10</v>
      </c>
      <c r="J471" s="54">
        <f>VLOOKUP(127,table_CIA_JCTS,9,FALSE)+VLOOKUP(155,table_CIA_INLETS,7,FALSE)+VLOOKUP(156,table_CIA_INLETS,7,FALSE)</f>
        <v>33.069699999999997</v>
      </c>
      <c r="K471" s="56" t="s">
        <v>10</v>
      </c>
      <c r="L471" s="53" t="s">
        <v>10</v>
      </c>
      <c r="M471" s="55" t="s">
        <v>10</v>
      </c>
      <c r="N471" s="53" t="s">
        <v>10</v>
      </c>
      <c r="O471" s="53" t="s">
        <v>10</v>
      </c>
      <c r="P471" s="53">
        <f>VLOOKUP(127,table_CIA_JCTS,23,FALSE)</f>
        <v>49.996518536293863</v>
      </c>
      <c r="Q471" s="55">
        <f t="shared" si="31"/>
        <v>0.47833013837797694</v>
      </c>
      <c r="R471" s="54">
        <f>J471*Q471</f>
        <v>15.818234177118184</v>
      </c>
      <c r="S471" s="53">
        <v>30</v>
      </c>
      <c r="T471" s="55">
        <f>(4*R471)/(3.14159*(S471/12)^2)</f>
        <v>3.2224669270514732</v>
      </c>
      <c r="U471" s="56">
        <f>((R471/((0.463135/cell_NP)*((S471/12)^(8/3))))^2)*cell_FF</f>
        <v>1.7105612436895902E-3</v>
      </c>
      <c r="V471" s="53">
        <v>629</v>
      </c>
      <c r="W471" s="53">
        <f>V471/(T471*60)</f>
        <v>3.2532012183986891</v>
      </c>
      <c r="X471" s="53">
        <f>W471+P471</f>
        <v>53.249719754692549</v>
      </c>
      <c r="Y471" s="55">
        <f>U471*V471</f>
        <v>1.0759430222807522</v>
      </c>
      <c r="Z471" s="55">
        <f>IF(VLOOKUP(129,table_CIA_JCTS,25,FALSE)+VLOOKUP(128,table_CIA_JCTS,24,FALSE)&lt;VLOOKUP(128,table_CIA_JCTS,28,FALSE),VLOOKUP(128,table_CIA_JCTS,28,FALSE),VLOOKUP(129,table_CIA_JCTS,25,FALSE)+VLOOKUP(128,table_CIA_JCTS,24,FALSE))</f>
        <v>387.45079112983848</v>
      </c>
      <c r="AA471" s="55">
        <v>392.93</v>
      </c>
      <c r="AB471" s="55">
        <f>(AA471-0.5)-Z471</f>
        <v>4.9792088701615285</v>
      </c>
      <c r="AC471" s="57">
        <v>385.56</v>
      </c>
      <c r="AD471" t="s">
        <v>458</v>
      </c>
    </row>
    <row r="472" spans="1:30" x14ac:dyDescent="0.2">
      <c r="B472" s="216" t="s">
        <v>10</v>
      </c>
      <c r="C472" s="215">
        <v>157</v>
      </c>
      <c r="D472" s="54">
        <f>VLOOKUP(C472,table_DI,2)</f>
        <v>5.6</v>
      </c>
      <c r="E472" s="54" t="s">
        <v>10</v>
      </c>
      <c r="F472" s="55">
        <f>VLOOKUP(C472,table_DI,5)</f>
        <v>0.5</v>
      </c>
      <c r="G472" s="54">
        <f>VLOOKUP(C472,table_DI,3)</f>
        <v>2.8</v>
      </c>
      <c r="H472" s="54" t="s">
        <v>10</v>
      </c>
      <c r="I472" s="54">
        <f>VLOOKUP(C472,table_DI,4)</f>
        <v>2.8</v>
      </c>
      <c r="J472" s="54"/>
      <c r="K472" s="56">
        <f>VLOOKUP(C472,table_DI,9)</f>
        <v>5.1878354203935195E-3</v>
      </c>
      <c r="L472" s="53">
        <f>VLOOKUP(C472,table_DI,8)</f>
        <v>559</v>
      </c>
      <c r="M472" s="55">
        <f>(0.84*(K472^0.5)*(cell_GUTDEP^0.6666)/cell_NRD)</f>
        <v>2.1208520601108067</v>
      </c>
      <c r="N472" s="53">
        <f>VLOOKUP(C472,table_DI,10)</f>
        <v>20</v>
      </c>
      <c r="O472" s="53">
        <f>(L472/(M472*60))</f>
        <v>4.3928885196169247</v>
      </c>
      <c r="P472" s="53">
        <f>N472+O472</f>
        <v>24.392888519616925</v>
      </c>
      <c r="Q472" s="55">
        <f t="shared" si="31"/>
        <v>0.74972085244339881</v>
      </c>
      <c r="R472" s="54">
        <f>Q472*I472</f>
        <v>2.0992183868415166</v>
      </c>
      <c r="S472" s="53" t="s">
        <v>10</v>
      </c>
      <c r="T472" s="55" t="s">
        <v>10</v>
      </c>
      <c r="U472" s="56" t="s">
        <v>10</v>
      </c>
      <c r="V472" s="53" t="s">
        <v>10</v>
      </c>
      <c r="W472" s="53" t="s">
        <v>10</v>
      </c>
      <c r="X472" s="53" t="s">
        <v>10</v>
      </c>
      <c r="Y472" s="55" t="s">
        <v>10</v>
      </c>
      <c r="Z472" s="55" t="s">
        <v>10</v>
      </c>
      <c r="AA472" s="55" t="s">
        <v>10</v>
      </c>
      <c r="AB472" s="55" t="s">
        <v>10</v>
      </c>
      <c r="AC472" s="57" t="s">
        <v>10</v>
      </c>
      <c r="AD472" t="s">
        <v>10</v>
      </c>
    </row>
    <row r="473" spans="1:30" x14ac:dyDescent="0.2">
      <c r="B473" s="216" t="s">
        <v>10</v>
      </c>
      <c r="C473" s="215">
        <v>158</v>
      </c>
      <c r="D473" s="54">
        <f>VLOOKUP(C473,table_DI,2)</f>
        <v>8.9</v>
      </c>
      <c r="E473" s="54" t="s">
        <v>10</v>
      </c>
      <c r="F473" s="55">
        <f>VLOOKUP(C473,table_DI,5)</f>
        <v>0.5</v>
      </c>
      <c r="G473" s="54">
        <f>VLOOKUP(C473,table_DI,3)</f>
        <v>4.45</v>
      </c>
      <c r="H473" s="54" t="s">
        <v>10</v>
      </c>
      <c r="I473" s="54">
        <f>VLOOKUP(C473,table_DI,4)</f>
        <v>4.45</v>
      </c>
      <c r="J473" s="54" t="s">
        <v>10</v>
      </c>
      <c r="K473" s="56">
        <f>VLOOKUP(C473,table_DI,9)</f>
        <v>2.2887323943661672E-3</v>
      </c>
      <c r="L473" s="53">
        <f>VLOOKUP(C473,table_DI,8)</f>
        <v>1136</v>
      </c>
      <c r="M473" s="55">
        <f>(0.84*(K473^0.5)*(cell_GUTDEP^0.6666)/cell_NRD)</f>
        <v>1.4086879144689162</v>
      </c>
      <c r="N473" s="53">
        <f>VLOOKUP(C473,table_DI,10)</f>
        <v>20</v>
      </c>
      <c r="O473" s="53">
        <f>(L473/(M473*60))</f>
        <v>13.440403043758145</v>
      </c>
      <c r="P473" s="53">
        <f>N473+O473</f>
        <v>33.440403043758145</v>
      </c>
      <c r="Q473" s="55">
        <f t="shared" si="31"/>
        <v>0.61532563742288993</v>
      </c>
      <c r="R473" s="54">
        <f>Q473*I473</f>
        <v>2.7381990865318602</v>
      </c>
      <c r="S473" s="53" t="s">
        <v>10</v>
      </c>
      <c r="T473" s="55" t="s">
        <v>10</v>
      </c>
      <c r="U473" s="56" t="s">
        <v>10</v>
      </c>
      <c r="V473" s="53" t="s">
        <v>10</v>
      </c>
      <c r="W473" s="53" t="s">
        <v>10</v>
      </c>
      <c r="X473" s="53" t="s">
        <v>10</v>
      </c>
      <c r="Y473" s="55" t="s">
        <v>10</v>
      </c>
      <c r="Z473" s="55" t="s">
        <v>10</v>
      </c>
      <c r="AA473" s="55" t="s">
        <v>10</v>
      </c>
      <c r="AB473" s="55" t="s">
        <v>10</v>
      </c>
      <c r="AC473" s="57" t="s">
        <v>10</v>
      </c>
      <c r="AD473" t="s">
        <v>10</v>
      </c>
    </row>
    <row r="474" spans="1:30" x14ac:dyDescent="0.2">
      <c r="B474" s="216">
        <v>129</v>
      </c>
      <c r="C474" s="217" t="s">
        <v>10</v>
      </c>
      <c r="D474" s="54" t="s">
        <v>10</v>
      </c>
      <c r="E474" s="54">
        <f>VLOOKUP(128,table_CIA_JCTS,4,FALSE)+VLOOKUP(157,table_CIA_INLETS,2,FALSE)+VLOOKUP(158,table_CIA_INLETS,2,FALSE)</f>
        <v>102.63000000000001</v>
      </c>
      <c r="F474" s="55" t="s">
        <v>10</v>
      </c>
      <c r="G474" s="54" t="s">
        <v>10</v>
      </c>
      <c r="H474" s="54">
        <f>VLOOKUP(128,table_CIA_JCTS,7,FALSE)+VLOOKUP(157,table_CIA_INLETS,5,FALSE)+VLOOKUP(158,table_CIA_INLETS,5,FALSE)</f>
        <v>36.598799999999997</v>
      </c>
      <c r="I474" s="54" t="s">
        <v>10</v>
      </c>
      <c r="J474" s="54">
        <f>VLOOKUP(128,table_CIA_JCTS,9,FALSE)+VLOOKUP(157,table_CIA_INLETS,7,FALSE)+VLOOKUP(158,table_CIA_INLETS,7,FALSE)</f>
        <v>40.319699999999997</v>
      </c>
      <c r="K474" s="56" t="s">
        <v>10</v>
      </c>
      <c r="L474" s="53" t="s">
        <v>10</v>
      </c>
      <c r="M474" s="55" t="s">
        <v>10</v>
      </c>
      <c r="N474" s="53" t="s">
        <v>10</v>
      </c>
      <c r="O474" s="53" t="s">
        <v>10</v>
      </c>
      <c r="P474" s="53">
        <f>VLOOKUP(128,table_CIA_JCTS,23,FALSE)</f>
        <v>53.249719754692549</v>
      </c>
      <c r="Q474" s="55">
        <f t="shared" si="31"/>
        <v>0.45981582696032258</v>
      </c>
      <c r="R474" s="54">
        <f>J474*Q474</f>
        <v>18.539636198292119</v>
      </c>
      <c r="S474" s="53">
        <v>36</v>
      </c>
      <c r="T474" s="55">
        <f>(4*R474)/(3.14159*(S474/12)^2)</f>
        <v>2.6228242101458346</v>
      </c>
      <c r="U474" s="56">
        <f>((R474/((0.463135/cell_NP)*((S474/12)^(8/3))))^2)*cell_FF</f>
        <v>8.8863837369364132E-4</v>
      </c>
      <c r="V474" s="53">
        <v>284</v>
      </c>
      <c r="W474" s="53">
        <f>V474/(T474*60)</f>
        <v>1.8046704445625619</v>
      </c>
      <c r="X474" s="53">
        <f>W474+P474</f>
        <v>55.05439019925511</v>
      </c>
      <c r="Y474" s="55">
        <f>U474*V474</f>
        <v>0.25237329812899412</v>
      </c>
      <c r="Z474" s="55">
        <f>IF(VLOOKUP(130,table_CIA_JCTS,25,FALSE)+VLOOKUP(129,table_CIA_JCTS,24,FALSE)&lt;VLOOKUP(129,table_CIA_JCTS,28,FALSE),VLOOKUP(129,table_CIA_JCTS,28,FALSE),VLOOKUP(130,table_CIA_JCTS,25,FALSE)+VLOOKUP(129,table_CIA_JCTS,24,FALSE))</f>
        <v>386.37484810755774</v>
      </c>
      <c r="AA474" s="55">
        <v>391.6</v>
      </c>
      <c r="AB474" s="55">
        <f>(AA474-0.5)-Z474</f>
        <v>4.725151892442284</v>
      </c>
      <c r="AC474" s="57">
        <v>384.69</v>
      </c>
      <c r="AD474" t="s">
        <v>459</v>
      </c>
    </row>
    <row r="475" spans="1:30" x14ac:dyDescent="0.2">
      <c r="B475" s="216">
        <v>130</v>
      </c>
      <c r="C475" s="217" t="s">
        <v>10</v>
      </c>
      <c r="D475" s="54" t="s">
        <v>10</v>
      </c>
      <c r="E475" s="54">
        <f>VLOOKUP(121,table_CIA_JCTS,4,FALSE)+VLOOKUP(129,table_CIA_JCTS,4,FALSE)</f>
        <v>392.03999999999996</v>
      </c>
      <c r="F475" s="55" t="s">
        <v>10</v>
      </c>
      <c r="G475" s="54" t="s">
        <v>10</v>
      </c>
      <c r="H475" s="54">
        <f>VLOOKUP(121,table_CIA_JCTS,7,FALSE)+VLOOKUP(129,table_CIA_JCTS,7,FALSE)</f>
        <v>170.91800000000001</v>
      </c>
      <c r="I475" s="54" t="s">
        <v>10</v>
      </c>
      <c r="J475" s="54">
        <f>VLOOKUP(121,table_CIA_JCTS,9,FALSE)+VLOOKUP(129,table_CIA_JCTS,9,FALSE)</f>
        <v>184.18189999999998</v>
      </c>
      <c r="K475" s="56" t="s">
        <v>10</v>
      </c>
      <c r="L475" s="53" t="s">
        <v>10</v>
      </c>
      <c r="M475" s="55" t="s">
        <v>10</v>
      </c>
      <c r="N475" s="53" t="s">
        <v>10</v>
      </c>
      <c r="O475" s="53" t="s">
        <v>10</v>
      </c>
      <c r="P475" s="53">
        <f>VLOOKUP(121,table_CIA_JCTS,23,FALSE)</f>
        <v>49.722357465750619</v>
      </c>
      <c r="Q475" s="55">
        <f t="shared" si="31"/>
        <v>0.47998000267696872</v>
      </c>
      <c r="R475" s="54">
        <f>J475*Q475</f>
        <v>88.403628855049178</v>
      </c>
      <c r="S475" s="53">
        <v>54</v>
      </c>
      <c r="T475" s="55">
        <f>(4*R475)/(3.14159*(S475/12)^2)</f>
        <v>5.5584736410338849</v>
      </c>
      <c r="U475" s="56">
        <f>((R475/((0.463135/cell_NP)*((S475/12)^(8/3))))^2)*cell_FF</f>
        <v>2.3243924243202762E-3</v>
      </c>
      <c r="V475" s="53">
        <v>294</v>
      </c>
      <c r="W475" s="53">
        <f>V475/(T475*60)</f>
        <v>0.88153696795953362</v>
      </c>
      <c r="X475" s="53">
        <f>W475+P475</f>
        <v>50.603894433710153</v>
      </c>
      <c r="Y475" s="55">
        <f>U475*V475</f>
        <v>0.68337137275016124</v>
      </c>
      <c r="Z475" s="55">
        <f>IF(VLOOKUP(131,table_CIA_JCTS,25,FALSE)+VLOOKUP(130,table_CIA_JCTS,24,FALSE)&lt;VLOOKUP(130,table_CIA_JCTS,28,FALSE),VLOOKUP(130,table_CIA_JCTS,28,FALSE),VLOOKUP(131,table_CIA_JCTS,25,FALSE)+VLOOKUP(130,table_CIA_JCTS,24,FALSE))</f>
        <v>386.12247480942875</v>
      </c>
      <c r="AA475" s="55">
        <v>392.8</v>
      </c>
      <c r="AB475" s="55">
        <f>(AA475-0.5)-Z475</f>
        <v>6.1775251905712594</v>
      </c>
      <c r="AC475" s="57">
        <v>384.52</v>
      </c>
      <c r="AD475" t="s">
        <v>457</v>
      </c>
    </row>
    <row r="476" spans="1:30" x14ac:dyDescent="0.2">
      <c r="B476" s="216" t="s">
        <v>10</v>
      </c>
      <c r="C476" s="215">
        <v>159</v>
      </c>
      <c r="D476" s="54">
        <f>VLOOKUP(C476,table_DI,2)</f>
        <v>0.54</v>
      </c>
      <c r="E476" s="54" t="s">
        <v>10</v>
      </c>
      <c r="F476" s="55">
        <f>VLOOKUP(C476,table_DI,5)</f>
        <v>0.89999999999999991</v>
      </c>
      <c r="G476" s="54">
        <f>VLOOKUP(C476,table_DI,3)</f>
        <v>0.48599999999999999</v>
      </c>
      <c r="H476" s="54" t="s">
        <v>10</v>
      </c>
      <c r="I476" s="54">
        <f>VLOOKUP(C476,table_DI,4)</f>
        <v>0.48599999999999999</v>
      </c>
      <c r="J476" s="54" t="s">
        <v>10</v>
      </c>
      <c r="K476" s="56">
        <f>VLOOKUP(C476,table_DI,9)</f>
        <v>5.7617728531855518E-3</v>
      </c>
      <c r="L476" s="53">
        <f>VLOOKUP(C476,table_DI,8)</f>
        <v>361</v>
      </c>
      <c r="M476" s="55">
        <f>(0.84*(K476^0.5)*(cell_GUTDEP^0.6666)/cell_NRD)</f>
        <v>2.2350917056975668</v>
      </c>
      <c r="N476" s="53">
        <f>VLOOKUP(C476,table_DI,10)</f>
        <v>5</v>
      </c>
      <c r="O476" s="53">
        <f>(L476/(M476*60))</f>
        <v>2.6919104264622913</v>
      </c>
      <c r="P476" s="53">
        <f>N476+O476</f>
        <v>7.6919104264622913</v>
      </c>
      <c r="Q476" s="55">
        <f t="shared" si="31"/>
        <v>1.5444334462419813</v>
      </c>
      <c r="R476" s="54">
        <f>Q476*I476</f>
        <v>0.75059465487360288</v>
      </c>
      <c r="S476" s="53" t="s">
        <v>10</v>
      </c>
      <c r="T476" s="55" t="s">
        <v>10</v>
      </c>
      <c r="U476" s="56" t="s">
        <v>10</v>
      </c>
      <c r="V476" s="53" t="s">
        <v>10</v>
      </c>
      <c r="W476" s="53" t="s">
        <v>10</v>
      </c>
      <c r="X476" s="53" t="s">
        <v>10</v>
      </c>
      <c r="Y476" s="55" t="s">
        <v>10</v>
      </c>
      <c r="Z476" s="55" t="s">
        <v>10</v>
      </c>
      <c r="AA476" s="55" t="s">
        <v>10</v>
      </c>
      <c r="AB476" s="55" t="s">
        <v>10</v>
      </c>
      <c r="AC476" s="57" t="s">
        <v>10</v>
      </c>
      <c r="AD476" t="s">
        <v>10</v>
      </c>
    </row>
    <row r="477" spans="1:30" x14ac:dyDescent="0.2">
      <c r="B477" s="216">
        <v>131</v>
      </c>
      <c r="C477" s="217" t="s">
        <v>10</v>
      </c>
      <c r="D477" s="54" t="s">
        <v>10</v>
      </c>
      <c r="E477" s="54">
        <f>VLOOKUP(130,table_CIA_JCTS,4,FALSE)+VLOOKUP(159,table_CIA_INLETS,2,FALSE)</f>
        <v>392.58</v>
      </c>
      <c r="F477" s="55" t="s">
        <v>10</v>
      </c>
      <c r="G477" s="54" t="s">
        <v>10</v>
      </c>
      <c r="H477" s="54">
        <f>VLOOKUP(130,table_CIA_JCTS,7,FALSE)+VLOOKUP(159,table_CIA_INLETS,5,FALSE)</f>
        <v>171.404</v>
      </c>
      <c r="I477" s="54" t="s">
        <v>10</v>
      </c>
      <c r="J477" s="54">
        <f>VLOOKUP(130,table_CIA_JCTS,9,FALSE)+VLOOKUP(159,table_CIA_INLETS,7,FALSE)</f>
        <v>184.66789999999997</v>
      </c>
      <c r="K477" s="56" t="s">
        <v>10</v>
      </c>
      <c r="L477" s="53" t="s">
        <v>10</v>
      </c>
      <c r="M477" s="55" t="s">
        <v>10</v>
      </c>
      <c r="N477" s="53" t="s">
        <v>10</v>
      </c>
      <c r="O477" s="53" t="s">
        <v>10</v>
      </c>
      <c r="P477" s="53">
        <f>VLOOKUP(130,table_CIA_JCTS,23,FALSE)</f>
        <v>50.603894433710153</v>
      </c>
      <c r="Q477" s="55">
        <f t="shared" ref="Q477:Q484" si="32">cell_P*(P477^cell_E)</f>
        <v>0.47472690033301335</v>
      </c>
      <c r="R477" s="54">
        <f>SUM(R475:R476)</f>
        <v>89.154223509922787</v>
      </c>
      <c r="S477" s="53">
        <v>60</v>
      </c>
      <c r="T477" s="55">
        <f>(4*R477)/(3.14159*(S477/12)^2)</f>
        <v>4.5405911533929144</v>
      </c>
      <c r="U477" s="56">
        <f>((R477/((0.463135/cell_NP)*((S477/12)^(8/3))))^2)*cell_FF</f>
        <v>1.3477618536656168E-3</v>
      </c>
      <c r="V477" s="53">
        <v>541</v>
      </c>
      <c r="W477" s="53">
        <f>V477/(T477*60)</f>
        <v>1.9857913566891054</v>
      </c>
      <c r="X477" s="53">
        <f>W477+P477</f>
        <v>52.589685790399258</v>
      </c>
      <c r="Y477" s="55">
        <f>U477*V477</f>
        <v>0.72913916283309865</v>
      </c>
      <c r="Z477" s="55">
        <f>IF(VLOOKUP(132,table_CIA_JCTS,25,FALSE)+VLOOKUP(131,table_CIA_JCTS,24,FALSE)&lt;VLOOKUP(131,table_CIA_JCTS,28,FALSE),VLOOKUP(131,table_CIA_JCTS,28,FALSE),VLOOKUP(132,table_CIA_JCTS,25,FALSE)+VLOOKUP(131,table_CIA_JCTS,24,FALSE))</f>
        <v>385.43910343667858</v>
      </c>
      <c r="AA477" s="55">
        <v>390.92</v>
      </c>
      <c r="AB477" s="55">
        <f>(AA477-0.5)-Z477</f>
        <v>4.980896563321437</v>
      </c>
      <c r="AC477" s="57">
        <v>383.81</v>
      </c>
      <c r="AD477" t="s">
        <v>460</v>
      </c>
    </row>
    <row r="478" spans="1:30" x14ac:dyDescent="0.2">
      <c r="B478" s="216">
        <v>132</v>
      </c>
      <c r="C478" s="217" t="s">
        <v>10</v>
      </c>
      <c r="D478" s="54" t="s">
        <v>10</v>
      </c>
      <c r="E478" s="54">
        <f>VLOOKUP(131,table_CIA_JCTS,4,FALSE)+VLOOKUP(100,table_CIA_JCTS,4,FALSE)</f>
        <v>722.8</v>
      </c>
      <c r="F478" s="55" t="s">
        <v>10</v>
      </c>
      <c r="G478" s="54" t="s">
        <v>10</v>
      </c>
      <c r="H478" s="54">
        <f>VLOOKUP(131,table_CIA_JCTS,7,FALSE)+VLOOKUP(100,table_CIA_JCTS,7,FALSE)</f>
        <v>312.15440000000001</v>
      </c>
      <c r="I478" s="54" t="s">
        <v>10</v>
      </c>
      <c r="J478" s="54">
        <f>VLOOKUP(131,table_CIA_JCTS,9,FALSE)+VLOOKUP(100,table_CIA_JCTS,9,FALSE)</f>
        <v>332.56049999999993</v>
      </c>
      <c r="K478" s="56" t="s">
        <v>10</v>
      </c>
      <c r="L478" s="53" t="s">
        <v>10</v>
      </c>
      <c r="M478" s="55" t="s">
        <v>10</v>
      </c>
      <c r="N478" s="53" t="s">
        <v>10</v>
      </c>
      <c r="O478" s="53" t="s">
        <v>10</v>
      </c>
      <c r="P478" s="53">
        <f>VLOOKUP(131,table_CIA_JCTS,23,FALSE)</f>
        <v>52.589685790399258</v>
      </c>
      <c r="Q478" s="55">
        <f t="shared" si="32"/>
        <v>0.46342118653886843</v>
      </c>
      <c r="R478" s="54">
        <f>J478*Q478</f>
        <v>154.11558150595931</v>
      </c>
      <c r="S478" s="53">
        <v>60</v>
      </c>
      <c r="T478" s="55">
        <f>(4*R478)/(3.14159*(S478/12)^2)</f>
        <v>7.8490487431375486</v>
      </c>
      <c r="U478" s="56">
        <f>((R478/((0.463135/cell_NP)*((S478/12)^(8/3))))^2)*cell_FF</f>
        <v>4.0273782010193321E-3</v>
      </c>
      <c r="V478" s="53">
        <v>437</v>
      </c>
      <c r="W478" s="53">
        <f>V478/(T478*60)</f>
        <v>0.9279256087817237</v>
      </c>
      <c r="X478" s="53">
        <f>W478+P478</f>
        <v>53.517611399180979</v>
      </c>
      <c r="Y478" s="55">
        <f>U478*V478</f>
        <v>1.7599642738454482</v>
      </c>
      <c r="Z478" s="55">
        <f>IF(VLOOKUP(133,table_CIA_JCTS,25,FALSE)+VLOOKUP(132,table_CIA_JCTS,24,FALSE)&lt;VLOOKUP(132,table_CIA_JCTS,28,FALSE),VLOOKUP(132,table_CIA_JCTS,28,FALSE),VLOOKUP(133,table_CIA_JCTS,25,FALSE)+VLOOKUP(132,table_CIA_JCTS,24,FALSE))</f>
        <v>384.70996427384546</v>
      </c>
      <c r="AA478" s="55">
        <v>389.94</v>
      </c>
      <c r="AB478" s="55">
        <f>(AA478-0.5)-Z478</f>
        <v>4.73003572615454</v>
      </c>
      <c r="AC478" s="57">
        <v>384</v>
      </c>
      <c r="AD478" t="s">
        <v>460</v>
      </c>
    </row>
    <row r="479" spans="1:30" x14ac:dyDescent="0.2">
      <c r="B479" s="216" t="s">
        <v>10</v>
      </c>
      <c r="C479" s="217" t="s">
        <v>10</v>
      </c>
      <c r="D479" s="54" t="s">
        <v>10</v>
      </c>
      <c r="E479" s="54" t="s">
        <v>10</v>
      </c>
      <c r="F479" s="55" t="s">
        <v>10</v>
      </c>
      <c r="G479" s="54" t="s">
        <v>10</v>
      </c>
      <c r="H479" s="54" t="s">
        <v>10</v>
      </c>
      <c r="I479" s="54" t="s">
        <v>10</v>
      </c>
      <c r="J479" s="54" t="s">
        <v>10</v>
      </c>
      <c r="K479" s="56" t="s">
        <v>10</v>
      </c>
      <c r="L479" s="53" t="s">
        <v>10</v>
      </c>
      <c r="M479" s="55" t="s">
        <v>10</v>
      </c>
      <c r="N479" s="53" t="s">
        <v>10</v>
      </c>
      <c r="O479" s="53" t="s">
        <v>10</v>
      </c>
      <c r="P479" s="53" t="s">
        <v>10</v>
      </c>
      <c r="Q479" s="55" t="s">
        <v>10</v>
      </c>
      <c r="R479" s="54" t="s">
        <v>10</v>
      </c>
      <c r="S479" s="53" t="s">
        <v>10</v>
      </c>
      <c r="T479" s="55" t="s">
        <v>10</v>
      </c>
      <c r="U479" s="56" t="s">
        <v>10</v>
      </c>
      <c r="V479" s="53" t="s">
        <v>10</v>
      </c>
      <c r="W479" s="53" t="s">
        <v>10</v>
      </c>
      <c r="X479" s="53" t="s">
        <v>10</v>
      </c>
      <c r="Y479" s="55" t="s">
        <v>10</v>
      </c>
      <c r="Z479" s="55" t="s">
        <v>10</v>
      </c>
      <c r="AA479" s="55" t="s">
        <v>10</v>
      </c>
      <c r="AB479" s="55" t="s">
        <v>10</v>
      </c>
      <c r="AC479" s="57" t="s">
        <v>10</v>
      </c>
      <c r="AD479" t="s">
        <v>10</v>
      </c>
    </row>
    <row r="480" spans="1:30" x14ac:dyDescent="0.2">
      <c r="A480" s="368"/>
      <c r="B480" s="216" t="s">
        <v>10</v>
      </c>
      <c r="C480" s="215">
        <v>160</v>
      </c>
      <c r="D480" s="54">
        <f>VLOOKUP(C480,table_DI,2)</f>
        <v>23.66</v>
      </c>
      <c r="E480" s="54" t="s">
        <v>10</v>
      </c>
      <c r="F480" s="55">
        <f>VLOOKUP(C480,table_DI,5)</f>
        <v>0.32929036348267116</v>
      </c>
      <c r="G480" s="54">
        <f>VLOOKUP(C480,table_DI,3)</f>
        <v>7.3041</v>
      </c>
      <c r="H480" s="54" t="s">
        <v>10</v>
      </c>
      <c r="I480" s="54">
        <f>VLOOKUP(C480,table_DI,4)</f>
        <v>7.79101</v>
      </c>
      <c r="J480" s="54" t="s">
        <v>10</v>
      </c>
      <c r="K480" s="56">
        <f>VLOOKUP(C480,table_DI,9)</f>
        <v>2.9763130792997061E-3</v>
      </c>
      <c r="L480" s="53">
        <f>VLOOKUP(C480,table_DI,8)</f>
        <v>1942</v>
      </c>
      <c r="M480" s="55">
        <f>(0.84*(K480^0.5)*(cell_GUTDEP^0.6666)/cell_NRD)</f>
        <v>1.6064106947509835</v>
      </c>
      <c r="N480" s="53">
        <f>VLOOKUP(C480,table_DI,10)</f>
        <v>25</v>
      </c>
      <c r="O480" s="53">
        <f>(L480/(M480*60))</f>
        <v>20.148438237137086</v>
      </c>
      <c r="P480" s="53">
        <f>N480+O480</f>
        <v>45.148438237137086</v>
      </c>
      <c r="Q480" s="55">
        <f t="shared" si="32"/>
        <v>0.50987832075853168</v>
      </c>
      <c r="R480" s="54">
        <f>Q480*I480</f>
        <v>3.9724670958129278</v>
      </c>
      <c r="S480" s="53" t="s">
        <v>10</v>
      </c>
      <c r="T480" s="55" t="s">
        <v>10</v>
      </c>
      <c r="U480" s="56" t="s">
        <v>10</v>
      </c>
      <c r="V480" s="53" t="s">
        <v>10</v>
      </c>
      <c r="W480" s="53" t="s">
        <v>10</v>
      </c>
      <c r="X480" s="53" t="s">
        <v>10</v>
      </c>
      <c r="Y480" s="55" t="s">
        <v>10</v>
      </c>
      <c r="Z480" s="55" t="s">
        <v>10</v>
      </c>
      <c r="AA480" s="55" t="s">
        <v>10</v>
      </c>
      <c r="AB480" s="55" t="s">
        <v>10</v>
      </c>
      <c r="AC480" s="57" t="s">
        <v>10</v>
      </c>
      <c r="AD480" t="s">
        <v>10</v>
      </c>
    </row>
    <row r="481" spans="1:30" x14ac:dyDescent="0.2">
      <c r="A481" s="368"/>
      <c r="B481" s="216">
        <v>132.1</v>
      </c>
      <c r="C481" s="217" t="s">
        <v>10</v>
      </c>
      <c r="D481" s="54" t="s">
        <v>10</v>
      </c>
      <c r="E481" s="54">
        <f>VLOOKUP(160,table_CIA_INLETS,2,FALSE)</f>
        <v>23.66</v>
      </c>
      <c r="F481" s="55" t="s">
        <v>10</v>
      </c>
      <c r="G481" s="54" t="s">
        <v>10</v>
      </c>
      <c r="H481" s="54">
        <f>VLOOKUP(160,table_CIA_INLETS,5,FALSE)</f>
        <v>7.3041</v>
      </c>
      <c r="I481" s="54" t="s">
        <v>10</v>
      </c>
      <c r="J481" s="54">
        <f>VLOOKUP(160,table_CIA_INLETS,7,FALSE)</f>
        <v>7.79101</v>
      </c>
      <c r="K481" s="56" t="s">
        <v>10</v>
      </c>
      <c r="L481" s="53" t="s">
        <v>10</v>
      </c>
      <c r="M481" s="55" t="s">
        <v>10</v>
      </c>
      <c r="N481" s="53" t="s">
        <v>10</v>
      </c>
      <c r="O481" s="53" t="s">
        <v>10</v>
      </c>
      <c r="P481" s="53">
        <f>VLOOKUP(160,table_CIA_INLETS,14,FALSE)</f>
        <v>45.148438237137086</v>
      </c>
      <c r="Q481" s="55">
        <f>cell_P*(P481^cell_E)</f>
        <v>0.50987832075853168</v>
      </c>
      <c r="R481" s="54">
        <f>J481*Q481</f>
        <v>3.9724670958129278</v>
      </c>
      <c r="S481" s="53">
        <v>48</v>
      </c>
      <c r="T481" s="55">
        <f>(4*R481)/(3.14159*(S481/12)^2)</f>
        <v>0.31611915429869331</v>
      </c>
      <c r="U481" s="56">
        <f>((R481/((0.463135/cell_NP)*((S481/12)^(8/3))))^2)*cell_FF</f>
        <v>8.7963669141595067E-6</v>
      </c>
      <c r="V481" s="53">
        <v>67</v>
      </c>
      <c r="W481" s="53">
        <f>V481/(T481*60)</f>
        <v>3.5324233014098079</v>
      </c>
      <c r="X481" s="53">
        <f>W481+P481</f>
        <v>48.680861538546893</v>
      </c>
      <c r="Y481" s="55">
        <f>U481*V481</f>
        <v>5.8935658324868695E-4</v>
      </c>
      <c r="Z481" s="55">
        <f>IF(VLOOKUP(133,table_CIA_JCTS,25,FALSE)+VLOOKUP(132.1,table_CIA_JCTS,24,FALSE)&lt;VLOOKUP(132.1,table_CIA_JCTS,28,FALSE),VLOOKUP(132.1,table_CIA_JCTS,28,FALSE),VLOOKUP(133,table_CIA_JCTS,25,FALSE)+VLOOKUP(132.1,table_CIA_JCTS,24,FALSE))</f>
        <v>382.95058935658324</v>
      </c>
      <c r="AA481" s="55">
        <v>388.82</v>
      </c>
      <c r="AB481" s="55">
        <f>(AA481-0.5)-Z481</f>
        <v>5.3694106434167566</v>
      </c>
      <c r="AC481" s="57">
        <v>382.72</v>
      </c>
      <c r="AD481" t="s">
        <v>10</v>
      </c>
    </row>
    <row r="482" spans="1:30" x14ac:dyDescent="0.2">
      <c r="A482" s="368"/>
      <c r="B482" s="216">
        <v>133</v>
      </c>
      <c r="C482" s="217" t="s">
        <v>10</v>
      </c>
      <c r="D482" s="54" t="s">
        <v>10</v>
      </c>
      <c r="E482" s="54">
        <f>VLOOKUP(132.1,table_CIA_JCTS,4,FALSE)+VLOOKUP(132,table_CIA_JCTS,4,FALSE)</f>
        <v>746.45999999999992</v>
      </c>
      <c r="F482" s="55" t="s">
        <v>10</v>
      </c>
      <c r="G482" s="54" t="s">
        <v>10</v>
      </c>
      <c r="H482" s="54">
        <f>VLOOKUP(132.1,table_CIA_JCTS,7,FALSE)+VLOOKUP(132,table_CIA_JCTS,7,FALSE)</f>
        <v>319.45850000000002</v>
      </c>
      <c r="I482" s="54" t="s">
        <v>10</v>
      </c>
      <c r="J482" s="54">
        <f>VLOOKUP(132.1,table_CIA_JCTS,9,FALSE)+VLOOKUP(132,table_CIA_JCTS,9,FALSE)</f>
        <v>340.35150999999996</v>
      </c>
      <c r="K482" s="56" t="s">
        <v>10</v>
      </c>
      <c r="L482" s="53" t="s">
        <v>10</v>
      </c>
      <c r="M482" s="55" t="s">
        <v>10</v>
      </c>
      <c r="N482" s="53" t="s">
        <v>10</v>
      </c>
      <c r="O482" s="53" t="s">
        <v>10</v>
      </c>
      <c r="P482" s="53">
        <f>VLOOKUP(132,table_CIA_JCTS,23,FALSE)</f>
        <v>53.517611399180979</v>
      </c>
      <c r="Q482" s="55">
        <f t="shared" si="32"/>
        <v>0.45837315869899065</v>
      </c>
      <c r="R482" s="54">
        <f>J482*Q482</f>
        <v>156.00799670667109</v>
      </c>
      <c r="S482" s="53">
        <v>66</v>
      </c>
      <c r="T482" s="55">
        <f>(4*R482)/(3.14159*(S482/12)^2)</f>
        <v>6.5664700324714174</v>
      </c>
      <c r="U482" s="56">
        <f>((R482/((0.463135/cell_NP)*((S482/12)^(8/3))))^2)*cell_FF</f>
        <v>2.4823444794830419E-3</v>
      </c>
      <c r="V482" s="53">
        <v>34</v>
      </c>
      <c r="W482" s="53">
        <f>V482/(T482*60)</f>
        <v>8.6297000346377994E-2</v>
      </c>
      <c r="X482" s="53">
        <f>W482+P482</f>
        <v>53.603908399527356</v>
      </c>
      <c r="Y482" s="55">
        <f>U482*V482</f>
        <v>8.4399712302423421E-2</v>
      </c>
      <c r="Z482" s="55">
        <f>IF(VLOOKUP(134,table_CIA_JCTS,25,FALSE)+VLOOKUP(133,table_CIA_JCTS,24,FALSE)&lt;VLOOKUP(133,table_CIA_JCTS,28,FALSE),VLOOKUP(133,table_CIA_JCTS,28,FALSE),VLOOKUP(134,table_CIA_JCTS,25,FALSE)+VLOOKUP(133,table_CIA_JCTS,24,FALSE))</f>
        <v>382.95</v>
      </c>
      <c r="AA482" s="55">
        <v>388.82</v>
      </c>
      <c r="AB482" s="55">
        <f>(AA482-0.5)-Z482</f>
        <v>5.3700000000000045</v>
      </c>
      <c r="AC482" s="57">
        <v>382.95</v>
      </c>
      <c r="AD482" t="s">
        <v>461</v>
      </c>
    </row>
    <row r="483" spans="1:30" x14ac:dyDescent="0.2">
      <c r="A483" s="372"/>
      <c r="B483" s="216" t="s">
        <v>10</v>
      </c>
      <c r="C483" s="215">
        <v>162</v>
      </c>
      <c r="D483" s="54">
        <f>VLOOKUP(C483,table_DI,2)</f>
        <v>7.3</v>
      </c>
      <c r="E483" s="54" t="s">
        <v>10</v>
      </c>
      <c r="F483" s="55">
        <f>VLOOKUP(C483,table_DI,5)</f>
        <v>0.9</v>
      </c>
      <c r="G483" s="54">
        <f>VLOOKUP(C483,table_DI,3)</f>
        <v>6.57</v>
      </c>
      <c r="H483" s="54" t="s">
        <v>10</v>
      </c>
      <c r="I483" s="54">
        <f>VLOOKUP(C483,table_DI,4)</f>
        <v>6.57</v>
      </c>
      <c r="J483" s="54" t="s">
        <v>10</v>
      </c>
      <c r="K483" s="56">
        <f>VLOOKUP(C483,table_DI,9)</f>
        <v>3.1938579654510529E-3</v>
      </c>
      <c r="L483" s="53">
        <f>VLOOKUP(C483,table_DI,8)</f>
        <v>2605</v>
      </c>
      <c r="M483" s="55">
        <f>(0.84*(K483^0.5)*(cell_GUTDEP^0.6666)/cell_NRD)</f>
        <v>1.6640833669730777</v>
      </c>
      <c r="N483" s="53">
        <f>VLOOKUP(C483,table_DI,10)</f>
        <v>5</v>
      </c>
      <c r="O483" s="53">
        <f>(L483/(M483*60))</f>
        <v>26.090439654859601</v>
      </c>
      <c r="P483" s="53">
        <f>N483+O483</f>
        <v>31.090439654859601</v>
      </c>
      <c r="Q483" s="55">
        <f>cell_P*(P483^cell_E)</f>
        <v>0.64405192646721932</v>
      </c>
      <c r="R483" s="54">
        <f>Q483*I483</f>
        <v>4.2314211568896312</v>
      </c>
      <c r="S483" s="53" t="s">
        <v>10</v>
      </c>
      <c r="T483" s="55" t="s">
        <v>10</v>
      </c>
      <c r="U483" s="56" t="s">
        <v>10</v>
      </c>
      <c r="V483" s="53" t="s">
        <v>10</v>
      </c>
      <c r="W483" s="53" t="s">
        <v>10</v>
      </c>
      <c r="X483" s="53" t="s">
        <v>10</v>
      </c>
      <c r="Y483" s="55" t="s">
        <v>10</v>
      </c>
      <c r="Z483" s="55" t="s">
        <v>10</v>
      </c>
      <c r="AA483" s="55" t="s">
        <v>10</v>
      </c>
      <c r="AB483" s="55" t="s">
        <v>10</v>
      </c>
      <c r="AC483" s="57" t="s">
        <v>10</v>
      </c>
      <c r="AD483" t="s">
        <v>10</v>
      </c>
    </row>
    <row r="484" spans="1:30" x14ac:dyDescent="0.2">
      <c r="B484" s="216">
        <v>134</v>
      </c>
      <c r="C484" s="217" t="s">
        <v>10</v>
      </c>
      <c r="D484" s="54" t="s">
        <v>10</v>
      </c>
      <c r="E484" s="54">
        <f>VLOOKUP(133,table_CIA_JCTS,4,FALSE)+VLOOKUP(162,table_CIA_INLETS,2,FALSE)</f>
        <v>753.75999999999988</v>
      </c>
      <c r="F484" s="55" t="s">
        <v>10</v>
      </c>
      <c r="G484" s="54" t="s">
        <v>10</v>
      </c>
      <c r="H484" s="54">
        <f>VLOOKUP(133,table_CIA_JCTS,7,FALSE)+VLOOKUP(162,table_CIA_INLETS,4,FALSE)</f>
        <v>320.35849999999999</v>
      </c>
      <c r="I484" s="54" t="s">
        <v>10</v>
      </c>
      <c r="J484" s="54">
        <f>VLOOKUP(133,table_CIA_JCTS,9,FALSE)+VLOOKUP(162,table_CIA_INLETS,7,FALSE)</f>
        <v>346.92150999999996</v>
      </c>
      <c r="K484" s="56" t="s">
        <v>10</v>
      </c>
      <c r="L484" s="53" t="s">
        <v>10</v>
      </c>
      <c r="M484" s="55" t="s">
        <v>10</v>
      </c>
      <c r="N484" s="53" t="s">
        <v>10</v>
      </c>
      <c r="O484" s="53" t="s">
        <v>10</v>
      </c>
      <c r="P484" s="53">
        <f>VLOOKUP(133,table_CIA_JCTS,23,FALSE)</f>
        <v>53.603908399527356</v>
      </c>
      <c r="Q484" s="55">
        <f t="shared" si="32"/>
        <v>0.45791092432647929</v>
      </c>
      <c r="R484" s="54">
        <f>J484*Q484</f>
        <v>158.8591493128379</v>
      </c>
      <c r="S484" s="53">
        <v>66</v>
      </c>
      <c r="T484" s="55">
        <f>(4*R484)/(3.14159*(S484/12)^2)</f>
        <v>6.6864767535473799</v>
      </c>
      <c r="U484" s="56">
        <f>((R484/((0.463135/cell_NP)*((S484/12)^(8/3))))^2)*cell_FF</f>
        <v>2.5739066627864736E-3</v>
      </c>
      <c r="V484" s="53">
        <v>46</v>
      </c>
      <c r="W484" s="53">
        <f>V484/(T484*60)</f>
        <v>0.11465928843017761</v>
      </c>
      <c r="X484" s="53">
        <f>W484+P484</f>
        <v>53.718567687957531</v>
      </c>
      <c r="Y484" s="55">
        <f>U484*V484</f>
        <v>0.11839970648817778</v>
      </c>
      <c r="Z484" s="55">
        <f>IF(VLOOKUP(cell_BASIN,table_CIA_JCTS,25,FALSE)+VLOOKUP(134,table_CIA_JCTS,24,FALSE)&lt;VLOOKUP(134,table_CIA_JCTS,28,FALSE),VLOOKUP(134,table_CIA_JCTS,28,FALSE),VLOOKUP(cell_BASIN,table_CIA_JCTS,25,FALSE)+VLOOKUP(134,table_CIA_JCTS,24,FALSE))</f>
        <v>382.38839970648814</v>
      </c>
      <c r="AA484" s="55">
        <v>388.87</v>
      </c>
      <c r="AB484" s="55">
        <f>(AA484-0.5)-Z484</f>
        <v>5.9816002935118604</v>
      </c>
      <c r="AC484" s="57" t="s">
        <v>10</v>
      </c>
      <c r="AD484" t="s">
        <v>10</v>
      </c>
    </row>
    <row r="485" spans="1:30" x14ac:dyDescent="0.2">
      <c r="B485" s="216" t="s">
        <v>10</v>
      </c>
      <c r="C485" s="217" t="s">
        <v>10</v>
      </c>
      <c r="D485" s="54" t="s">
        <v>10</v>
      </c>
      <c r="E485" s="54" t="s">
        <v>10</v>
      </c>
      <c r="F485" s="55" t="s">
        <v>10</v>
      </c>
      <c r="G485" s="54" t="s">
        <v>10</v>
      </c>
      <c r="H485" s="54" t="s">
        <v>10</v>
      </c>
      <c r="I485" s="54" t="s">
        <v>10</v>
      </c>
      <c r="J485" s="54" t="s">
        <v>10</v>
      </c>
      <c r="K485" s="56" t="s">
        <v>10</v>
      </c>
      <c r="L485" s="53" t="s">
        <v>10</v>
      </c>
      <c r="M485" s="55" t="s">
        <v>10</v>
      </c>
      <c r="N485" s="53" t="s">
        <v>10</v>
      </c>
      <c r="O485" s="53" t="s">
        <v>10</v>
      </c>
      <c r="P485" s="53" t="s">
        <v>10</v>
      </c>
      <c r="Q485" s="55" t="s">
        <v>10</v>
      </c>
      <c r="R485" s="54" t="s">
        <v>10</v>
      </c>
      <c r="S485" s="53" t="s">
        <v>10</v>
      </c>
      <c r="T485" s="55" t="s">
        <v>10</v>
      </c>
      <c r="U485" s="56" t="s">
        <v>10</v>
      </c>
      <c r="V485" s="53" t="s">
        <v>10</v>
      </c>
      <c r="W485" s="53" t="s">
        <v>10</v>
      </c>
      <c r="X485" s="53" t="s">
        <v>10</v>
      </c>
      <c r="Y485" s="55" t="s">
        <v>10</v>
      </c>
      <c r="Z485" s="55" t="s">
        <v>10</v>
      </c>
      <c r="AA485" s="55" t="s">
        <v>10</v>
      </c>
      <c r="AB485" s="55" t="s">
        <v>10</v>
      </c>
      <c r="AC485" s="57" t="s">
        <v>10</v>
      </c>
      <c r="AD485" t="s">
        <v>10</v>
      </c>
    </row>
    <row r="486" spans="1:30" x14ac:dyDescent="0.2">
      <c r="B486" s="216" t="s">
        <v>260</v>
      </c>
      <c r="C486" s="217" t="s">
        <v>10</v>
      </c>
      <c r="D486" s="54" t="s">
        <v>10</v>
      </c>
      <c r="E486" s="54" t="s">
        <v>10</v>
      </c>
      <c r="F486" s="55" t="s">
        <v>10</v>
      </c>
      <c r="G486" s="54" t="s">
        <v>10</v>
      </c>
      <c r="H486" s="54" t="s">
        <v>10</v>
      </c>
      <c r="I486" s="54" t="s">
        <v>10</v>
      </c>
      <c r="J486" s="54" t="s">
        <v>10</v>
      </c>
      <c r="K486" s="56" t="s">
        <v>10</v>
      </c>
      <c r="L486" s="53" t="s">
        <v>10</v>
      </c>
      <c r="M486" s="55" t="s">
        <v>10</v>
      </c>
      <c r="N486" s="53" t="s">
        <v>10</v>
      </c>
      <c r="O486" s="53" t="s">
        <v>10</v>
      </c>
      <c r="P486" s="53" t="s">
        <v>10</v>
      </c>
      <c r="Q486" s="55" t="s">
        <v>10</v>
      </c>
      <c r="R486" s="54" t="s">
        <v>10</v>
      </c>
      <c r="S486" s="53" t="s">
        <v>10</v>
      </c>
      <c r="T486" s="55" t="s">
        <v>10</v>
      </c>
      <c r="U486" s="56" t="s">
        <v>10</v>
      </c>
      <c r="V486" s="53" t="s">
        <v>10</v>
      </c>
      <c r="W486" s="53" t="s">
        <v>10</v>
      </c>
      <c r="X486" s="53" t="s">
        <v>10</v>
      </c>
      <c r="Y486" s="55" t="s">
        <v>10</v>
      </c>
      <c r="Z486" s="55">
        <f>(cell_HGL)</f>
        <v>382.27</v>
      </c>
      <c r="AA486" s="55" t="s">
        <v>10</v>
      </c>
      <c r="AB486" s="55" t="s">
        <v>10</v>
      </c>
      <c r="AC486" s="57" t="s">
        <v>10</v>
      </c>
      <c r="AD486" t="s">
        <v>10</v>
      </c>
    </row>
    <row r="487" spans="1:30" x14ac:dyDescent="0.2">
      <c r="B487" s="216" t="s">
        <v>10</v>
      </c>
      <c r="C487" s="217" t="s">
        <v>10</v>
      </c>
      <c r="D487" s="54" t="s">
        <v>10</v>
      </c>
      <c r="E487" s="54" t="s">
        <v>10</v>
      </c>
      <c r="F487" s="55" t="s">
        <v>10</v>
      </c>
      <c r="G487" s="54" t="s">
        <v>10</v>
      </c>
      <c r="H487" s="54" t="s">
        <v>10</v>
      </c>
      <c r="I487" s="54" t="s">
        <v>10</v>
      </c>
      <c r="J487" s="54" t="s">
        <v>10</v>
      </c>
      <c r="K487" s="56" t="s">
        <v>10</v>
      </c>
      <c r="L487" s="53" t="s">
        <v>10</v>
      </c>
      <c r="M487" s="55" t="s">
        <v>10</v>
      </c>
      <c r="N487" s="53" t="s">
        <v>10</v>
      </c>
      <c r="O487" s="53" t="s">
        <v>10</v>
      </c>
      <c r="P487" s="53" t="s">
        <v>10</v>
      </c>
      <c r="Q487" s="55" t="s">
        <v>10</v>
      </c>
      <c r="R487" s="54" t="s">
        <v>10</v>
      </c>
      <c r="S487" s="53" t="s">
        <v>10</v>
      </c>
      <c r="T487" s="55" t="s">
        <v>10</v>
      </c>
      <c r="U487" s="56" t="s">
        <v>10</v>
      </c>
      <c r="V487" s="53" t="s">
        <v>10</v>
      </c>
      <c r="W487" s="53" t="s">
        <v>10</v>
      </c>
      <c r="X487" s="53" t="s">
        <v>10</v>
      </c>
      <c r="Y487" s="55" t="s">
        <v>10</v>
      </c>
      <c r="Z487" s="55" t="s">
        <v>10</v>
      </c>
      <c r="AA487" s="55" t="s">
        <v>10</v>
      </c>
      <c r="AB487" s="55" t="s">
        <v>10</v>
      </c>
      <c r="AC487" s="57" t="s">
        <v>10</v>
      </c>
      <c r="AD487" t="s">
        <v>10</v>
      </c>
    </row>
    <row r="488" spans="1:30" x14ac:dyDescent="0.2">
      <c r="A488" s="465" t="s">
        <v>543</v>
      </c>
      <c r="B488" s="428" t="s">
        <v>10</v>
      </c>
      <c r="C488" s="428">
        <v>161</v>
      </c>
      <c r="D488" s="429">
        <f>VLOOKUP(C488,table_DI,2)</f>
        <v>1.2</v>
      </c>
      <c r="E488" s="429" t="s">
        <v>10</v>
      </c>
      <c r="F488" s="318">
        <f>VLOOKUP(C488,table_DI,5)</f>
        <v>0.31900000000000006</v>
      </c>
      <c r="G488" s="429">
        <f>VLOOKUP(C488,table_DI,3)</f>
        <v>0.34799999999999998</v>
      </c>
      <c r="H488" s="429" t="s">
        <v>10</v>
      </c>
      <c r="I488" s="429">
        <f>VLOOKUP(C488,table_DI,4)</f>
        <v>0.38280000000000003</v>
      </c>
      <c r="J488" s="429" t="s">
        <v>10</v>
      </c>
      <c r="K488" s="430">
        <f>VLOOKUP(C488,table_DI,9)</f>
        <v>2.5356576862123523E-3</v>
      </c>
      <c r="L488" s="431">
        <f>VLOOKUP(C488,table_DI,8)</f>
        <v>1262</v>
      </c>
      <c r="M488" s="318">
        <f>(0.84*(K488^0.5)*(cell_GUTDEP^0.6666)/cell_NRD)</f>
        <v>1.4827317664108912</v>
      </c>
      <c r="N488" s="431">
        <f>VLOOKUP(C488,table_DI,10)</f>
        <v>25</v>
      </c>
      <c r="O488" s="431">
        <f>(L488/(M488*60))</f>
        <v>14.185528232288929</v>
      </c>
      <c r="P488" s="431">
        <f>N488+O488</f>
        <v>39.185528232288931</v>
      </c>
      <c r="Q488" s="318">
        <f>cell_P*(P488^cell_E)</f>
        <v>0.55717100619675874</v>
      </c>
      <c r="R488" s="429">
        <f>Q488*I488</f>
        <v>0.21328506117211926</v>
      </c>
      <c r="S488" s="431" t="s">
        <v>10</v>
      </c>
      <c r="T488" s="318" t="s">
        <v>10</v>
      </c>
      <c r="U488" s="430" t="s">
        <v>10</v>
      </c>
      <c r="V488" s="431" t="s">
        <v>10</v>
      </c>
      <c r="W488" s="431" t="s">
        <v>10</v>
      </c>
      <c r="X488" s="431" t="s">
        <v>10</v>
      </c>
      <c r="Y488" s="318" t="s">
        <v>10</v>
      </c>
      <c r="Z488" s="318" t="s">
        <v>10</v>
      </c>
      <c r="AA488" s="318" t="s">
        <v>10</v>
      </c>
      <c r="AB488" s="318" t="s">
        <v>10</v>
      </c>
      <c r="AC488" s="432" t="s">
        <v>10</v>
      </c>
      <c r="AD488"/>
    </row>
    <row r="489" spans="1:30" ht="15.75" x14ac:dyDescent="0.25">
      <c r="A489" s="466" t="s">
        <v>544</v>
      </c>
      <c r="B489" s="428">
        <v>134.1</v>
      </c>
      <c r="C489" s="433" t="s">
        <v>10</v>
      </c>
      <c r="D489" s="429" t="s">
        <v>10</v>
      </c>
      <c r="E489" s="429">
        <f>VLOOKUP(161,table_CIA_INLETS,2,FALSE)</f>
        <v>1.2</v>
      </c>
      <c r="F489" s="318" t="s">
        <v>10</v>
      </c>
      <c r="G489" s="429" t="s">
        <v>10</v>
      </c>
      <c r="H489" s="429">
        <f>VLOOKUP(161,table_CIA_INLETS,5,FALSE)</f>
        <v>0.34799999999999998</v>
      </c>
      <c r="I489" s="429" t="s">
        <v>10</v>
      </c>
      <c r="J489" s="429">
        <f>VLOOKUP(161,table_CIA_INLETS,7,FALSE)</f>
        <v>0.38280000000000003</v>
      </c>
      <c r="K489" s="430" t="s">
        <v>10</v>
      </c>
      <c r="L489" s="431" t="s">
        <v>10</v>
      </c>
      <c r="M489" s="318" t="s">
        <v>10</v>
      </c>
      <c r="N489" s="431" t="s">
        <v>10</v>
      </c>
      <c r="O489" s="431" t="s">
        <v>10</v>
      </c>
      <c r="P489" s="431">
        <f>VLOOKUP(161,table_CIA_INLETS,14,FALSE)</f>
        <v>39.185528232288931</v>
      </c>
      <c r="Q489" s="318">
        <f>cell_P*(P489^cell_E)</f>
        <v>0.55717100619675874</v>
      </c>
      <c r="R489" s="429">
        <f>J489*Q489</f>
        <v>0.21328506117211926</v>
      </c>
      <c r="S489" s="434">
        <v>60</v>
      </c>
      <c r="T489" s="318">
        <f>(4*R489)/(3.14159*(S489/12)^2)</f>
        <v>1.0862528142609023E-2</v>
      </c>
      <c r="U489" s="430">
        <f>((R489/((0.463135/cell_NP)*((S489/12)^(8/3))))^2)*cell_FF</f>
        <v>7.713477057207496E-9</v>
      </c>
      <c r="V489" s="431">
        <v>155</v>
      </c>
      <c r="W489" s="431">
        <f>V489/(T489*60)</f>
        <v>237.82063433281505</v>
      </c>
      <c r="X489" s="431">
        <f>W489+P489</f>
        <v>277.00616256510398</v>
      </c>
      <c r="Y489" s="318">
        <f>U489*V489</f>
        <v>1.1955889438671619E-6</v>
      </c>
      <c r="Z489" s="318">
        <f>IF(VLOOKUP(cell_BASIN,table_CIA_JCTS,25,FALSE)+VLOOKUP(134.1,table_CIA_JCTS,24,FALSE)&lt;VLOOKUP(134.1,table_CIA_JCTS,28,FALSE),VLOOKUP(134.1,table_CIA_JCTS,28,FALSE),VLOOKUP(cell_BASIN,table_CIA_JCTS,25,FALSE)+VLOOKUP(134.1,table_CIA_JCTS,24,FALSE))</f>
        <v>382.35</v>
      </c>
      <c r="AA489" s="435">
        <v>387</v>
      </c>
      <c r="AB489" s="318">
        <f>(AA489-0.5)-Z489</f>
        <v>4.1499999999999773</v>
      </c>
      <c r="AC489" s="432">
        <v>382.35</v>
      </c>
      <c r="AD489" s="42"/>
    </row>
    <row r="490" spans="1:30" x14ac:dyDescent="0.2">
      <c r="A490" s="466" t="s">
        <v>539</v>
      </c>
      <c r="B490" s="428" t="s">
        <v>10</v>
      </c>
      <c r="C490" s="433" t="s">
        <v>10</v>
      </c>
      <c r="D490" s="429" t="s">
        <v>10</v>
      </c>
      <c r="E490" s="429" t="s">
        <v>10</v>
      </c>
      <c r="F490" s="318" t="s">
        <v>10</v>
      </c>
      <c r="G490" s="429" t="s">
        <v>10</v>
      </c>
      <c r="H490" s="429" t="s">
        <v>10</v>
      </c>
      <c r="I490" s="429" t="s">
        <v>10</v>
      </c>
      <c r="J490" s="429" t="s">
        <v>10</v>
      </c>
      <c r="K490" s="430" t="s">
        <v>10</v>
      </c>
      <c r="L490" s="431" t="s">
        <v>10</v>
      </c>
      <c r="M490" s="318" t="s">
        <v>10</v>
      </c>
      <c r="N490" s="431" t="s">
        <v>10</v>
      </c>
      <c r="O490" s="431" t="s">
        <v>10</v>
      </c>
      <c r="P490" s="431" t="s">
        <v>10</v>
      </c>
      <c r="Q490" s="318" t="s">
        <v>10</v>
      </c>
      <c r="R490" s="429" t="s">
        <v>10</v>
      </c>
      <c r="S490" s="431" t="s">
        <v>10</v>
      </c>
      <c r="T490" s="318" t="s">
        <v>10</v>
      </c>
      <c r="U490" s="430" t="s">
        <v>10</v>
      </c>
      <c r="V490" s="431" t="s">
        <v>10</v>
      </c>
      <c r="W490" s="431" t="s">
        <v>10</v>
      </c>
      <c r="X490" s="431" t="s">
        <v>10</v>
      </c>
      <c r="Y490" s="318" t="s">
        <v>10</v>
      </c>
      <c r="Z490" s="318" t="s">
        <v>10</v>
      </c>
      <c r="AA490" s="318" t="s">
        <v>10</v>
      </c>
      <c r="AB490" s="318" t="s">
        <v>10</v>
      </c>
      <c r="AC490" s="432" t="s">
        <v>10</v>
      </c>
      <c r="AD490"/>
    </row>
    <row r="491" spans="1:30" x14ac:dyDescent="0.2">
      <c r="A491" s="466" t="s">
        <v>546</v>
      </c>
      <c r="B491" s="428" t="s">
        <v>260</v>
      </c>
      <c r="C491" s="433" t="s">
        <v>10</v>
      </c>
      <c r="D491" s="429" t="s">
        <v>10</v>
      </c>
      <c r="E491" s="429" t="s">
        <v>10</v>
      </c>
      <c r="F491" s="318" t="s">
        <v>10</v>
      </c>
      <c r="G491" s="429" t="s">
        <v>10</v>
      </c>
      <c r="H491" s="429" t="s">
        <v>10</v>
      </c>
      <c r="I491" s="429" t="s">
        <v>10</v>
      </c>
      <c r="J491" s="429" t="s">
        <v>10</v>
      </c>
      <c r="K491" s="430" t="s">
        <v>10</v>
      </c>
      <c r="L491" s="431" t="s">
        <v>10</v>
      </c>
      <c r="M491" s="318" t="s">
        <v>10</v>
      </c>
      <c r="N491" s="431" t="s">
        <v>10</v>
      </c>
      <c r="O491" s="431" t="s">
        <v>10</v>
      </c>
      <c r="P491" s="431" t="s">
        <v>10</v>
      </c>
      <c r="Q491" s="318" t="s">
        <v>10</v>
      </c>
      <c r="R491" s="429" t="s">
        <v>10</v>
      </c>
      <c r="S491" s="431" t="s">
        <v>10</v>
      </c>
      <c r="T491" s="318" t="s">
        <v>10</v>
      </c>
      <c r="U491" s="430" t="s">
        <v>10</v>
      </c>
      <c r="V491" s="431" t="s">
        <v>10</v>
      </c>
      <c r="W491" s="431" t="s">
        <v>10</v>
      </c>
      <c r="X491" s="431" t="s">
        <v>10</v>
      </c>
      <c r="Y491" s="318" t="s">
        <v>10</v>
      </c>
      <c r="Z491" s="318">
        <f>(cell_HGL)</f>
        <v>382.27</v>
      </c>
      <c r="AA491" s="318" t="s">
        <v>10</v>
      </c>
      <c r="AB491" s="318" t="s">
        <v>10</v>
      </c>
      <c r="AC491" s="432" t="s">
        <v>10</v>
      </c>
      <c r="AD491"/>
    </row>
    <row r="492" spans="1:30" x14ac:dyDescent="0.2">
      <c r="A492" s="467" t="s">
        <v>545</v>
      </c>
      <c r="B492" s="428" t="s">
        <v>10</v>
      </c>
      <c r="C492" s="433" t="s">
        <v>10</v>
      </c>
      <c r="D492" s="429" t="s">
        <v>10</v>
      </c>
      <c r="E492" s="429" t="s">
        <v>10</v>
      </c>
      <c r="F492" s="318" t="s">
        <v>10</v>
      </c>
      <c r="G492" s="429" t="s">
        <v>10</v>
      </c>
      <c r="H492" s="429" t="s">
        <v>10</v>
      </c>
      <c r="I492" s="429" t="s">
        <v>10</v>
      </c>
      <c r="J492" s="429" t="s">
        <v>10</v>
      </c>
      <c r="K492" s="430" t="s">
        <v>10</v>
      </c>
      <c r="L492" s="431" t="s">
        <v>10</v>
      </c>
      <c r="M492" s="318" t="s">
        <v>10</v>
      </c>
      <c r="N492" s="431" t="s">
        <v>10</v>
      </c>
      <c r="O492" s="431" t="s">
        <v>10</v>
      </c>
      <c r="P492" s="431" t="s">
        <v>10</v>
      </c>
      <c r="Q492" s="318" t="s">
        <v>10</v>
      </c>
      <c r="R492" s="429" t="s">
        <v>10</v>
      </c>
      <c r="S492" s="431" t="s">
        <v>10</v>
      </c>
      <c r="T492" s="318" t="s">
        <v>10</v>
      </c>
      <c r="U492" s="430" t="s">
        <v>10</v>
      </c>
      <c r="V492" s="431" t="s">
        <v>10</v>
      </c>
      <c r="W492" s="431" t="s">
        <v>10</v>
      </c>
      <c r="X492" s="431" t="s">
        <v>10</v>
      </c>
      <c r="Y492" s="318" t="s">
        <v>10</v>
      </c>
      <c r="Z492" s="318" t="s">
        <v>10</v>
      </c>
      <c r="AA492" s="318" t="s">
        <v>10</v>
      </c>
      <c r="AB492" s="318" t="s">
        <v>10</v>
      </c>
      <c r="AC492" s="432" t="s">
        <v>10</v>
      </c>
      <c r="AD492"/>
    </row>
    <row r="493" spans="1:30" x14ac:dyDescent="0.2">
      <c r="B493" s="216" t="s">
        <v>10</v>
      </c>
      <c r="C493" s="215">
        <v>163</v>
      </c>
      <c r="D493" s="54">
        <f>VLOOKUP(C493,table_DI,2)</f>
        <v>16.53</v>
      </c>
      <c r="E493" s="54" t="s">
        <v>10</v>
      </c>
      <c r="F493" s="55">
        <f>VLOOKUP(C493,table_DI,5)</f>
        <v>0.31900181488203266</v>
      </c>
      <c r="G493" s="54">
        <f>VLOOKUP(C493,table_DI,3)</f>
        <v>4.7937000000000003</v>
      </c>
      <c r="H493" s="54" t="s">
        <v>10</v>
      </c>
      <c r="I493" s="54">
        <f>VLOOKUP(C493,table_DI,4)</f>
        <v>5.2731000000000003</v>
      </c>
      <c r="J493" s="54" t="s">
        <v>10</v>
      </c>
      <c r="K493" s="56">
        <f>VLOOKUP(C493,table_DI,9)</f>
        <v>3.2981530343007917E-3</v>
      </c>
      <c r="L493" s="53">
        <f>VLOOKUP(C493,table_DI,8)</f>
        <v>1516</v>
      </c>
      <c r="M493" s="55">
        <f>(0.84*(K493^0.5)*(cell_GUTDEP^0.6666)/cell_NRD)</f>
        <v>1.6910353327404395</v>
      </c>
      <c r="N493" s="53">
        <f>VLOOKUP(C493,table_DI,10)</f>
        <v>25</v>
      </c>
      <c r="O493" s="53">
        <f>(L493/(M493*60))</f>
        <v>14.941536807347656</v>
      </c>
      <c r="P493" s="53">
        <f>N493+O493</f>
        <v>39.94153680734766</v>
      </c>
      <c r="Q493" s="55">
        <f>cell_P*(P493^cell_E)</f>
        <v>0.55054349300017658</v>
      </c>
      <c r="R493" s="54">
        <f>Q493*I493</f>
        <v>2.9030708929392315</v>
      </c>
      <c r="S493" s="53" t="s">
        <v>10</v>
      </c>
      <c r="T493" s="55" t="s">
        <v>10</v>
      </c>
      <c r="U493" s="56" t="s">
        <v>10</v>
      </c>
      <c r="V493" s="53" t="s">
        <v>10</v>
      </c>
      <c r="W493" s="53" t="s">
        <v>10</v>
      </c>
      <c r="X493" s="53" t="s">
        <v>10</v>
      </c>
      <c r="Y493" s="55" t="s">
        <v>10</v>
      </c>
      <c r="Z493" s="55" t="s">
        <v>10</v>
      </c>
      <c r="AA493" s="55" t="s">
        <v>10</v>
      </c>
      <c r="AB493" s="55" t="s">
        <v>10</v>
      </c>
      <c r="AC493" s="57" t="s">
        <v>10</v>
      </c>
      <c r="AD493" t="s">
        <v>10</v>
      </c>
    </row>
    <row r="494" spans="1:30" x14ac:dyDescent="0.2">
      <c r="B494" s="216">
        <v>135</v>
      </c>
      <c r="C494" s="217" t="s">
        <v>10</v>
      </c>
      <c r="D494" s="54" t="s">
        <v>10</v>
      </c>
      <c r="E494" s="54">
        <f>VLOOKUP(163,table_CIA_INLETS,2,FALSE)</f>
        <v>16.53</v>
      </c>
      <c r="F494" s="55" t="s">
        <v>10</v>
      </c>
      <c r="G494" s="54" t="s">
        <v>10</v>
      </c>
      <c r="H494" s="54">
        <f>VLOOKUP(163,table_CIA_INLETS,5,FALSE)</f>
        <v>4.7937000000000003</v>
      </c>
      <c r="I494" s="54" t="s">
        <v>10</v>
      </c>
      <c r="J494" s="54">
        <f>VLOOKUP(163,table_CIA_INLETS,7,FALSE)</f>
        <v>5.2731000000000003</v>
      </c>
      <c r="K494" s="56" t="s">
        <v>10</v>
      </c>
      <c r="L494" s="53" t="s">
        <v>10</v>
      </c>
      <c r="M494" s="55" t="s">
        <v>10</v>
      </c>
      <c r="N494" s="53" t="s">
        <v>10</v>
      </c>
      <c r="O494" s="53" t="s">
        <v>10</v>
      </c>
      <c r="P494" s="53">
        <f>VLOOKUP(163,table_CIA_INLETS,14,FALSE)</f>
        <v>39.94153680734766</v>
      </c>
      <c r="Q494" s="55">
        <f>cell_P*(P494^cell_E)</f>
        <v>0.55054349300017658</v>
      </c>
      <c r="R494" s="54">
        <f>J494*Q494</f>
        <v>2.9030708929392315</v>
      </c>
      <c r="S494" s="53">
        <v>18</v>
      </c>
      <c r="T494" s="55">
        <f>(4*R494)/(3.14159*(S494/12)^2)</f>
        <v>1.6428034596433194</v>
      </c>
      <c r="U494" s="56">
        <f>((R494/((0.463135/cell_NP)*((S494/12)^(8/3))))^2)*cell_FF</f>
        <v>8.7847870997233258E-4</v>
      </c>
      <c r="V494" s="53">
        <v>474</v>
      </c>
      <c r="W494" s="53">
        <f>V494/(T494*60)</f>
        <v>4.8088527898006888</v>
      </c>
      <c r="X494" s="53">
        <f>W494+P494</f>
        <v>44.750389597148349</v>
      </c>
      <c r="Y494" s="55">
        <f>U494*V494</f>
        <v>0.41639890852688566</v>
      </c>
      <c r="Z494" s="55">
        <f>IF(VLOOKUP(cell_BASIN,table_CIA_JCTS,25,FALSE)+VLOOKUP(135,table_CIA_JCTS,24,FALSE)&lt;VLOOKUP(135,table_CIA_JCTS,28,FALSE),VLOOKUP(135,table_CIA_JCTS,28,FALSE),VLOOKUP(cell_BASIN,table_CIA_JCTS,25,FALSE)+VLOOKUP(135,table_CIA_JCTS,24,FALSE))</f>
        <v>383.97</v>
      </c>
      <c r="AA494" s="55">
        <v>390.12</v>
      </c>
      <c r="AB494" s="55">
        <f>(AA494-0.5)-Z494</f>
        <v>5.6499999999999773</v>
      </c>
      <c r="AC494" s="57">
        <v>383.97</v>
      </c>
      <c r="AD494" t="s">
        <v>444</v>
      </c>
    </row>
    <row r="495" spans="1:30" x14ac:dyDescent="0.2">
      <c r="B495" s="216" t="s">
        <v>10</v>
      </c>
      <c r="C495" s="217" t="s">
        <v>10</v>
      </c>
      <c r="D495" s="54" t="s">
        <v>10</v>
      </c>
      <c r="E495" s="54" t="s">
        <v>10</v>
      </c>
      <c r="F495" s="55" t="s">
        <v>10</v>
      </c>
      <c r="G495" s="54" t="s">
        <v>10</v>
      </c>
      <c r="H495" s="54" t="s">
        <v>10</v>
      </c>
      <c r="I495" s="54" t="s">
        <v>10</v>
      </c>
      <c r="J495" s="54" t="s">
        <v>10</v>
      </c>
      <c r="K495" s="56" t="s">
        <v>10</v>
      </c>
      <c r="L495" s="53" t="s">
        <v>10</v>
      </c>
      <c r="M495" s="55" t="s">
        <v>10</v>
      </c>
      <c r="N495" s="53" t="s">
        <v>10</v>
      </c>
      <c r="O495" s="53" t="s">
        <v>10</v>
      </c>
      <c r="P495" s="53" t="s">
        <v>10</v>
      </c>
      <c r="Q495" s="55" t="s">
        <v>10</v>
      </c>
      <c r="R495" s="54" t="s">
        <v>10</v>
      </c>
      <c r="S495" s="53" t="s">
        <v>10</v>
      </c>
      <c r="T495" s="55" t="s">
        <v>10</v>
      </c>
      <c r="U495" s="56" t="s">
        <v>10</v>
      </c>
      <c r="V495" s="53" t="s">
        <v>10</v>
      </c>
      <c r="W495" s="53" t="s">
        <v>10</v>
      </c>
      <c r="X495" s="53" t="s">
        <v>10</v>
      </c>
      <c r="Y495" s="55" t="s">
        <v>10</v>
      </c>
      <c r="Z495" s="55" t="s">
        <v>10</v>
      </c>
      <c r="AA495" s="55" t="s">
        <v>10</v>
      </c>
      <c r="AB495" s="55" t="s">
        <v>10</v>
      </c>
      <c r="AC495" s="57" t="s">
        <v>10</v>
      </c>
      <c r="AD495" t="s">
        <v>10</v>
      </c>
    </row>
    <row r="496" spans="1:30" x14ac:dyDescent="0.2">
      <c r="B496" s="216" t="s">
        <v>260</v>
      </c>
      <c r="C496" s="217" t="s">
        <v>10</v>
      </c>
      <c r="D496" s="54" t="s">
        <v>10</v>
      </c>
      <c r="E496" s="54" t="s">
        <v>10</v>
      </c>
      <c r="F496" s="55" t="s">
        <v>10</v>
      </c>
      <c r="G496" s="54" t="s">
        <v>10</v>
      </c>
      <c r="H496" s="54" t="s">
        <v>10</v>
      </c>
      <c r="I496" s="54" t="s">
        <v>10</v>
      </c>
      <c r="J496" s="54" t="s">
        <v>10</v>
      </c>
      <c r="K496" s="56" t="s">
        <v>10</v>
      </c>
      <c r="L496" s="53" t="s">
        <v>10</v>
      </c>
      <c r="M496" s="55" t="s">
        <v>10</v>
      </c>
      <c r="N496" s="53" t="s">
        <v>10</v>
      </c>
      <c r="O496" s="53" t="s">
        <v>10</v>
      </c>
      <c r="P496" s="53" t="s">
        <v>10</v>
      </c>
      <c r="Q496" s="55" t="s">
        <v>10</v>
      </c>
      <c r="R496" s="54" t="s">
        <v>10</v>
      </c>
      <c r="S496" s="53" t="s">
        <v>10</v>
      </c>
      <c r="T496" s="55" t="s">
        <v>10</v>
      </c>
      <c r="U496" s="56" t="s">
        <v>10</v>
      </c>
      <c r="V496" s="53" t="s">
        <v>10</v>
      </c>
      <c r="W496" s="53" t="s">
        <v>10</v>
      </c>
      <c r="X496" s="53" t="s">
        <v>10</v>
      </c>
      <c r="Y496" s="55" t="s">
        <v>10</v>
      </c>
      <c r="Z496" s="55">
        <f>(cell_HGL)</f>
        <v>382.27</v>
      </c>
      <c r="AA496" s="55" t="s">
        <v>10</v>
      </c>
      <c r="AB496" s="55" t="s">
        <v>10</v>
      </c>
      <c r="AC496" s="57" t="s">
        <v>10</v>
      </c>
      <c r="AD496" t="s">
        <v>10</v>
      </c>
    </row>
    <row r="497" spans="1:30" x14ac:dyDescent="0.2">
      <c r="A497" s="598"/>
      <c r="B497" s="216" t="s">
        <v>10</v>
      </c>
      <c r="C497" s="217" t="s">
        <v>10</v>
      </c>
      <c r="D497" s="54" t="s">
        <v>10</v>
      </c>
      <c r="E497" s="54" t="s">
        <v>10</v>
      </c>
      <c r="F497" s="55" t="s">
        <v>10</v>
      </c>
      <c r="G497" s="54" t="s">
        <v>10</v>
      </c>
      <c r="H497" s="54" t="s">
        <v>10</v>
      </c>
      <c r="I497" s="54" t="s">
        <v>10</v>
      </c>
      <c r="J497" s="54" t="s">
        <v>10</v>
      </c>
      <c r="K497" s="56" t="s">
        <v>10</v>
      </c>
      <c r="L497" s="53" t="s">
        <v>10</v>
      </c>
      <c r="M497" s="55" t="s">
        <v>10</v>
      </c>
      <c r="N497" s="53" t="s">
        <v>10</v>
      </c>
      <c r="O497" s="53" t="s">
        <v>10</v>
      </c>
      <c r="P497" s="53" t="s">
        <v>10</v>
      </c>
      <c r="Q497" s="55" t="s">
        <v>10</v>
      </c>
      <c r="R497" s="54" t="s">
        <v>10</v>
      </c>
      <c r="S497" s="53" t="s">
        <v>10</v>
      </c>
      <c r="T497" s="55" t="s">
        <v>10</v>
      </c>
      <c r="U497" s="56" t="s">
        <v>10</v>
      </c>
      <c r="V497" s="53" t="s">
        <v>10</v>
      </c>
      <c r="W497" s="53" t="s">
        <v>10</v>
      </c>
      <c r="X497" s="53" t="s">
        <v>10</v>
      </c>
      <c r="Y497" s="55" t="s">
        <v>10</v>
      </c>
      <c r="Z497" s="55" t="s">
        <v>10</v>
      </c>
      <c r="AA497" s="55" t="s">
        <v>10</v>
      </c>
      <c r="AB497" s="55" t="s">
        <v>10</v>
      </c>
      <c r="AC497" s="57" t="s">
        <v>10</v>
      </c>
      <c r="AD497" t="s">
        <v>10</v>
      </c>
    </row>
    <row r="498" spans="1:30" x14ac:dyDescent="0.2">
      <c r="A498" s="632" t="s">
        <v>585</v>
      </c>
      <c r="B498" s="633" t="s">
        <v>10</v>
      </c>
      <c r="C498" s="634">
        <v>164</v>
      </c>
      <c r="D498" s="635">
        <f>VLOOKUP(C498,table_DI,2)</f>
        <v>8.36</v>
      </c>
      <c r="E498" s="635" t="s">
        <v>10</v>
      </c>
      <c r="F498" s="636">
        <f>VLOOKUP(C498,table_DI,5)</f>
        <v>0.5</v>
      </c>
      <c r="G498" s="635">
        <f>VLOOKUP(C498,table_DI,3)</f>
        <v>4.18</v>
      </c>
      <c r="H498" s="635" t="s">
        <v>10</v>
      </c>
      <c r="I498" s="635">
        <f>VLOOKUP(C498,table_DI,4)</f>
        <v>4.18</v>
      </c>
      <c r="J498" s="635" t="s">
        <v>10</v>
      </c>
      <c r="K498" s="637">
        <f>VLOOKUP(C498,table_DI,9)</f>
        <v>2.9310344827586311E-3</v>
      </c>
      <c r="L498" s="638">
        <f>VLOOKUP(C498,table_DI,8)</f>
        <v>1508</v>
      </c>
      <c r="M498" s="636">
        <f>(0.84*(K498^0.5)*(cell_GUTDEP^0.6666)/cell_NRD)</f>
        <v>1.5941447171550966</v>
      </c>
      <c r="N498" s="638">
        <f>VLOOKUP(C498,table_DI,10)</f>
        <v>20</v>
      </c>
      <c r="O498" s="638">
        <f>(L498/(M498*60))</f>
        <v>15.766029936219445</v>
      </c>
      <c r="P498" s="638">
        <f>N498+O498</f>
        <v>35.766029936219446</v>
      </c>
      <c r="Q498" s="636">
        <f t="shared" ref="Q498:Q530" si="33">cell_P*(P498^cell_E)</f>
        <v>0.58995712541508882</v>
      </c>
      <c r="R498" s="635">
        <f>Q498*I498</f>
        <v>2.466020784235071</v>
      </c>
      <c r="S498" s="638" t="s">
        <v>10</v>
      </c>
      <c r="T498" s="636" t="s">
        <v>10</v>
      </c>
      <c r="U498" s="637" t="s">
        <v>10</v>
      </c>
      <c r="V498" s="638" t="s">
        <v>10</v>
      </c>
      <c r="W498" s="638" t="s">
        <v>10</v>
      </c>
      <c r="X498" s="638" t="s">
        <v>10</v>
      </c>
      <c r="Y498" s="636" t="s">
        <v>10</v>
      </c>
      <c r="Z498" s="636" t="s">
        <v>10</v>
      </c>
      <c r="AA498" s="636" t="s">
        <v>10</v>
      </c>
      <c r="AB498" s="636" t="s">
        <v>10</v>
      </c>
      <c r="AC498" s="639" t="s">
        <v>10</v>
      </c>
      <c r="AD498" t="s">
        <v>10</v>
      </c>
    </row>
    <row r="499" spans="1:30" x14ac:dyDescent="0.2">
      <c r="A499" s="632" t="s">
        <v>586</v>
      </c>
      <c r="B499" s="633" t="s">
        <v>10</v>
      </c>
      <c r="C499" s="634">
        <v>165</v>
      </c>
      <c r="D499" s="635">
        <f>VLOOKUP(C499,table_DI,2)</f>
        <v>1.1399999999999999</v>
      </c>
      <c r="E499" s="635" t="s">
        <v>10</v>
      </c>
      <c r="F499" s="636">
        <f>VLOOKUP(C499,table_DI,5)</f>
        <v>0.5</v>
      </c>
      <c r="G499" s="635">
        <f>VLOOKUP(C499,table_DI,3)</f>
        <v>0.56999999999999995</v>
      </c>
      <c r="H499" s="635" t="s">
        <v>10</v>
      </c>
      <c r="I499" s="635">
        <f>VLOOKUP(C499,table_DI,4)</f>
        <v>0.56999999999999995</v>
      </c>
      <c r="J499" s="635" t="s">
        <v>10</v>
      </c>
      <c r="K499" s="637">
        <f>VLOOKUP(C499,table_DI,9)</f>
        <v>3.564356435643512E-3</v>
      </c>
      <c r="L499" s="638">
        <f>VLOOKUP(C499,table_DI,8)</f>
        <v>303</v>
      </c>
      <c r="M499" s="636">
        <f>(0.84*(K499^0.5)*(cell_GUTDEP^0.6666)/cell_NRD)</f>
        <v>1.7579553644473791</v>
      </c>
      <c r="N499" s="638">
        <f>VLOOKUP(C499,table_DI,10)</f>
        <v>20</v>
      </c>
      <c r="O499" s="638">
        <f>(L499/(M499*60))</f>
        <v>2.8726554167019418</v>
      </c>
      <c r="P499" s="638">
        <f>N499+O499</f>
        <v>22.872655416701942</v>
      </c>
      <c r="Q499" s="636">
        <f>cell_P*(P499^cell_E)</f>
        <v>0.78054829357015953</v>
      </c>
      <c r="R499" s="635">
        <f>Q499*I499</f>
        <v>0.44491252733499087</v>
      </c>
      <c r="S499" s="638" t="s">
        <v>10</v>
      </c>
      <c r="T499" s="636" t="s">
        <v>10</v>
      </c>
      <c r="U499" s="637" t="s">
        <v>10</v>
      </c>
      <c r="V499" s="638" t="s">
        <v>10</v>
      </c>
      <c r="W499" s="638" t="s">
        <v>10</v>
      </c>
      <c r="X499" s="638" t="s">
        <v>10</v>
      </c>
      <c r="Y499" s="636" t="s">
        <v>10</v>
      </c>
      <c r="Z499" s="636" t="s">
        <v>10</v>
      </c>
      <c r="AA499" s="636" t="s">
        <v>10</v>
      </c>
      <c r="AB499" s="636" t="s">
        <v>10</v>
      </c>
      <c r="AC499" s="639" t="s">
        <v>10</v>
      </c>
      <c r="AD499" t="s">
        <v>10</v>
      </c>
    </row>
    <row r="500" spans="1:30" ht="15.75" x14ac:dyDescent="0.25">
      <c r="A500" s="632"/>
      <c r="B500" s="633">
        <v>136</v>
      </c>
      <c r="C500" s="640" t="s">
        <v>10</v>
      </c>
      <c r="D500" s="635" t="s">
        <v>10</v>
      </c>
      <c r="E500" s="635">
        <f>VLOOKUP(164,table_CIA_INLETS,2,FALSE)+VLOOKUP(165,table_CIA_INLETS,2,FALSE)</f>
        <v>9.5</v>
      </c>
      <c r="F500" s="636" t="s">
        <v>10</v>
      </c>
      <c r="G500" s="635" t="s">
        <v>10</v>
      </c>
      <c r="H500" s="635">
        <f>VLOOKUP(164,table_CIA_INLETS,5,FALSE)+VLOOKUP(165,table_CIA_INLETS,5,FALSE)</f>
        <v>4.75</v>
      </c>
      <c r="I500" s="635" t="s">
        <v>10</v>
      </c>
      <c r="J500" s="635">
        <f>VLOOKUP(164,table_CIA_INLETS,7,FALSE)+VLOOKUP(165,table_CIA_INLETS,7,FALSE)</f>
        <v>4.75</v>
      </c>
      <c r="K500" s="637" t="s">
        <v>10</v>
      </c>
      <c r="L500" s="638" t="s">
        <v>10</v>
      </c>
      <c r="M500" s="636" t="s">
        <v>10</v>
      </c>
      <c r="N500" s="638" t="s">
        <v>10</v>
      </c>
      <c r="O500" s="638" t="s">
        <v>10</v>
      </c>
      <c r="P500" s="638">
        <f>VLOOKUP(164,table_CIA_INLETS,14,FALSE)</f>
        <v>35.766029936219446</v>
      </c>
      <c r="Q500" s="636">
        <f t="shared" si="33"/>
        <v>0.58995712541508882</v>
      </c>
      <c r="R500" s="635">
        <f>J500*Q500</f>
        <v>2.8022963457216719</v>
      </c>
      <c r="S500" s="646">
        <v>18</v>
      </c>
      <c r="T500" s="636">
        <f>(4*R500)/(3.14159*(S500/12)^2)</f>
        <v>1.5857766831992275</v>
      </c>
      <c r="U500" s="637">
        <f>((R500/((0.463135/cell_NP)*((S500/12)^(8/3))))^2)*cell_FF</f>
        <v>8.1854786271708157E-4</v>
      </c>
      <c r="V500" s="646">
        <v>526</v>
      </c>
      <c r="W500" s="638">
        <f>V500/(T500*60)</f>
        <v>5.5283109907886541</v>
      </c>
      <c r="X500" s="638">
        <f>W500+P500</f>
        <v>41.294340927008101</v>
      </c>
      <c r="Y500" s="636">
        <f>U500*V500</f>
        <v>0.43055617578918493</v>
      </c>
      <c r="Z500" s="636">
        <f>IF(VLOOKUP(136.6,table_CIA_JCTS,25,FALSE)+VLOOKUP(136,table_CIA_JCTS,24,FALSE)&lt;VLOOKUP(136,table_CIA_JCTS,28,FALSE),VLOOKUP(136,table_CIA_JCTS,28,FALSE),VLOOKUP(136.6,table_CIA_JCTS,25,FALSE)+VLOOKUP(136,table_CIA_JCTS,24,FALSE))</f>
        <v>390.65740010071983</v>
      </c>
      <c r="AA500" s="636">
        <v>395.95</v>
      </c>
      <c r="AB500" s="636">
        <f>(AA500-0.5)-Z500</f>
        <v>4.7925998992801624</v>
      </c>
      <c r="AC500" s="639" t="s">
        <v>10</v>
      </c>
      <c r="AD500" t="s">
        <v>10</v>
      </c>
    </row>
    <row r="501" spans="1:30" x14ac:dyDescent="0.2">
      <c r="A501" s="632"/>
      <c r="B501" s="633" t="s">
        <v>10</v>
      </c>
      <c r="C501" s="640" t="s">
        <v>10</v>
      </c>
      <c r="D501" s="635" t="s">
        <v>10</v>
      </c>
      <c r="E501" s="635" t="s">
        <v>10</v>
      </c>
      <c r="F501" s="636" t="s">
        <v>10</v>
      </c>
      <c r="G501" s="635" t="s">
        <v>10</v>
      </c>
      <c r="H501" s="635" t="s">
        <v>10</v>
      </c>
      <c r="I501" s="635" t="s">
        <v>10</v>
      </c>
      <c r="J501" s="635" t="s">
        <v>10</v>
      </c>
      <c r="K501" s="637" t="s">
        <v>10</v>
      </c>
      <c r="L501" s="638" t="s">
        <v>10</v>
      </c>
      <c r="M501" s="636" t="s">
        <v>10</v>
      </c>
      <c r="N501" s="638" t="s">
        <v>10</v>
      </c>
      <c r="O501" s="638" t="s">
        <v>10</v>
      </c>
      <c r="P501" s="638" t="s">
        <v>10</v>
      </c>
      <c r="Q501" s="636" t="s">
        <v>10</v>
      </c>
      <c r="R501" s="635" t="s">
        <v>10</v>
      </c>
      <c r="S501" s="638" t="s">
        <v>10</v>
      </c>
      <c r="T501" s="636" t="s">
        <v>10</v>
      </c>
      <c r="U501" s="637" t="s">
        <v>10</v>
      </c>
      <c r="V501" s="638" t="s">
        <v>10</v>
      </c>
      <c r="W501" s="638" t="s">
        <v>10</v>
      </c>
      <c r="X501" s="638" t="s">
        <v>10</v>
      </c>
      <c r="Y501" s="636" t="s">
        <v>10</v>
      </c>
      <c r="Z501" s="636" t="s">
        <v>10</v>
      </c>
      <c r="AA501" s="636" t="s">
        <v>10</v>
      </c>
      <c r="AB501" s="636" t="s">
        <v>10</v>
      </c>
      <c r="AC501" s="639" t="s">
        <v>10</v>
      </c>
      <c r="AD501" t="s">
        <v>10</v>
      </c>
    </row>
    <row r="502" spans="1:30" x14ac:dyDescent="0.2">
      <c r="A502" s="632"/>
      <c r="B502" s="633" t="s">
        <v>10</v>
      </c>
      <c r="C502" s="634">
        <v>165.1</v>
      </c>
      <c r="D502" s="635">
        <f>VLOOKUP(C502,table_DI,2)</f>
        <v>5.47</v>
      </c>
      <c r="E502" s="635" t="s">
        <v>10</v>
      </c>
      <c r="F502" s="636">
        <f>VLOOKUP(C502,table_DI,5)</f>
        <v>0.50091407678244981</v>
      </c>
      <c r="G502" s="635">
        <f>VLOOKUP(C502,table_DI,3)</f>
        <v>2.74</v>
      </c>
      <c r="H502" s="635" t="s">
        <v>10</v>
      </c>
      <c r="I502" s="635">
        <f>VLOOKUP(C502,table_DI,4)</f>
        <v>2.74</v>
      </c>
      <c r="J502" s="635" t="s">
        <v>10</v>
      </c>
      <c r="K502" s="637">
        <f>VLOOKUP(C502,table_DI,9)</f>
        <v>2.7375565610859263E-3</v>
      </c>
      <c r="L502" s="638">
        <f>VLOOKUP(C502,table_DI,8)</f>
        <v>884</v>
      </c>
      <c r="M502" s="636">
        <f>(0.84*(K502^0.5)*(cell_GUTDEP^0.6666)/cell_NRD)</f>
        <v>1.5406317043249138</v>
      </c>
      <c r="N502" s="638">
        <f>VLOOKUP(C502,table_DI,10)</f>
        <v>20</v>
      </c>
      <c r="O502" s="638">
        <f>(L502/(M502*60))</f>
        <v>9.5631767748082925</v>
      </c>
      <c r="P502" s="638">
        <f>N502+O502</f>
        <v>29.563176774808291</v>
      </c>
      <c r="Q502" s="636">
        <f t="shared" ref="Q502:Q511" si="34">cell_P*(P502^cell_E)</f>
        <v>0.66469052269924089</v>
      </c>
      <c r="R502" s="635">
        <f>Q502*I502</f>
        <v>1.8212520321959202</v>
      </c>
      <c r="S502" s="638" t="s">
        <v>10</v>
      </c>
      <c r="T502" s="636" t="s">
        <v>10</v>
      </c>
      <c r="U502" s="637" t="s">
        <v>10</v>
      </c>
      <c r="V502" s="638" t="s">
        <v>10</v>
      </c>
      <c r="W502" s="638" t="s">
        <v>10</v>
      </c>
      <c r="X502" s="638" t="s">
        <v>10</v>
      </c>
      <c r="Y502" s="636" t="s">
        <v>10</v>
      </c>
      <c r="Z502" s="636" t="s">
        <v>10</v>
      </c>
      <c r="AA502" s="636" t="s">
        <v>10</v>
      </c>
      <c r="AB502" s="636" t="s">
        <v>10</v>
      </c>
      <c r="AC502" s="639" t="s">
        <v>10</v>
      </c>
      <c r="AD502" t="s">
        <v>10</v>
      </c>
    </row>
    <row r="503" spans="1:30" ht="15.75" x14ac:dyDescent="0.25">
      <c r="A503" s="641"/>
      <c r="B503" s="633">
        <v>136.1</v>
      </c>
      <c r="C503" s="640" t="s">
        <v>10</v>
      </c>
      <c r="D503" s="635" t="s">
        <v>10</v>
      </c>
      <c r="E503" s="635">
        <f>VLOOKUP(165.1,table_CIA_INLETS,2,FALSE)</f>
        <v>5.47</v>
      </c>
      <c r="F503" s="636" t="s">
        <v>10</v>
      </c>
      <c r="G503" s="635" t="s">
        <v>10</v>
      </c>
      <c r="H503" s="635">
        <f>VLOOKUP(165.1,table_CIA_INLETS,5,FALSE)</f>
        <v>2.74</v>
      </c>
      <c r="I503" s="635" t="s">
        <v>10</v>
      </c>
      <c r="J503" s="635">
        <f>VLOOKUP(165.1,table_CIA_INLETS,7,FALSE)</f>
        <v>2.74</v>
      </c>
      <c r="K503" s="637" t="s">
        <v>10</v>
      </c>
      <c r="L503" s="638" t="s">
        <v>10</v>
      </c>
      <c r="M503" s="636" t="s">
        <v>10</v>
      </c>
      <c r="N503" s="638" t="s">
        <v>10</v>
      </c>
      <c r="O503" s="638" t="s">
        <v>10</v>
      </c>
      <c r="P503" s="638">
        <f>VLOOKUP(165.1,table_CIA_INLETS,14,FALSE)</f>
        <v>29.563176774808291</v>
      </c>
      <c r="Q503" s="636">
        <f t="shared" si="34"/>
        <v>0.66469052269924089</v>
      </c>
      <c r="R503" s="635">
        <f>J503*Q503</f>
        <v>1.8212520321959202</v>
      </c>
      <c r="S503" s="646">
        <v>18</v>
      </c>
      <c r="T503" s="636">
        <f>(4*R503)/(3.14159*(S503/12)^2)</f>
        <v>1.0306186964468709</v>
      </c>
      <c r="U503" s="637">
        <f>((R503/((0.463135/cell_NP)*((S503/12)^(8/3))))^2)*cell_FF</f>
        <v>3.4574511815645679E-4</v>
      </c>
      <c r="V503" s="646">
        <v>158</v>
      </c>
      <c r="W503" s="638">
        <f>V503/(T503*60)</f>
        <v>2.5550995168357917</v>
      </c>
      <c r="X503" s="638">
        <f>W503+P503</f>
        <v>32.118276291644079</v>
      </c>
      <c r="Y503" s="636">
        <f>U503*V503</f>
        <v>5.462772866872017E-2</v>
      </c>
      <c r="Z503" s="636">
        <f>IF(VLOOKUP(136.2,table_CIA_JCTS,25,FALSE)+VLOOKUP(136.1,table_CIA_JCTS,24,FALSE)&lt;VLOOKUP(136.1,table_CIA_JCTS,28,FALSE),VLOOKUP(136.1,table_CIA_JCTS,28,FALSE),VLOOKUP(136.2,table_CIA_JCTS,25,FALSE)+VLOOKUP(136.1,table_CIA_JCTS,24,FALSE))</f>
        <v>390.67121117224866</v>
      </c>
      <c r="AA503" s="636">
        <v>398.06</v>
      </c>
      <c r="AB503" s="636">
        <f>(AA503-0.5)-Z503</f>
        <v>6.8887888277513412</v>
      </c>
      <c r="AC503" s="639" t="s">
        <v>10</v>
      </c>
      <c r="AD503" t="s">
        <v>10</v>
      </c>
    </row>
    <row r="504" spans="1:30" x14ac:dyDescent="0.2">
      <c r="A504" s="632"/>
      <c r="B504" s="633" t="s">
        <v>10</v>
      </c>
      <c r="C504" s="634">
        <v>165.2</v>
      </c>
      <c r="D504" s="635">
        <f>VLOOKUP(C504,table_DI,2)</f>
        <v>1.54</v>
      </c>
      <c r="E504" s="635" t="s">
        <v>10</v>
      </c>
      <c r="F504" s="636">
        <f>VLOOKUP(C504,table_DI,5)</f>
        <v>0.55844155844155852</v>
      </c>
      <c r="G504" s="635">
        <f>VLOOKUP(C504,table_DI,3)</f>
        <v>0.8600000000000001</v>
      </c>
      <c r="H504" s="635" t="s">
        <v>10</v>
      </c>
      <c r="I504" s="635">
        <f>VLOOKUP(C504,table_DI,4)</f>
        <v>0.8600000000000001</v>
      </c>
      <c r="J504" s="635" t="s">
        <v>10</v>
      </c>
      <c r="K504" s="637">
        <f>VLOOKUP(C504,table_DI,9)</f>
        <v>4.1935483870967584E-3</v>
      </c>
      <c r="L504" s="638">
        <f>VLOOKUP(C504,table_DI,8)</f>
        <v>434</v>
      </c>
      <c r="M504" s="636">
        <f>(0.84*(K504^0.5)*(cell_GUTDEP^0.6666)/cell_NRD)</f>
        <v>1.9068130240819208</v>
      </c>
      <c r="N504" s="638">
        <f>VLOOKUP(C504,table_DI,10)</f>
        <v>20</v>
      </c>
      <c r="O504" s="638">
        <f>(L504/(M504*60))</f>
        <v>3.7934151078163465</v>
      </c>
      <c r="P504" s="638">
        <f>N504+O504</f>
        <v>23.793415107816347</v>
      </c>
      <c r="Q504" s="636">
        <f t="shared" si="34"/>
        <v>0.76149418094433419</v>
      </c>
      <c r="R504" s="635">
        <f>Q504*I504</f>
        <v>0.65488499561212743</v>
      </c>
      <c r="S504" s="638" t="s">
        <v>10</v>
      </c>
      <c r="T504" s="636" t="s">
        <v>10</v>
      </c>
      <c r="U504" s="637" t="s">
        <v>10</v>
      </c>
      <c r="V504" s="638" t="s">
        <v>10</v>
      </c>
      <c r="W504" s="638" t="s">
        <v>10</v>
      </c>
      <c r="X504" s="638" t="s">
        <v>10</v>
      </c>
      <c r="Y504" s="636" t="s">
        <v>10</v>
      </c>
      <c r="Z504" s="636" t="s">
        <v>10</v>
      </c>
      <c r="AA504" s="636" t="s">
        <v>10</v>
      </c>
      <c r="AB504" s="636" t="s">
        <v>10</v>
      </c>
      <c r="AC504" s="639" t="s">
        <v>10</v>
      </c>
      <c r="AD504" t="s">
        <v>10</v>
      </c>
    </row>
    <row r="505" spans="1:30" ht="15.75" x14ac:dyDescent="0.25">
      <c r="A505" s="641"/>
      <c r="B505" s="633">
        <v>136.19999999999999</v>
      </c>
      <c r="C505" s="640" t="s">
        <v>10</v>
      </c>
      <c r="D505" s="635" t="s">
        <v>10</v>
      </c>
      <c r="E505" s="635">
        <f>VLOOKUP(136.1,table_CIA_JCTS,4,FALSE)+VLOOKUP(165.2,table_CIA_INLETS,2,FALSE)</f>
        <v>7.01</v>
      </c>
      <c r="F505" s="636" t="s">
        <v>10</v>
      </c>
      <c r="G505" s="635" t="s">
        <v>10</v>
      </c>
      <c r="H505" s="635">
        <f>VLOOKUP(136.1,table_CIA_JCTS,7,FALSE)+VLOOKUP(165.2,table_CIA_INLETS,5,FALSE)</f>
        <v>3.6000000000000005</v>
      </c>
      <c r="I505" s="635" t="s">
        <v>10</v>
      </c>
      <c r="J505" s="635">
        <f>VLOOKUP(136.1,table_CIA_JCTS,9,FALSE)+VLOOKUP(165.2,table_CIA_INLETS,7,FALSE)</f>
        <v>3.6000000000000005</v>
      </c>
      <c r="K505" s="637" t="s">
        <v>10</v>
      </c>
      <c r="L505" s="638" t="s">
        <v>10</v>
      </c>
      <c r="M505" s="636" t="s">
        <v>10</v>
      </c>
      <c r="N505" s="638" t="s">
        <v>10</v>
      </c>
      <c r="O505" s="638" t="s">
        <v>10</v>
      </c>
      <c r="P505" s="638">
        <f>VLOOKUP(136.1,table_CIA_JCTS,23,FALSE)</f>
        <v>32.118276291644079</v>
      </c>
      <c r="Q505" s="636">
        <f t="shared" si="34"/>
        <v>0.63106715812918612</v>
      </c>
      <c r="R505" s="635">
        <f>J505*Q505</f>
        <v>2.2718417692650705</v>
      </c>
      <c r="S505" s="646">
        <v>18</v>
      </c>
      <c r="T505" s="636">
        <f>(4*R505)/(3.14159*(S505/12)^2)</f>
        <v>1.2856005436822731</v>
      </c>
      <c r="U505" s="637">
        <f>((R505/((0.463135/cell_NP)*((S505/12)^(8/3))))^2)*cell_FF</f>
        <v>5.3798741700106451E-4</v>
      </c>
      <c r="V505" s="646">
        <v>21</v>
      </c>
      <c r="W505" s="638">
        <f>V505/(T505*60)</f>
        <v>0.27224630677077555</v>
      </c>
      <c r="X505" s="638">
        <f>W505+P505</f>
        <v>32.390522598414854</v>
      </c>
      <c r="Y505" s="636">
        <f>U505*V505</f>
        <v>1.1297735757022354E-2</v>
      </c>
      <c r="Z505" s="636">
        <f>IF(VLOOKUP(136.3,table_CIA_JCTS,25,FALSE)+VLOOKUP(136.2,table_CIA_JCTS,24,FALSE)&lt;VLOOKUP(136.2,table_CIA_JCTS,28,FALSE),VLOOKUP(136.2,table_CIA_JCTS,28,FALSE),VLOOKUP(136.3,table_CIA_JCTS,25,FALSE)+VLOOKUP(136.2,table_CIA_JCTS,24,FALSE))</f>
        <v>390.61658344357994</v>
      </c>
      <c r="AA505" s="636">
        <v>397.76</v>
      </c>
      <c r="AB505" s="636">
        <f>(AA505-0.5)-Z505</f>
        <v>6.6434165564200498</v>
      </c>
      <c r="AC505" s="639" t="s">
        <v>10</v>
      </c>
      <c r="AD505" t="s">
        <v>10</v>
      </c>
    </row>
    <row r="506" spans="1:30" x14ac:dyDescent="0.2">
      <c r="A506" s="632"/>
      <c r="B506" s="633" t="s">
        <v>10</v>
      </c>
      <c r="C506" s="634">
        <v>165.3</v>
      </c>
      <c r="D506" s="635">
        <f>VLOOKUP(C506,table_DI,2)</f>
        <v>3.6</v>
      </c>
      <c r="E506" s="635" t="s">
        <v>10</v>
      </c>
      <c r="F506" s="636">
        <f>VLOOKUP(C506,table_DI,5)</f>
        <v>0.50555555555555554</v>
      </c>
      <c r="G506" s="635">
        <f>VLOOKUP(C506,table_DI,3)</f>
        <v>1.82</v>
      </c>
      <c r="H506" s="635" t="s">
        <v>10</v>
      </c>
      <c r="I506" s="635">
        <f>VLOOKUP(C506,table_DI,4)</f>
        <v>1.82</v>
      </c>
      <c r="J506" s="635" t="s">
        <v>10</v>
      </c>
      <c r="K506" s="637">
        <f>VLOOKUP(C506,table_DI,9)</f>
        <v>2.8393665158370938E-3</v>
      </c>
      <c r="L506" s="638">
        <f>VLOOKUP(C506,table_DI,8)</f>
        <v>884</v>
      </c>
      <c r="M506" s="636">
        <f>(0.84*(K506^0.5)*(cell_GUTDEP^0.6666)/cell_NRD)</f>
        <v>1.5690182988323853</v>
      </c>
      <c r="N506" s="638">
        <f>VLOOKUP(C506,table_DI,10)</f>
        <v>20</v>
      </c>
      <c r="O506" s="638">
        <f>(L506/(M506*60))</f>
        <v>9.3901602959617634</v>
      </c>
      <c r="P506" s="638">
        <f>N506+O506</f>
        <v>29.390160295961763</v>
      </c>
      <c r="Q506" s="636">
        <f t="shared" si="34"/>
        <v>0.66713812723885335</v>
      </c>
      <c r="R506" s="635">
        <f>Q506*I506</f>
        <v>1.2141913915747131</v>
      </c>
      <c r="S506" s="638" t="s">
        <v>10</v>
      </c>
      <c r="T506" s="636" t="s">
        <v>10</v>
      </c>
      <c r="U506" s="637" t="s">
        <v>10</v>
      </c>
      <c r="V506" s="638" t="s">
        <v>10</v>
      </c>
      <c r="W506" s="638" t="s">
        <v>10</v>
      </c>
      <c r="X506" s="638" t="s">
        <v>10</v>
      </c>
      <c r="Y506" s="636" t="s">
        <v>10</v>
      </c>
      <c r="Z506" s="636" t="s">
        <v>10</v>
      </c>
      <c r="AA506" s="636" t="s">
        <v>10</v>
      </c>
      <c r="AB506" s="636" t="s">
        <v>10</v>
      </c>
      <c r="AC506" s="639" t="s">
        <v>10</v>
      </c>
      <c r="AD506" t="s">
        <v>10</v>
      </c>
    </row>
    <row r="507" spans="1:30" ht="15.75" x14ac:dyDescent="0.25">
      <c r="A507" s="641"/>
      <c r="B507" s="633">
        <v>136.30000000000001</v>
      </c>
      <c r="C507" s="640" t="s">
        <v>10</v>
      </c>
      <c r="D507" s="635" t="s">
        <v>10</v>
      </c>
      <c r="E507" s="635">
        <f>VLOOKUP(136.2,table_CIA_JCTS,4,FALSE)+VLOOKUP(165.3,table_CIA_INLETS,2,FALSE)</f>
        <v>10.61</v>
      </c>
      <c r="F507" s="636" t="s">
        <v>10</v>
      </c>
      <c r="G507" s="635" t="s">
        <v>10</v>
      </c>
      <c r="H507" s="635">
        <f>VLOOKUP(136.2,table_CIA_JCTS,7,FALSE)+VLOOKUP(165.3,table_CIA_INLETS,5,FALSE)</f>
        <v>5.4200000000000008</v>
      </c>
      <c r="I507" s="635" t="s">
        <v>10</v>
      </c>
      <c r="J507" s="635">
        <f>VLOOKUP(136.2,table_CIA_JCTS,9,FALSE)+VLOOKUP(165.3,table_CIA_INLETS,7,FALSE)</f>
        <v>5.4200000000000008</v>
      </c>
      <c r="K507" s="637" t="s">
        <v>10</v>
      </c>
      <c r="L507" s="638" t="s">
        <v>10</v>
      </c>
      <c r="M507" s="636" t="s">
        <v>10</v>
      </c>
      <c r="N507" s="638" t="s">
        <v>10</v>
      </c>
      <c r="O507" s="638" t="s">
        <v>10</v>
      </c>
      <c r="P507" s="638">
        <f>VLOOKUP(136.2,table_CIA_JCTS,23,FALSE)</f>
        <v>32.390522598414854</v>
      </c>
      <c r="Q507" s="636">
        <f t="shared" si="34"/>
        <v>0.62774043218764364</v>
      </c>
      <c r="R507" s="635">
        <f>J507*Q507</f>
        <v>3.402353142457029</v>
      </c>
      <c r="S507" s="646">
        <v>18</v>
      </c>
      <c r="T507" s="636">
        <f>(4*R507)/(3.14159*(S507/12)^2)</f>
        <v>1.9253396556560518</v>
      </c>
      <c r="U507" s="637">
        <f>((R507/((0.463135/cell_NP)*((S507/12)^(8/3))))^2)*cell_FF</f>
        <v>1.2066317123578471E-3</v>
      </c>
      <c r="V507" s="646">
        <v>23</v>
      </c>
      <c r="W507" s="638">
        <f>V507/(T507*60)</f>
        <v>0.19909906919915077</v>
      </c>
      <c r="X507" s="638">
        <f>W507+P507</f>
        <v>32.589621667614004</v>
      </c>
      <c r="Y507" s="636">
        <f>U507*V507</f>
        <v>2.7752529384230482E-2</v>
      </c>
      <c r="Z507" s="636">
        <f>IF(VLOOKUP(136.4,table_CIA_JCTS,25,FALSE)+VLOOKUP(136.3,table_CIA_JCTS,24,FALSE)&lt;VLOOKUP(136.3,table_CIA_JCTS,28,FALSE),VLOOKUP(136.3,table_CIA_JCTS,28,FALSE),VLOOKUP(136.4,table_CIA_JCTS,25,FALSE)+VLOOKUP(136.3,table_CIA_JCTS,24,FALSE))</f>
        <v>390.60528570782293</v>
      </c>
      <c r="AA507" s="636">
        <v>397.76</v>
      </c>
      <c r="AB507" s="636">
        <f>(AA507-0.5)-Z507</f>
        <v>6.6547142921770615</v>
      </c>
      <c r="AC507" s="639" t="s">
        <v>10</v>
      </c>
      <c r="AD507" t="s">
        <v>10</v>
      </c>
    </row>
    <row r="508" spans="1:30" x14ac:dyDescent="0.2">
      <c r="A508" s="641"/>
      <c r="B508" s="633" t="s">
        <v>10</v>
      </c>
      <c r="C508" s="634">
        <v>165.4</v>
      </c>
      <c r="D508" s="635">
        <f>VLOOKUP(C508,table_DI,2)</f>
        <v>7.98</v>
      </c>
      <c r="E508" s="635" t="s">
        <v>10</v>
      </c>
      <c r="F508" s="636">
        <f>VLOOKUP(C508,table_DI,5)</f>
        <v>0.5</v>
      </c>
      <c r="G508" s="635">
        <f>VLOOKUP(C508,table_DI,3)</f>
        <v>3.99</v>
      </c>
      <c r="H508" s="635" t="s">
        <v>10</v>
      </c>
      <c r="I508" s="635">
        <f>VLOOKUP(C508,table_DI,4)</f>
        <v>3.99</v>
      </c>
      <c r="J508" s="635" t="s">
        <v>10</v>
      </c>
      <c r="K508" s="637">
        <f>VLOOKUP(C508,table_DI,9)</f>
        <v>2.0863309352517822E-3</v>
      </c>
      <c r="L508" s="638">
        <f>VLOOKUP(C508,table_DI,8)</f>
        <v>1390</v>
      </c>
      <c r="M508" s="636">
        <f>(0.84*(K508^0.5)*(cell_GUTDEP^0.6666)/cell_NRD)</f>
        <v>1.3449584852596073</v>
      </c>
      <c r="N508" s="638">
        <f>VLOOKUP(C508,table_DI,10)</f>
        <v>20</v>
      </c>
      <c r="O508" s="638">
        <f>(L508/(M508*60))</f>
        <v>17.224819145399106</v>
      </c>
      <c r="P508" s="638">
        <f>N508+O508</f>
        <v>37.22481914539911</v>
      </c>
      <c r="Q508" s="636">
        <f>cell_P*(P508^cell_E)</f>
        <v>0.57537164252079442</v>
      </c>
      <c r="R508" s="635">
        <f>Q508*I508</f>
        <v>2.2957328536579698</v>
      </c>
      <c r="S508" s="638" t="s">
        <v>10</v>
      </c>
      <c r="T508" s="636" t="s">
        <v>10</v>
      </c>
      <c r="U508" s="637" t="s">
        <v>10</v>
      </c>
      <c r="V508" s="638" t="s">
        <v>10</v>
      </c>
      <c r="W508" s="638" t="s">
        <v>10</v>
      </c>
      <c r="X508" s="638" t="s">
        <v>10</v>
      </c>
      <c r="Y508" s="636" t="s">
        <v>10</v>
      </c>
      <c r="Z508" s="636" t="s">
        <v>10</v>
      </c>
      <c r="AA508" s="636" t="s">
        <v>10</v>
      </c>
      <c r="AB508" s="636" t="s">
        <v>10</v>
      </c>
      <c r="AC508" s="639" t="s">
        <v>10</v>
      </c>
      <c r="AD508" t="s">
        <v>10</v>
      </c>
    </row>
    <row r="509" spans="1:30" ht="15.75" x14ac:dyDescent="0.25">
      <c r="A509" s="641"/>
      <c r="B509" s="633">
        <v>136.4</v>
      </c>
      <c r="C509" s="640" t="s">
        <v>10</v>
      </c>
      <c r="D509" s="635" t="s">
        <v>10</v>
      </c>
      <c r="E509" s="635">
        <f>VLOOKUP(136.3,table_CIA_JCTS,4,FALSE)+VLOOKUP(165.4,table_CIA_INLETS,2,FALSE)</f>
        <v>18.59</v>
      </c>
      <c r="F509" s="636" t="s">
        <v>10</v>
      </c>
      <c r="G509" s="635" t="s">
        <v>10</v>
      </c>
      <c r="H509" s="635">
        <f>VLOOKUP(136.3,table_CIA_JCTS,7,FALSE)+VLOOKUP(165.4,table_CIA_INLETS,5,FALSE)</f>
        <v>9.41</v>
      </c>
      <c r="I509" s="635" t="s">
        <v>10</v>
      </c>
      <c r="J509" s="635">
        <f>VLOOKUP(136.3,table_CIA_JCTS,9,FALSE)+VLOOKUP(165.4,table_CIA_INLETS,7,FALSE)</f>
        <v>9.41</v>
      </c>
      <c r="K509" s="637" t="s">
        <v>10</v>
      </c>
      <c r="L509" s="638" t="s">
        <v>10</v>
      </c>
      <c r="M509" s="636" t="s">
        <v>10</v>
      </c>
      <c r="N509" s="638" t="s">
        <v>10</v>
      </c>
      <c r="O509" s="638" t="s">
        <v>10</v>
      </c>
      <c r="P509" s="638">
        <f>VLOOKUP(136.3,table_CIA_JCTS,23,FALSE)</f>
        <v>32.589621667614004</v>
      </c>
      <c r="Q509" s="636">
        <f t="shared" si="34"/>
        <v>0.62533617971125988</v>
      </c>
      <c r="R509" s="635">
        <f>J509*Q509</f>
        <v>5.8844134510829553</v>
      </c>
      <c r="S509" s="646">
        <v>24</v>
      </c>
      <c r="T509" s="636">
        <f>(4*R509)/(3.14159*(S509/12)^2)</f>
        <v>1.8730685579859101</v>
      </c>
      <c r="U509" s="637">
        <f>((R509/((0.463135/cell_NP)*((S509/12)^(8/3))))^2)*cell_FF</f>
        <v>7.7818416360884621E-4</v>
      </c>
      <c r="V509" s="646">
        <v>17</v>
      </c>
      <c r="W509" s="638">
        <f>V509/(T509*60)</f>
        <v>0.15126693154146933</v>
      </c>
      <c r="X509" s="638">
        <f>W509+P509</f>
        <v>32.740888599155475</v>
      </c>
      <c r="Y509" s="636">
        <f>U509*V509</f>
        <v>1.3229130781350386E-2</v>
      </c>
      <c r="Z509" s="636">
        <f>IF(VLOOKUP(136.5,table_CIA_JCTS,25,FALSE)+VLOOKUP(136.4,table_CIA_JCTS,24,FALSE)&lt;VLOOKUP(136.4,table_CIA_JCTS,28,FALSE),VLOOKUP(136.4,table_CIA_JCTS,28,FALSE),VLOOKUP(136.5,table_CIA_JCTS,25,FALSE)+VLOOKUP(136.4,table_CIA_JCTS,24,FALSE))</f>
        <v>390.57753317843867</v>
      </c>
      <c r="AA509" s="636">
        <v>397.58</v>
      </c>
      <c r="AB509" s="636">
        <f>(AA509-0.5)-Z509</f>
        <v>6.5024668215613133</v>
      </c>
      <c r="AC509" s="639" t="s">
        <v>10</v>
      </c>
      <c r="AD509" t="s">
        <v>10</v>
      </c>
    </row>
    <row r="510" spans="1:30" x14ac:dyDescent="0.2">
      <c r="A510" s="641"/>
      <c r="B510" s="633" t="s">
        <v>10</v>
      </c>
      <c r="C510" s="634">
        <v>165.5</v>
      </c>
      <c r="D510" s="635">
        <f>VLOOKUP(C510,table_DI,2)</f>
        <v>1.17</v>
      </c>
      <c r="E510" s="635" t="s">
        <v>10</v>
      </c>
      <c r="F510" s="636">
        <f>VLOOKUP(C510,table_DI,5)</f>
        <v>0.89743589743589758</v>
      </c>
      <c r="G510" s="635">
        <f>VLOOKUP(C510,table_DI,3)</f>
        <v>1.05</v>
      </c>
      <c r="H510" s="635" t="s">
        <v>10</v>
      </c>
      <c r="I510" s="635">
        <f>VLOOKUP(C510,table_DI,4)</f>
        <v>1.05</v>
      </c>
      <c r="J510" s="635" t="s">
        <v>10</v>
      </c>
      <c r="K510" s="637">
        <f>VLOOKUP(C510,table_DI,9)</f>
        <v>2.4223602484472377E-3</v>
      </c>
      <c r="L510" s="638">
        <f>VLOOKUP(C510,table_DI,8)</f>
        <v>966</v>
      </c>
      <c r="M510" s="636">
        <f>(0.84*(K510^0.5)*(cell_GUTDEP^0.6666)/cell_NRD)</f>
        <v>1.4492277650618033</v>
      </c>
      <c r="N510" s="638">
        <f>VLOOKUP(C510,table_DI,10)</f>
        <v>5</v>
      </c>
      <c r="O510" s="638">
        <f>(L510/(M510*60))</f>
        <v>11.10936485495322</v>
      </c>
      <c r="P510" s="638">
        <f>N510+O510</f>
        <v>16.10936485495322</v>
      </c>
      <c r="Q510" s="636">
        <f t="shared" si="34"/>
        <v>0.97214561221709428</v>
      </c>
      <c r="R510" s="635">
        <f>Q510*I510</f>
        <v>1.020752892827949</v>
      </c>
      <c r="S510" s="638" t="s">
        <v>10</v>
      </c>
      <c r="T510" s="636" t="s">
        <v>10</v>
      </c>
      <c r="U510" s="637" t="s">
        <v>10</v>
      </c>
      <c r="V510" s="638" t="s">
        <v>10</v>
      </c>
      <c r="W510" s="638" t="s">
        <v>10</v>
      </c>
      <c r="X510" s="638" t="s">
        <v>10</v>
      </c>
      <c r="Y510" s="636" t="s">
        <v>10</v>
      </c>
      <c r="Z510" s="636" t="s">
        <v>10</v>
      </c>
      <c r="AA510" s="636" t="s">
        <v>10</v>
      </c>
      <c r="AB510" s="636" t="s">
        <v>10</v>
      </c>
      <c r="AC510" s="639" t="s">
        <v>10</v>
      </c>
      <c r="AD510" t="s">
        <v>10</v>
      </c>
    </row>
    <row r="511" spans="1:30" ht="15.75" x14ac:dyDescent="0.25">
      <c r="A511" s="641"/>
      <c r="B511" s="633">
        <v>136.5</v>
      </c>
      <c r="C511" s="640" t="s">
        <v>10</v>
      </c>
      <c r="D511" s="635" t="s">
        <v>10</v>
      </c>
      <c r="E511" s="635">
        <f>VLOOKUP(136.4,table_CIA_JCTS,4,FALSE)+VLOOKUP(165.5,table_CIA_INLETS,2,FALSE)</f>
        <v>19.759999999999998</v>
      </c>
      <c r="F511" s="636" t="s">
        <v>10</v>
      </c>
      <c r="G511" s="635" t="s">
        <v>10</v>
      </c>
      <c r="H511" s="635">
        <f>VLOOKUP(136.4,table_CIA_JCTS,7,FALSE)+VLOOKUP(165.5,table_CIA_INLETS,5,FALSE)</f>
        <v>10.46</v>
      </c>
      <c r="I511" s="635" t="s">
        <v>10</v>
      </c>
      <c r="J511" s="635">
        <f>VLOOKUP(136.4,table_CIA_JCTS,9,FALSE)+VLOOKUP(165.5,table_CIA_INLETS,7,FALSE)</f>
        <v>10.46</v>
      </c>
      <c r="K511" s="637" t="s">
        <v>10</v>
      </c>
      <c r="L511" s="638" t="s">
        <v>10</v>
      </c>
      <c r="M511" s="636" t="s">
        <v>10</v>
      </c>
      <c r="N511" s="638" t="s">
        <v>10</v>
      </c>
      <c r="O511" s="638" t="s">
        <v>10</v>
      </c>
      <c r="P511" s="638">
        <f>VLOOKUP(136.4,table_CIA_JCTS,23,FALSE)</f>
        <v>32.740888599155475</v>
      </c>
      <c r="Q511" s="636">
        <f t="shared" si="34"/>
        <v>0.62352544093733175</v>
      </c>
      <c r="R511" s="635">
        <f>J511*Q511</f>
        <v>6.5220761122044904</v>
      </c>
      <c r="S511" s="646">
        <v>24</v>
      </c>
      <c r="T511" s="636">
        <f>(4*R511)/(3.14159*(S511/12)^2)</f>
        <v>2.0760430585163854</v>
      </c>
      <c r="U511" s="637">
        <f>((R511/((0.463135/cell_NP)*((S511/12)^(8/3))))^2)*cell_FF</f>
        <v>9.5597768477831489E-4</v>
      </c>
      <c r="V511" s="646">
        <v>353</v>
      </c>
      <c r="W511" s="638">
        <f>V511/(T511*60)</f>
        <v>2.8339168155489869</v>
      </c>
      <c r="X511" s="638">
        <f>W511+P511</f>
        <v>35.574805414704464</v>
      </c>
      <c r="Y511" s="636">
        <f>U511*V511</f>
        <v>0.33746012272674514</v>
      </c>
      <c r="Z511" s="636">
        <f>IF(VLOOKUP(136.6,table_CIA_JCTS,25,FALSE)+VLOOKUP(136.5,table_CIA_JCTS,24,FALSE)&lt;VLOOKUP(136.5,table_CIA_JCTS,28,FALSE),VLOOKUP(136.5,table_CIA_JCTS,28,FALSE),VLOOKUP(136.6,table_CIA_JCTS,25,FALSE)+VLOOKUP(136.5,table_CIA_JCTS,24,FALSE))</f>
        <v>390.56430404765734</v>
      </c>
      <c r="AA511" s="636">
        <v>397.58</v>
      </c>
      <c r="AB511" s="636">
        <f>(AA511-0.5)-Z511</f>
        <v>6.5156959523426394</v>
      </c>
      <c r="AC511" s="639" t="s">
        <v>10</v>
      </c>
      <c r="AD511" t="s">
        <v>10</v>
      </c>
    </row>
    <row r="512" spans="1:30" ht="15.75" x14ac:dyDescent="0.25">
      <c r="A512" s="641"/>
      <c r="B512" s="633">
        <v>136.6</v>
      </c>
      <c r="C512" s="640" t="s">
        <v>10</v>
      </c>
      <c r="D512" s="635" t="s">
        <v>10</v>
      </c>
      <c r="E512" s="635">
        <f>VLOOKUP(136,table_CIA_JCTS,4,FALSE)+VLOOKUP(136.5,table_CIA_JCTS,4,FALSE)</f>
        <v>29.259999999999998</v>
      </c>
      <c r="F512" s="636" t="s">
        <v>10</v>
      </c>
      <c r="G512" s="635" t="s">
        <v>10</v>
      </c>
      <c r="H512" s="635">
        <f>VLOOKUP(136,table_CIA_JCTS,7,FALSE)+VLOOKUP(136.5,table_CIA_JCTS,7,FALSE)</f>
        <v>15.21</v>
      </c>
      <c r="I512" s="635" t="s">
        <v>10</v>
      </c>
      <c r="J512" s="635">
        <f>VLOOKUP(136,table_CIA_JCTS,9,FALSE)+VLOOKUP(136.5,table_CIA_JCTS,9,FALSE)</f>
        <v>15.21</v>
      </c>
      <c r="K512" s="637" t="s">
        <v>10</v>
      </c>
      <c r="L512" s="638" t="s">
        <v>10</v>
      </c>
      <c r="M512" s="636" t="s">
        <v>10</v>
      </c>
      <c r="N512" s="638" t="s">
        <v>10</v>
      </c>
      <c r="O512" s="638" t="s">
        <v>10</v>
      </c>
      <c r="P512" s="638">
        <f>VLOOKUP(136.5,table_CIA_JCTS,23,FALSE)</f>
        <v>35.574805414704464</v>
      </c>
      <c r="Q512" s="636">
        <f>cell_P*(P512^cell_E)</f>
        <v>0.59194093099087786</v>
      </c>
      <c r="R512" s="635">
        <f>J512*Q512</f>
        <v>9.0034215603712529</v>
      </c>
      <c r="S512" s="646">
        <v>24</v>
      </c>
      <c r="T512" s="636">
        <f>(4*R512)/(3.14159*(S512/12)^2)</f>
        <v>2.8658805128521716</v>
      </c>
      <c r="U512" s="637">
        <f>((R512/((0.463135/cell_NP)*((S512/12)^(8/3))))^2)*cell_FF</f>
        <v>1.8217601583475323E-3</v>
      </c>
      <c r="V512" s="646">
        <v>347</v>
      </c>
      <c r="W512" s="638">
        <f>V512/(T512*60)</f>
        <v>2.0179952748894143</v>
      </c>
      <c r="X512" s="638">
        <f>W512+P512</f>
        <v>37.592800689593879</v>
      </c>
      <c r="Y512" s="636">
        <f>U512*V512</f>
        <v>0.63215077494659366</v>
      </c>
      <c r="Z512" s="636">
        <f>IF(VLOOKUP(136.7,table_CIA_JCTS,25,FALSE)+VLOOKUP(136.6,table_CIA_JCTS,24,FALSE)&lt;VLOOKUP(136.6,table_CIA_JCTS,28,FALSE),VLOOKUP(136.6,table_CIA_JCTS,28,FALSE),VLOOKUP(136.7,table_CIA_JCTS,25,FALSE)+VLOOKUP(136.6,table_CIA_JCTS,24,FALSE))</f>
        <v>390.22684392493062</v>
      </c>
      <c r="AA512" s="636">
        <v>398.28</v>
      </c>
      <c r="AB512" s="636">
        <f>(AA512-0.5)-Z512</f>
        <v>7.5531560750693529</v>
      </c>
      <c r="AC512" s="639" t="s">
        <v>10</v>
      </c>
      <c r="AD512" t="s">
        <v>10</v>
      </c>
    </row>
    <row r="513" spans="1:30" x14ac:dyDescent="0.2">
      <c r="A513" s="641"/>
      <c r="B513" s="633" t="s">
        <v>10</v>
      </c>
      <c r="C513" s="634">
        <v>165.6</v>
      </c>
      <c r="D513" s="635">
        <f>VLOOKUP(C513,table_DI,2)</f>
        <v>0.71</v>
      </c>
      <c r="E513" s="635" t="s">
        <v>10</v>
      </c>
      <c r="F513" s="636">
        <f>VLOOKUP(C513,table_DI,5)</f>
        <v>0.90140845070422537</v>
      </c>
      <c r="G513" s="635">
        <f>VLOOKUP(C513,table_DI,3)</f>
        <v>0.64</v>
      </c>
      <c r="H513" s="635" t="s">
        <v>10</v>
      </c>
      <c r="I513" s="635">
        <f>VLOOKUP(C513,table_DI,4)</f>
        <v>0.64</v>
      </c>
      <c r="J513" s="635" t="s">
        <v>10</v>
      </c>
      <c r="K513" s="637">
        <f>VLOOKUP(C513,table_DI,9)</f>
        <v>6.3305322128851286E-3</v>
      </c>
      <c r="L513" s="638">
        <f>VLOOKUP(C513,table_DI,8)</f>
        <v>357</v>
      </c>
      <c r="M513" s="636">
        <f>(0.84*(K513^0.5)*(cell_GUTDEP^0.6666)/cell_NRD)</f>
        <v>2.3428117414036231</v>
      </c>
      <c r="N513" s="638">
        <f>VLOOKUP(C513,table_DI,10)</f>
        <v>5</v>
      </c>
      <c r="O513" s="638">
        <f>(L513/(M513*60))</f>
        <v>2.5396833620251713</v>
      </c>
      <c r="P513" s="638">
        <f>N513+O513</f>
        <v>7.5396833620251709</v>
      </c>
      <c r="Q513" s="636">
        <f>cell_P*(P513^cell_E)</f>
        <v>1.5638867841979776</v>
      </c>
      <c r="R513" s="635">
        <f>Q513*I513</f>
        <v>1.0008875418867056</v>
      </c>
      <c r="S513" s="638" t="s">
        <v>10</v>
      </c>
      <c r="T513" s="636" t="s">
        <v>10</v>
      </c>
      <c r="U513" s="637" t="s">
        <v>10</v>
      </c>
      <c r="V513" s="638" t="s">
        <v>10</v>
      </c>
      <c r="W513" s="638" t="s">
        <v>10</v>
      </c>
      <c r="X513" s="638" t="s">
        <v>10</v>
      </c>
      <c r="Y513" s="636" t="s">
        <v>10</v>
      </c>
      <c r="Z513" s="636" t="s">
        <v>10</v>
      </c>
      <c r="AA513" s="636" t="s">
        <v>10</v>
      </c>
      <c r="AB513" s="636" t="s">
        <v>10</v>
      </c>
      <c r="AC513" s="639" t="s">
        <v>10</v>
      </c>
      <c r="AD513" t="s">
        <v>10</v>
      </c>
    </row>
    <row r="514" spans="1:30" x14ac:dyDescent="0.2">
      <c r="A514" s="641"/>
      <c r="B514" s="633" t="s">
        <v>10</v>
      </c>
      <c r="C514" s="634">
        <v>165.7</v>
      </c>
      <c r="D514" s="635">
        <f>VLOOKUP(C514,table_DI,2)</f>
        <v>1.3499999999999999</v>
      </c>
      <c r="E514" s="635" t="s">
        <v>10</v>
      </c>
      <c r="F514" s="636">
        <f>VLOOKUP(C514,table_DI,5)</f>
        <v>0.57037037037037042</v>
      </c>
      <c r="G514" s="635">
        <f>VLOOKUP(C514,table_DI,3)</f>
        <v>0.66999999999999993</v>
      </c>
      <c r="H514" s="635" t="s">
        <v>10</v>
      </c>
      <c r="I514" s="635">
        <f>VLOOKUP(C514,table_DI,4)</f>
        <v>0.77</v>
      </c>
      <c r="J514" s="635" t="s">
        <v>10</v>
      </c>
      <c r="K514" s="637">
        <f>VLOOKUP(C514,table_DI,9)</f>
        <v>4.3324250681198231E-3</v>
      </c>
      <c r="L514" s="638">
        <f>VLOOKUP(C514,table_DI,8)</f>
        <v>367</v>
      </c>
      <c r="M514" s="636">
        <f>(0.84*(K514^0.5)*(cell_GUTDEP^0.6666)/cell_NRD)</f>
        <v>1.9381295824729137</v>
      </c>
      <c r="N514" s="638">
        <f>VLOOKUP(C514,table_DI,10)</f>
        <v>20</v>
      </c>
      <c r="O514" s="638">
        <f>(L514/(M514*60))</f>
        <v>3.1559637301765142</v>
      </c>
      <c r="P514" s="638">
        <f>N514+O514</f>
        <v>23.155963730176513</v>
      </c>
      <c r="Q514" s="636">
        <f>cell_P*(P514^cell_E)</f>
        <v>0.77455443002656899</v>
      </c>
      <c r="R514" s="635">
        <f>Q514*I514</f>
        <v>0.59640691112045818</v>
      </c>
      <c r="S514" s="638" t="s">
        <v>10</v>
      </c>
      <c r="T514" s="636" t="s">
        <v>10</v>
      </c>
      <c r="U514" s="637" t="s">
        <v>10</v>
      </c>
      <c r="V514" s="638" t="s">
        <v>10</v>
      </c>
      <c r="W514" s="638" t="s">
        <v>10</v>
      </c>
      <c r="X514" s="638" t="s">
        <v>10</v>
      </c>
      <c r="Y514" s="636" t="s">
        <v>10</v>
      </c>
      <c r="Z514" s="636" t="s">
        <v>10</v>
      </c>
      <c r="AA514" s="636" t="s">
        <v>10</v>
      </c>
      <c r="AB514" s="636" t="s">
        <v>10</v>
      </c>
      <c r="AC514" s="639" t="s">
        <v>10</v>
      </c>
      <c r="AD514" t="s">
        <v>10</v>
      </c>
    </row>
    <row r="515" spans="1:30" ht="15.75" x14ac:dyDescent="0.25">
      <c r="A515" s="641"/>
      <c r="B515" s="633">
        <v>136.69999999999999</v>
      </c>
      <c r="C515" s="640" t="s">
        <v>10</v>
      </c>
      <c r="D515" s="635" t="s">
        <v>10</v>
      </c>
      <c r="E515" s="635">
        <f>VLOOKUP(136.6,table_CIA_JCTS,4,FALSE)+VLOOKUP(165.6,table_CIA_INLETS,2,FALSE)+VLOOKUP(165.7,table_CIA_INLETS,2,FALSE)</f>
        <v>31.32</v>
      </c>
      <c r="F515" s="636" t="s">
        <v>10</v>
      </c>
      <c r="G515" s="635" t="s">
        <v>10</v>
      </c>
      <c r="H515" s="635">
        <f>VLOOKUP(136.6,table_CIA_JCTS,7,FALSE)+VLOOKUP(165.6,table_CIA_INLETS,5,FALSE)+VLOOKUP(165.7,table_CIA_INLETS,5,FALSE)</f>
        <v>16.520000000000003</v>
      </c>
      <c r="I515" s="635" t="s">
        <v>10</v>
      </c>
      <c r="J515" s="635">
        <f>VLOOKUP(136.6,table_CIA_JCTS,9,FALSE)+VLOOKUP(165.6,table_CIA_INLETS,7,FALSE)+VLOOKUP(165.7,table_CIA_INLETS,7,FALSE)</f>
        <v>16.62</v>
      </c>
      <c r="K515" s="637" t="s">
        <v>10</v>
      </c>
      <c r="L515" s="638" t="s">
        <v>10</v>
      </c>
      <c r="M515" s="636" t="s">
        <v>10</v>
      </c>
      <c r="N515" s="638" t="s">
        <v>10</v>
      </c>
      <c r="O515" s="638" t="s">
        <v>10</v>
      </c>
      <c r="P515" s="638">
        <f>VLOOKUP(136.6,table_CIA_JCTS,23,FALSE)</f>
        <v>37.592800689593879</v>
      </c>
      <c r="Q515" s="636">
        <f>cell_P*(P515^cell_E)</f>
        <v>0.57183834457619132</v>
      </c>
      <c r="R515" s="635">
        <f>J515*Q515</f>
        <v>9.5039532868562997</v>
      </c>
      <c r="S515" s="646">
        <v>30</v>
      </c>
      <c r="T515" s="636">
        <f>(4*R515)/(3.14159*(S515/12)^2)</f>
        <v>1.9361311003625654</v>
      </c>
      <c r="U515" s="637">
        <f>((R515/((0.463135/cell_NP)*((S515/12)^(8/3))))^2)*cell_FF</f>
        <v>6.1749182554044391E-4</v>
      </c>
      <c r="V515" s="646">
        <v>289</v>
      </c>
      <c r="W515" s="638">
        <f>V515/(T515*60)</f>
        <v>2.4877791931366033</v>
      </c>
      <c r="X515" s="638">
        <f>W515+P515</f>
        <v>40.080579882730483</v>
      </c>
      <c r="Y515" s="636">
        <f>U515*V515</f>
        <v>0.17845513758118828</v>
      </c>
      <c r="Z515" s="636">
        <f>IF(VLOOKUP(136.9,table_CIA_JCTS,25,FALSE)+VLOOKUP(136.7,table_CIA_JCTS,24,FALSE)&lt;VLOOKUP(136.7,table_CIA_JCTS,28,FALSE),VLOOKUP(136.7,table_CIA_JCTS,28,FALSE),VLOOKUP(136.9,table_CIA_JCTS,25,FALSE)+VLOOKUP(136.7,table_CIA_JCTS,24,FALSE))</f>
        <v>389.59469314998404</v>
      </c>
      <c r="AA515" s="636">
        <v>395.93</v>
      </c>
      <c r="AB515" s="636">
        <f>(AA515-0.5)-Z515</f>
        <v>5.8353068500159679</v>
      </c>
      <c r="AC515" s="639" t="s">
        <v>10</v>
      </c>
      <c r="AD515" t="s">
        <v>10</v>
      </c>
    </row>
    <row r="516" spans="1:30" x14ac:dyDescent="0.2">
      <c r="A516" s="641"/>
      <c r="B516" s="633" t="s">
        <v>10</v>
      </c>
      <c r="C516" s="640" t="s">
        <v>10</v>
      </c>
      <c r="D516" s="635" t="s">
        <v>10</v>
      </c>
      <c r="E516" s="635" t="s">
        <v>10</v>
      </c>
      <c r="F516" s="636" t="s">
        <v>10</v>
      </c>
      <c r="G516" s="635" t="s">
        <v>10</v>
      </c>
      <c r="H516" s="635" t="s">
        <v>10</v>
      </c>
      <c r="I516" s="635" t="s">
        <v>10</v>
      </c>
      <c r="J516" s="635" t="s">
        <v>10</v>
      </c>
      <c r="K516" s="637" t="s">
        <v>10</v>
      </c>
      <c r="L516" s="638" t="s">
        <v>10</v>
      </c>
      <c r="M516" s="636" t="s">
        <v>10</v>
      </c>
      <c r="N516" s="638" t="s">
        <v>10</v>
      </c>
      <c r="O516" s="638" t="s">
        <v>10</v>
      </c>
      <c r="P516" s="638" t="s">
        <v>10</v>
      </c>
      <c r="Q516" s="636" t="s">
        <v>10</v>
      </c>
      <c r="R516" s="635" t="s">
        <v>10</v>
      </c>
      <c r="S516" s="638" t="s">
        <v>10</v>
      </c>
      <c r="T516" s="636" t="s">
        <v>10</v>
      </c>
      <c r="U516" s="637" t="s">
        <v>10</v>
      </c>
      <c r="V516" s="638" t="s">
        <v>10</v>
      </c>
      <c r="W516" s="638" t="s">
        <v>10</v>
      </c>
      <c r="X516" s="638" t="s">
        <v>10</v>
      </c>
      <c r="Y516" s="636" t="s">
        <v>10</v>
      </c>
      <c r="Z516" s="636" t="s">
        <v>10</v>
      </c>
      <c r="AA516" s="636" t="s">
        <v>10</v>
      </c>
      <c r="AB516" s="636" t="s">
        <v>10</v>
      </c>
      <c r="AC516" s="639" t="s">
        <v>10</v>
      </c>
      <c r="AD516" t="s">
        <v>10</v>
      </c>
    </row>
    <row r="517" spans="1:30" x14ac:dyDescent="0.2">
      <c r="A517" s="641"/>
      <c r="B517" s="633" t="s">
        <v>10</v>
      </c>
      <c r="C517" s="634">
        <v>165.8</v>
      </c>
      <c r="D517" s="635">
        <f>VLOOKUP(C517,table_DI,2)</f>
        <v>0.99</v>
      </c>
      <c r="E517" s="635" t="s">
        <v>10</v>
      </c>
      <c r="F517" s="636">
        <f>VLOOKUP(C517,table_DI,5)</f>
        <v>0.50505050505050508</v>
      </c>
      <c r="G517" s="635">
        <f>VLOOKUP(C517,table_DI,3)</f>
        <v>0.42</v>
      </c>
      <c r="H517" s="635" t="s">
        <v>10</v>
      </c>
      <c r="I517" s="635">
        <f>VLOOKUP(C517,table_DI,4)</f>
        <v>0.5</v>
      </c>
      <c r="J517" s="635" t="s">
        <v>10</v>
      </c>
      <c r="K517" s="637">
        <f>VLOOKUP(C517,table_DI,9)</f>
        <v>2.961672473867675E-3</v>
      </c>
      <c r="L517" s="638">
        <f>VLOOKUP(C517,table_DI,8)</f>
        <v>287</v>
      </c>
      <c r="M517" s="636">
        <f>(0.84*(K517^0.5)*(cell_GUTDEP^0.6666)/cell_NRD)</f>
        <v>1.6024548241173755</v>
      </c>
      <c r="N517" s="638">
        <f>VLOOKUP(C517,table_DI,10)</f>
        <v>20</v>
      </c>
      <c r="O517" s="638">
        <f>(L517/(M517*60))</f>
        <v>2.9850035466478571</v>
      </c>
      <c r="P517" s="638">
        <f>N517+O517</f>
        <v>22.985003546647857</v>
      </c>
      <c r="Q517" s="636">
        <f>cell_P*(P517^cell_E)</f>
        <v>0.77815700729321247</v>
      </c>
      <c r="R517" s="635">
        <f>Q517*I517</f>
        <v>0.38907850364660623</v>
      </c>
      <c r="S517" s="638" t="s">
        <v>10</v>
      </c>
      <c r="T517" s="636" t="s">
        <v>10</v>
      </c>
      <c r="U517" s="637" t="s">
        <v>10</v>
      </c>
      <c r="V517" s="638" t="s">
        <v>10</v>
      </c>
      <c r="W517" s="638" t="s">
        <v>10</v>
      </c>
      <c r="X517" s="638" t="s">
        <v>10</v>
      </c>
      <c r="Y517" s="636" t="s">
        <v>10</v>
      </c>
      <c r="Z517" s="636" t="s">
        <v>10</v>
      </c>
      <c r="AA517" s="636" t="s">
        <v>10</v>
      </c>
      <c r="AB517" s="636" t="s">
        <v>10</v>
      </c>
      <c r="AC517" s="639" t="s">
        <v>10</v>
      </c>
      <c r="AD517" t="s">
        <v>10</v>
      </c>
    </row>
    <row r="518" spans="1:30" x14ac:dyDescent="0.2">
      <c r="A518" s="641"/>
      <c r="B518" s="633" t="s">
        <v>10</v>
      </c>
      <c r="C518" s="634">
        <v>165.9</v>
      </c>
      <c r="D518" s="635">
        <f>VLOOKUP(C518,table_DI,2)</f>
        <v>2.52</v>
      </c>
      <c r="E518" s="635" t="s">
        <v>10</v>
      </c>
      <c r="F518" s="636">
        <f>VLOOKUP(C518,table_DI,5)</f>
        <v>0.50396825396825395</v>
      </c>
      <c r="G518" s="635">
        <f>VLOOKUP(C518,table_DI,3)</f>
        <v>1.06</v>
      </c>
      <c r="H518" s="635" t="s">
        <v>10</v>
      </c>
      <c r="I518" s="635">
        <f>VLOOKUP(C518,table_DI,4)</f>
        <v>1.27</v>
      </c>
      <c r="J518" s="635" t="s">
        <v>10</v>
      </c>
      <c r="K518" s="637">
        <f>VLOOKUP(C518,table_DI,9)</f>
        <v>2.8522336769759879E-3</v>
      </c>
      <c r="L518" s="638">
        <f>VLOOKUP(C518,table_DI,8)</f>
        <v>582</v>
      </c>
      <c r="M518" s="636">
        <f>(0.84*(K518^0.5)*(cell_GUTDEP^0.6666)/cell_NRD)</f>
        <v>1.5725694413903604</v>
      </c>
      <c r="N518" s="638">
        <f>VLOOKUP(C518,table_DI,10)</f>
        <v>20</v>
      </c>
      <c r="O518" s="638">
        <f>(L518/(M518*60))</f>
        <v>6.1682490735823476</v>
      </c>
      <c r="P518" s="638">
        <f>N518+O518</f>
        <v>26.168249073582349</v>
      </c>
      <c r="Q518" s="636">
        <f>cell_P*(P518^cell_E)</f>
        <v>0.71745279271062457</v>
      </c>
      <c r="R518" s="635">
        <f>Q518*I518</f>
        <v>0.91116504674249321</v>
      </c>
      <c r="S518" s="638" t="s">
        <v>10</v>
      </c>
      <c r="T518" s="636" t="s">
        <v>10</v>
      </c>
      <c r="U518" s="637" t="s">
        <v>10</v>
      </c>
      <c r="V518" s="638" t="s">
        <v>10</v>
      </c>
      <c r="W518" s="638" t="s">
        <v>10</v>
      </c>
      <c r="X518" s="638" t="s">
        <v>10</v>
      </c>
      <c r="Y518" s="636" t="s">
        <v>10</v>
      </c>
      <c r="Z518" s="636" t="s">
        <v>10</v>
      </c>
      <c r="AA518" s="636" t="s">
        <v>10</v>
      </c>
      <c r="AB518" s="636" t="s">
        <v>10</v>
      </c>
      <c r="AC518" s="639" t="s">
        <v>10</v>
      </c>
      <c r="AD518" t="s">
        <v>10</v>
      </c>
    </row>
    <row r="519" spans="1:30" ht="15.75" x14ac:dyDescent="0.25">
      <c r="A519" s="641"/>
      <c r="B519" s="633">
        <v>136.80000000000001</v>
      </c>
      <c r="C519" s="640" t="s">
        <v>10</v>
      </c>
      <c r="D519" s="635" t="s">
        <v>10</v>
      </c>
      <c r="E519" s="635">
        <f>VLOOKUP(165.8,table_CIA_INLETS,2,FALSE)+VLOOKUP(165.9,table_CIA_INLETS,2,FALSE)</f>
        <v>3.51</v>
      </c>
      <c r="F519" s="636" t="s">
        <v>10</v>
      </c>
      <c r="G519" s="635" t="s">
        <v>10</v>
      </c>
      <c r="H519" s="635">
        <f>VLOOKUP(165.8,table_CIA_INLETS,5,FALSE)+VLOOKUP(165.9,table_CIA_INLETS,5,FALSE)</f>
        <v>1.48</v>
      </c>
      <c r="I519" s="635" t="s">
        <v>10</v>
      </c>
      <c r="J519" s="635">
        <f>VLOOKUP(165.8,table_CIA_INLETS,7,FALSE)+VLOOKUP(165.9,table_CIA_INLETS,7,FALSE)</f>
        <v>1.77</v>
      </c>
      <c r="K519" s="637" t="s">
        <v>10</v>
      </c>
      <c r="L519" s="638" t="s">
        <v>10</v>
      </c>
      <c r="M519" s="636" t="s">
        <v>10</v>
      </c>
      <c r="N519" s="638" t="s">
        <v>10</v>
      </c>
      <c r="O519" s="638" t="s">
        <v>10</v>
      </c>
      <c r="P519" s="638">
        <f>VLOOKUP(165.9,table_CIA_INLETS,14,FALSE)</f>
        <v>26.168249073582349</v>
      </c>
      <c r="Q519" s="636">
        <f>cell_P*(P519^cell_E)</f>
        <v>0.71745279271062457</v>
      </c>
      <c r="R519" s="635">
        <f>J519*Q519</f>
        <v>1.2698914430978054</v>
      </c>
      <c r="S519" s="646">
        <v>18</v>
      </c>
      <c r="T519" s="636">
        <f>(4*R519)/(3.14159*(S519/12)^2)</f>
        <v>0.71861216381814041</v>
      </c>
      <c r="U519" s="637">
        <f>((R519/((0.463135/cell_NP)*((S519/12)^(8/3))))^2)*cell_FF</f>
        <v>1.6809281549799753E-4</v>
      </c>
      <c r="V519" s="646">
        <v>281</v>
      </c>
      <c r="W519" s="638">
        <f>V519/(T519*60)</f>
        <v>6.5171918444154624</v>
      </c>
      <c r="X519" s="638">
        <f>W519+P519</f>
        <v>32.685440917997809</v>
      </c>
      <c r="Y519" s="636">
        <f>U519*V519</f>
        <v>4.7234081154937303E-2</v>
      </c>
      <c r="Z519" s="636">
        <f>IF(VLOOKUP(136.9,table_CIA_JCTS,25,FALSE)+VLOOKUP(136.8,table_CIA_JCTS,24,FALSE)&lt;VLOOKUP(136.8,table_CIA_JCTS,28,FALSE),VLOOKUP(136.8,table_CIA_JCTS,28,FALSE),VLOOKUP(136.9,table_CIA_JCTS,25,FALSE)+VLOOKUP(136.8,table_CIA_JCTS,24,FALSE))</f>
        <v>389.46347209355781</v>
      </c>
      <c r="AA519" s="636">
        <v>396.4</v>
      </c>
      <c r="AB519" s="636">
        <f>(AA519-0.5)-Z519</f>
        <v>6.4365279064421657</v>
      </c>
      <c r="AC519" s="639" t="s">
        <v>10</v>
      </c>
      <c r="AD519" t="s">
        <v>10</v>
      </c>
    </row>
    <row r="520" spans="1:30" ht="15.75" x14ac:dyDescent="0.25">
      <c r="A520" s="641"/>
      <c r="B520" s="633">
        <v>136.9</v>
      </c>
      <c r="C520" s="640" t="s">
        <v>10</v>
      </c>
      <c r="D520" s="635" t="s">
        <v>10</v>
      </c>
      <c r="E520" s="635">
        <f>VLOOKUP(136.7,table_CIA_JCTS,4,FALSE)+VLOOKUP(136.8,table_CIA_JCTS,4,FALSE)</f>
        <v>34.83</v>
      </c>
      <c r="F520" s="636" t="s">
        <v>10</v>
      </c>
      <c r="G520" s="635" t="s">
        <v>10</v>
      </c>
      <c r="H520" s="635">
        <f>VLOOKUP(136.7,table_CIA_JCTS,7,FALSE)+VLOOKUP(136.8,table_CIA_JCTS,7,FALSE)</f>
        <v>18.000000000000004</v>
      </c>
      <c r="I520" s="635" t="s">
        <v>10</v>
      </c>
      <c r="J520" s="635">
        <f>VLOOKUP(136.7,table_CIA_JCTS,9,FALSE)+VLOOKUP(136.8,table_CIA_JCTS,9,FALSE)</f>
        <v>18.39</v>
      </c>
      <c r="K520" s="637" t="s">
        <v>10</v>
      </c>
      <c r="L520" s="638" t="s">
        <v>10</v>
      </c>
      <c r="M520" s="636" t="s">
        <v>10</v>
      </c>
      <c r="N520" s="638" t="s">
        <v>10</v>
      </c>
      <c r="O520" s="638" t="s">
        <v>10</v>
      </c>
      <c r="P520" s="638">
        <f>VLOOKUP(136.7,table_CIA_JCTS,23,FALSE)</f>
        <v>40.080579882730483</v>
      </c>
      <c r="Q520" s="636">
        <f>cell_P*(P520^cell_E)</f>
        <v>0.54934674693725272</v>
      </c>
      <c r="R520" s="635">
        <f>J520*Q520</f>
        <v>10.102486676176078</v>
      </c>
      <c r="S520" s="646">
        <v>30</v>
      </c>
      <c r="T520" s="636">
        <f>(4*R520)/(3.14159*(S520/12)^2)</f>
        <v>2.0580634241746028</v>
      </c>
      <c r="U520" s="637">
        <f>((R520/((0.463135/cell_NP)*((S520/12)^(8/3))))^2)*cell_FF</f>
        <v>6.977168305967611E-4</v>
      </c>
      <c r="V520" s="646">
        <v>635</v>
      </c>
      <c r="W520" s="638">
        <f>V520/(T520*60)</f>
        <v>5.1423747242278672</v>
      </c>
      <c r="X520" s="638">
        <f>W520+P520</f>
        <v>45.222954606958353</v>
      </c>
      <c r="Y520" s="636">
        <f>U520*V520</f>
        <v>0.44305018742894331</v>
      </c>
      <c r="Z520" s="636">
        <f>IF(VLOOKUP(137.2,table_CIA_JCTS,25,FALSE)+VLOOKUP(136.9,table_CIA_JCTS,24,FALSE)&lt;VLOOKUP(136.9,table_CIA_JCTS,28,FALSE),VLOOKUP(136.9,table_CIA_JCTS,28,FALSE),VLOOKUP(137.2,table_CIA_JCTS,25,FALSE)+VLOOKUP(136.9,table_CIA_JCTS,24,FALSE))</f>
        <v>389.41623801240286</v>
      </c>
      <c r="AA520" s="636">
        <v>395.74</v>
      </c>
      <c r="AB520" s="636">
        <f>(AA520-0.5)-Z520</f>
        <v>5.8237619875971518</v>
      </c>
      <c r="AC520" s="639" t="s">
        <v>10</v>
      </c>
      <c r="AD520" t="s">
        <v>10</v>
      </c>
    </row>
    <row r="521" spans="1:30" x14ac:dyDescent="0.2">
      <c r="A521" s="641"/>
      <c r="B521" s="633" t="s">
        <v>10</v>
      </c>
      <c r="C521" s="640" t="s">
        <v>10</v>
      </c>
      <c r="D521" s="635" t="s">
        <v>10</v>
      </c>
      <c r="E521" s="635" t="s">
        <v>10</v>
      </c>
      <c r="F521" s="636" t="s">
        <v>10</v>
      </c>
      <c r="G521" s="635" t="s">
        <v>10</v>
      </c>
      <c r="H521" s="635" t="s">
        <v>10</v>
      </c>
      <c r="I521" s="635" t="s">
        <v>10</v>
      </c>
      <c r="J521" s="635" t="s">
        <v>10</v>
      </c>
      <c r="K521" s="637" t="s">
        <v>10</v>
      </c>
      <c r="L521" s="638" t="s">
        <v>10</v>
      </c>
      <c r="M521" s="636" t="s">
        <v>10</v>
      </c>
      <c r="N521" s="638" t="s">
        <v>10</v>
      </c>
      <c r="O521" s="638" t="s">
        <v>10</v>
      </c>
      <c r="P521" s="638" t="s">
        <v>10</v>
      </c>
      <c r="Q521" s="636" t="s">
        <v>10</v>
      </c>
      <c r="R521" s="635" t="s">
        <v>10</v>
      </c>
      <c r="S521" s="638" t="s">
        <v>10</v>
      </c>
      <c r="T521" s="636" t="s">
        <v>10</v>
      </c>
      <c r="U521" s="637" t="s">
        <v>10</v>
      </c>
      <c r="V521" s="638" t="s">
        <v>10</v>
      </c>
      <c r="W521" s="638" t="s">
        <v>10</v>
      </c>
      <c r="X521" s="638" t="s">
        <v>10</v>
      </c>
      <c r="Y521" s="636" t="s">
        <v>10</v>
      </c>
      <c r="Z521" s="636" t="s">
        <v>10</v>
      </c>
      <c r="AA521" s="636" t="s">
        <v>10</v>
      </c>
      <c r="AB521" s="636" t="s">
        <v>10</v>
      </c>
      <c r="AC521" s="639" t="s">
        <v>10</v>
      </c>
      <c r="AD521" t="s">
        <v>10</v>
      </c>
    </row>
    <row r="522" spans="1:30" x14ac:dyDescent="0.2">
      <c r="A522" s="641"/>
      <c r="B522" s="633" t="s">
        <v>10</v>
      </c>
      <c r="C522" s="634">
        <v>166</v>
      </c>
      <c r="D522" s="635">
        <f>VLOOKUP(C522,table_DI,2)</f>
        <v>5.18</v>
      </c>
      <c r="E522" s="635" t="s">
        <v>10</v>
      </c>
      <c r="F522" s="636">
        <f>VLOOKUP(C522,table_DI,5)</f>
        <v>0.50386100386100385</v>
      </c>
      <c r="G522" s="635">
        <f>VLOOKUP(C522,table_DI,3)</f>
        <v>2.61</v>
      </c>
      <c r="H522" s="635" t="s">
        <v>10</v>
      </c>
      <c r="I522" s="635">
        <f>VLOOKUP(C522,table_DI,4)</f>
        <v>2.61</v>
      </c>
      <c r="J522" s="635" t="s">
        <v>10</v>
      </c>
      <c r="K522" s="637">
        <f>VLOOKUP(C522,table_DI,9)</f>
        <v>4.6745562130177378E-3</v>
      </c>
      <c r="L522" s="638">
        <f>VLOOKUP(C522,table_DI,8)</f>
        <v>845</v>
      </c>
      <c r="M522" s="636">
        <f>(0.84*(K522^0.5)*(cell_GUTDEP^0.6666)/cell_NRD)</f>
        <v>2.0132025588260736</v>
      </c>
      <c r="N522" s="638">
        <f>VLOOKUP(C522,table_DI,10)</f>
        <v>20</v>
      </c>
      <c r="O522" s="638">
        <f>(L522/(M522*60))</f>
        <v>6.9954874990549989</v>
      </c>
      <c r="P522" s="638">
        <f>N522+O522</f>
        <v>26.995487499054999</v>
      </c>
      <c r="Q522" s="636">
        <f t="shared" si="33"/>
        <v>0.70360560755321166</v>
      </c>
      <c r="R522" s="635">
        <f>Q522*I522</f>
        <v>1.8364106357138823</v>
      </c>
      <c r="S522" s="638" t="s">
        <v>10</v>
      </c>
      <c r="T522" s="636" t="s">
        <v>10</v>
      </c>
      <c r="U522" s="637" t="s">
        <v>10</v>
      </c>
      <c r="V522" s="638" t="s">
        <v>10</v>
      </c>
      <c r="W522" s="638" t="s">
        <v>10</v>
      </c>
      <c r="X522" s="638" t="s">
        <v>10</v>
      </c>
      <c r="Y522" s="636" t="s">
        <v>10</v>
      </c>
      <c r="Z522" s="636" t="s">
        <v>10</v>
      </c>
      <c r="AA522" s="636" t="s">
        <v>10</v>
      </c>
      <c r="AB522" s="636" t="s">
        <v>10</v>
      </c>
      <c r="AC522" s="639" t="s">
        <v>10</v>
      </c>
      <c r="AD522" t="s">
        <v>10</v>
      </c>
    </row>
    <row r="523" spans="1:30" x14ac:dyDescent="0.2">
      <c r="A523" s="641"/>
      <c r="B523" s="633" t="s">
        <v>10</v>
      </c>
      <c r="C523" s="634">
        <v>166.1</v>
      </c>
      <c r="D523" s="635">
        <f>VLOOKUP(C523,table_DI,2)</f>
        <v>5.8599999999999994</v>
      </c>
      <c r="E523" s="635" t="s">
        <v>10</v>
      </c>
      <c r="F523" s="636">
        <f>VLOOKUP(C523,table_DI,5)</f>
        <v>0.58020477815699667</v>
      </c>
      <c r="G523" s="635">
        <f>VLOOKUP(C523,table_DI,3)</f>
        <v>3.33</v>
      </c>
      <c r="H523" s="635" t="s">
        <v>10</v>
      </c>
      <c r="I523" s="635">
        <f>VLOOKUP(C523,table_DI,4)</f>
        <v>3.4</v>
      </c>
      <c r="J523" s="635" t="s">
        <v>10</v>
      </c>
      <c r="K523" s="637">
        <f>VLOOKUP(C523,table_DI,9)</f>
        <v>3.5620437956204345E-3</v>
      </c>
      <c r="L523" s="638">
        <f>VLOOKUP(C523,table_DI,8)</f>
        <v>2055</v>
      </c>
      <c r="M523" s="636">
        <f>(0.84*(K523^0.5)*(cell_GUTDEP^0.6666)/cell_NRD)</f>
        <v>1.7573849700895963</v>
      </c>
      <c r="N523" s="638">
        <f>VLOOKUP(C523,table_DI,10)</f>
        <v>5</v>
      </c>
      <c r="O523" s="638">
        <f>(L523/(M523*60))</f>
        <v>19.489184545748017</v>
      </c>
      <c r="P523" s="638">
        <f>N523+O523</f>
        <v>24.489184545748017</v>
      </c>
      <c r="Q523" s="636">
        <f>cell_P*(P523^cell_E)</f>
        <v>0.74787342952287816</v>
      </c>
      <c r="R523" s="635">
        <f>Q523*I523</f>
        <v>2.5427696603777856</v>
      </c>
      <c r="S523" s="638" t="s">
        <v>10</v>
      </c>
      <c r="T523" s="636" t="s">
        <v>10</v>
      </c>
      <c r="U523" s="637" t="s">
        <v>10</v>
      </c>
      <c r="V523" s="638" t="s">
        <v>10</v>
      </c>
      <c r="W523" s="638" t="s">
        <v>10</v>
      </c>
      <c r="X523" s="638" t="s">
        <v>10</v>
      </c>
      <c r="Y523" s="636" t="s">
        <v>10</v>
      </c>
      <c r="Z523" s="636" t="s">
        <v>10</v>
      </c>
      <c r="AA523" s="636" t="s">
        <v>10</v>
      </c>
      <c r="AB523" s="636" t="s">
        <v>10</v>
      </c>
      <c r="AC523" s="639" t="s">
        <v>10</v>
      </c>
      <c r="AD523" t="s">
        <v>10</v>
      </c>
    </row>
    <row r="524" spans="1:30" ht="15.75" x14ac:dyDescent="0.25">
      <c r="A524" s="649"/>
      <c r="B524" s="633">
        <v>137</v>
      </c>
      <c r="C524" s="640" t="s">
        <v>10</v>
      </c>
      <c r="D524" s="635" t="s">
        <v>10</v>
      </c>
      <c r="E524" s="635">
        <f>VLOOKUP(166,table_CIA_INLETS,2,FALSE)+VLOOKUP(166.1,table_CIA_INLETS,2,FALSE)</f>
        <v>11.04</v>
      </c>
      <c r="F524" s="636" t="s">
        <v>10</v>
      </c>
      <c r="G524" s="635" t="s">
        <v>10</v>
      </c>
      <c r="H524" s="635">
        <f>VLOOKUP(166,table_CIA_INLETS,5,FALSE)+VLOOKUP(166.1,table_CIA_INLETS,5,FALSE)</f>
        <v>5.9399999999999995</v>
      </c>
      <c r="I524" s="635" t="s">
        <v>10</v>
      </c>
      <c r="J524" s="635">
        <f>VLOOKUP(166,table_CIA_INLETS,7,FALSE)+VLOOKUP(166.1,table_CIA_INLETS,7,FALSE)</f>
        <v>6.01</v>
      </c>
      <c r="K524" s="637" t="s">
        <v>10</v>
      </c>
      <c r="L524" s="638" t="s">
        <v>10</v>
      </c>
      <c r="M524" s="636" t="s">
        <v>10</v>
      </c>
      <c r="N524" s="638" t="s">
        <v>10</v>
      </c>
      <c r="O524" s="638" t="s">
        <v>10</v>
      </c>
      <c r="P524" s="638">
        <f>VLOOKUP(166.1,table_CIA_INLETS,14,FALSE)</f>
        <v>24.489184545748017</v>
      </c>
      <c r="Q524" s="636">
        <f t="shared" si="33"/>
        <v>0.74787342952287816</v>
      </c>
      <c r="R524" s="635">
        <f>J524*Q524</f>
        <v>4.4947193114324975</v>
      </c>
      <c r="S524" s="646">
        <v>18</v>
      </c>
      <c r="T524" s="636">
        <f>(4*R524)/(3.14159*(S524/12)^2)</f>
        <v>2.543492979419125</v>
      </c>
      <c r="U524" s="637">
        <f>((R524/((0.463135/cell_NP)*((S524/12)^(8/3))))^2)*cell_FF</f>
        <v>2.1058193385990933E-3</v>
      </c>
      <c r="V524" s="646">
        <v>219</v>
      </c>
      <c r="W524" s="638">
        <f>V524/(T524*60)</f>
        <v>1.4350344308139493</v>
      </c>
      <c r="X524" s="638">
        <f>W524+P524</f>
        <v>25.924218976561967</v>
      </c>
      <c r="Y524" s="636">
        <f>U524*V524</f>
        <v>0.46117443515320145</v>
      </c>
      <c r="Z524" s="636">
        <f>IF(VLOOKUP(137.1,table_CIA_JCTS,25,FALSE)+VLOOKUP(137,table_CIA_JCTS,24,FALSE)&lt;VLOOKUP(137,table_CIA_JCTS,28,FALSE),VLOOKUP(137,table_CIA_JCTS,28,FALSE),VLOOKUP(137.1,table_CIA_JCTS,25,FALSE)+VLOOKUP(137,table_CIA_JCTS,24,FALSE))</f>
        <v>389.45216232769474</v>
      </c>
      <c r="AA524" s="636">
        <v>393.32</v>
      </c>
      <c r="AB524" s="636">
        <f>(AA524-0.5)-Z524</f>
        <v>3.3678376723052565</v>
      </c>
      <c r="AC524" s="639"/>
      <c r="AD524"/>
    </row>
    <row r="525" spans="1:30" x14ac:dyDescent="0.2">
      <c r="A525" s="641"/>
      <c r="B525" s="633" t="s">
        <v>10</v>
      </c>
      <c r="C525" s="634">
        <v>166.2</v>
      </c>
      <c r="D525" s="635">
        <f>VLOOKUP(C525,table_DI,2)</f>
        <v>6.57</v>
      </c>
      <c r="E525" s="635" t="s">
        <v>10</v>
      </c>
      <c r="F525" s="636">
        <f>VLOOKUP(C525,table_DI,5)</f>
        <v>0.41248097412480972</v>
      </c>
      <c r="G525" s="635">
        <f>VLOOKUP(C525,table_DI,3)</f>
        <v>2.56</v>
      </c>
      <c r="H525" s="635" t="s">
        <v>10</v>
      </c>
      <c r="I525" s="635">
        <f>VLOOKUP(C525,table_DI,4)</f>
        <v>2.71</v>
      </c>
      <c r="J525" s="635" t="s">
        <v>10</v>
      </c>
      <c r="K525" s="637">
        <f>VLOOKUP(C525,table_DI,9)</f>
        <v>5.7147335423197729E-3</v>
      </c>
      <c r="L525" s="638">
        <f>VLOOKUP(C525,table_DI,8)</f>
        <v>638</v>
      </c>
      <c r="M525" s="636">
        <f>(0.84*(K525^0.5)*(cell_GUTDEP^0.6666)/cell_NRD)</f>
        <v>2.2259493251706033</v>
      </c>
      <c r="N525" s="638">
        <f>VLOOKUP(C525,table_DI,10)</f>
        <v>25</v>
      </c>
      <c r="O525" s="638">
        <f>(L525/(M525*60))</f>
        <v>4.7769880531841684</v>
      </c>
      <c r="P525" s="638">
        <f>N525+O525</f>
        <v>29.776988053184169</v>
      </c>
      <c r="Q525" s="636">
        <f>cell_P*(P525^cell_E)</f>
        <v>0.66169779807711948</v>
      </c>
      <c r="R525" s="635">
        <f>Q525*I525</f>
        <v>1.7932010327889938</v>
      </c>
      <c r="S525" s="638" t="s">
        <v>10</v>
      </c>
      <c r="T525" s="636" t="s">
        <v>10</v>
      </c>
      <c r="U525" s="637" t="s">
        <v>10</v>
      </c>
      <c r="V525" s="638" t="s">
        <v>10</v>
      </c>
      <c r="W525" s="638" t="s">
        <v>10</v>
      </c>
      <c r="X525" s="638" t="s">
        <v>10</v>
      </c>
      <c r="Y525" s="636" t="s">
        <v>10</v>
      </c>
      <c r="Z525" s="636" t="s">
        <v>10</v>
      </c>
      <c r="AA525" s="636" t="s">
        <v>10</v>
      </c>
      <c r="AB525" s="636" t="s">
        <v>10</v>
      </c>
      <c r="AC525" s="639" t="s">
        <v>10</v>
      </c>
      <c r="AD525" t="s">
        <v>10</v>
      </c>
    </row>
    <row r="526" spans="1:30" ht="15.75" x14ac:dyDescent="0.25">
      <c r="A526" s="641"/>
      <c r="B526" s="633">
        <v>137.1</v>
      </c>
      <c r="C526" s="640" t="s">
        <v>10</v>
      </c>
      <c r="D526" s="635" t="s">
        <v>10</v>
      </c>
      <c r="E526" s="635">
        <f>VLOOKUP(137,table_CIA_JCTS,4,FALSE)+VLOOKUP(166.2,table_CIA_INLETS,2,FALSE)</f>
        <v>17.61</v>
      </c>
      <c r="F526" s="636" t="s">
        <v>10</v>
      </c>
      <c r="G526" s="635" t="s">
        <v>10</v>
      </c>
      <c r="H526" s="635">
        <f>VLOOKUP(137,table_CIA_JCTS,7,FALSE)+VLOOKUP(166.2,table_CIA_INLETS,5,FALSE)</f>
        <v>8.5</v>
      </c>
      <c r="I526" s="635" t="s">
        <v>10</v>
      </c>
      <c r="J526" s="635">
        <f>VLOOKUP(137,table_CIA_JCTS,9,FALSE)+VLOOKUP(166.2,table_CIA_INLETS,7,FALSE)</f>
        <v>8.7199999999999989</v>
      </c>
      <c r="K526" s="637" t="s">
        <v>10</v>
      </c>
      <c r="L526" s="638" t="s">
        <v>10</v>
      </c>
      <c r="M526" s="636" t="s">
        <v>10</v>
      </c>
      <c r="N526" s="638" t="s">
        <v>10</v>
      </c>
      <c r="O526" s="638" t="s">
        <v>10</v>
      </c>
      <c r="P526" s="638">
        <f>VLOOKUP(137,table_CIA_JCTS,23,FALSE)</f>
        <v>25.924218976561967</v>
      </c>
      <c r="Q526" s="636">
        <f>cell_P*(P526^cell_E)</f>
        <v>0.72167444680916648</v>
      </c>
      <c r="R526" s="635">
        <f>J526*Q526</f>
        <v>6.293001176175931</v>
      </c>
      <c r="S526" s="646">
        <v>24</v>
      </c>
      <c r="T526" s="636">
        <f>(4*R526)/(3.14159*(S526/12)^2)</f>
        <v>2.0031261801113232</v>
      </c>
      <c r="U526" s="637">
        <f>((R526/((0.463135/cell_NP)*((S526/12)^(8/3))))^2)*cell_FF</f>
        <v>8.9000337837900402E-4</v>
      </c>
      <c r="V526" s="646">
        <v>20</v>
      </c>
      <c r="W526" s="638">
        <f>V526/(T526*60)</f>
        <v>0.16640655823030001</v>
      </c>
      <c r="X526" s="638">
        <f>W526+P526</f>
        <v>26.090625534792267</v>
      </c>
      <c r="Y526" s="636">
        <f>U526*V526</f>
        <v>1.7800067567580079E-2</v>
      </c>
      <c r="Z526" s="636">
        <f>IF(VLOOKUP(137.2,table_CIA_JCTS,25,FALSE)+VLOOKUP(137.1,table_CIA_JCTS,24,FALSE)&lt;VLOOKUP(137.1,table_CIA_JCTS,28,FALSE),VLOOKUP(137.1,table_CIA_JCTS,28,FALSE),VLOOKUP(137.2,table_CIA_JCTS,25,FALSE)+VLOOKUP(137.1,table_CIA_JCTS,24,FALSE))</f>
        <v>388.99098789254151</v>
      </c>
      <c r="AA526" s="636">
        <v>391.85</v>
      </c>
      <c r="AB526" s="636">
        <f>(AA526-0.5)-Z526</f>
        <v>2.3590121074585113</v>
      </c>
      <c r="AC526" s="639" t="s">
        <v>10</v>
      </c>
      <c r="AD526" t="s">
        <v>10</v>
      </c>
    </row>
    <row r="527" spans="1:30" x14ac:dyDescent="0.2">
      <c r="A527" s="641"/>
      <c r="B527" s="633">
        <v>137.19999999999999</v>
      </c>
      <c r="C527" s="640" t="s">
        <v>10</v>
      </c>
      <c r="D527" s="635" t="s">
        <v>10</v>
      </c>
      <c r="E527" s="635">
        <f>VLOOKUP(136.9,table_CIA_JCTS,4,FALSE)+VLOOKUP(137.1,table_CIA_JCTS,4,FALSE)</f>
        <v>52.44</v>
      </c>
      <c r="F527" s="636" t="s">
        <v>10</v>
      </c>
      <c r="G527" s="635" t="s">
        <v>10</v>
      </c>
      <c r="H527" s="635">
        <f>VLOOKUP(136.9,table_CIA_JCTS,7,FALSE)+VLOOKUP(137.1,table_CIA_JCTS,7,FALSE)</f>
        <v>26.500000000000004</v>
      </c>
      <c r="I527" s="635" t="s">
        <v>10</v>
      </c>
      <c r="J527" s="635">
        <f>VLOOKUP(136.9,table_CIA_JCTS,9,FALSE)+VLOOKUP(137.1,table_CIA_JCTS,9,FALSE)</f>
        <v>27.11</v>
      </c>
      <c r="K527" s="637" t="s">
        <v>10</v>
      </c>
      <c r="L527" s="638" t="s">
        <v>10</v>
      </c>
      <c r="M527" s="636" t="s">
        <v>10</v>
      </c>
      <c r="N527" s="638" t="s">
        <v>10</v>
      </c>
      <c r="O527" s="638" t="s">
        <v>10</v>
      </c>
      <c r="P527" s="638">
        <f>VLOOKUP(136.9,table_CIA_JCTS,23,FALSE)</f>
        <v>45.222954606958353</v>
      </c>
      <c r="Q527" s="636">
        <f>cell_P*(P527^cell_E)</f>
        <v>0.50935205369027714</v>
      </c>
      <c r="R527" s="635">
        <f>J527*Q527</f>
        <v>13.808534175543413</v>
      </c>
      <c r="S527" s="638">
        <v>30</v>
      </c>
      <c r="T527" s="636">
        <f>(4*R527)/(3.14159*(S527/12)^2)</f>
        <v>2.8130538588255578</v>
      </c>
      <c r="U527" s="637">
        <f>((R527/((0.463135/cell_NP)*((S527/12)^(8/3))))^2)*cell_FF</f>
        <v>1.3035202580048437E-3</v>
      </c>
      <c r="V527" s="638">
        <v>83</v>
      </c>
      <c r="W527" s="638">
        <f>V527/(T527*60)</f>
        <v>0.49175501172624936</v>
      </c>
      <c r="X527" s="638">
        <f>W527+P527</f>
        <v>45.714709618684601</v>
      </c>
      <c r="Y527" s="636">
        <f>U527*V527</f>
        <v>0.10819218141440202</v>
      </c>
      <c r="Z527" s="636">
        <f>IF(VLOOKUP(138,table_CIA_JCTS,25,FALSE)+VLOOKUP(137.2,table_CIA_JCTS,24,FALSE)&lt;VLOOKUP(137.2,table_CIA_JCTS,28,FALSE),VLOOKUP(137.2,table_CIA_JCTS,28,FALSE),VLOOKUP(138,table_CIA_JCTS,25,FALSE)+VLOOKUP(137.2,table_CIA_JCTS,24,FALSE))</f>
        <v>388.97318782497393</v>
      </c>
      <c r="AA527" s="636">
        <v>391.85</v>
      </c>
      <c r="AB527" s="636">
        <f>(AA527-0.5)-Z527</f>
        <v>2.3768121750260889</v>
      </c>
      <c r="AC527" s="639" t="s">
        <v>10</v>
      </c>
      <c r="AD527" t="s">
        <v>10</v>
      </c>
    </row>
    <row r="528" spans="1:30" x14ac:dyDescent="0.2">
      <c r="B528" s="216" t="s">
        <v>10</v>
      </c>
      <c r="C528" s="215">
        <v>167</v>
      </c>
      <c r="D528" s="54">
        <f>VLOOKUP(C528,table_DI,2)</f>
        <v>1.5</v>
      </c>
      <c r="E528" s="54" t="s">
        <v>10</v>
      </c>
      <c r="F528" s="55">
        <f>VLOOKUP(C528,table_DI,5)</f>
        <v>0.9</v>
      </c>
      <c r="G528" s="54">
        <f>VLOOKUP(C528,table_DI,3)</f>
        <v>1.35</v>
      </c>
      <c r="H528" s="54" t="s">
        <v>10</v>
      </c>
      <c r="I528" s="54">
        <f>VLOOKUP(C528,table_DI,4)</f>
        <v>1.35</v>
      </c>
      <c r="J528" s="54" t="s">
        <v>10</v>
      </c>
      <c r="K528" s="56">
        <f>VLOOKUP(C528,table_DI,9)</f>
        <v>4.3098159509202486E-3</v>
      </c>
      <c r="L528" s="53">
        <f>VLOOKUP(C528,table_DI,8)</f>
        <v>652</v>
      </c>
      <c r="M528" s="55">
        <f>(0.84*(K528^0.5)*(cell_GUTDEP^0.6666)/cell_NRD)</f>
        <v>1.9330658229580402</v>
      </c>
      <c r="N528" s="53">
        <f>VLOOKUP(C528,table_DI,10)</f>
        <v>5</v>
      </c>
      <c r="O528" s="53">
        <f>(L528/(M528*60))</f>
        <v>5.6214674832117923</v>
      </c>
      <c r="P528" s="53">
        <f>N528+O528</f>
        <v>10.621467483211791</v>
      </c>
      <c r="Q528" s="55">
        <f t="shared" si="33"/>
        <v>1.2618480958387452</v>
      </c>
      <c r="R528" s="54">
        <f>Q528*I528</f>
        <v>1.7034949293823063</v>
      </c>
      <c r="S528" s="53" t="s">
        <v>10</v>
      </c>
      <c r="T528" s="55" t="s">
        <v>10</v>
      </c>
      <c r="U528" s="56" t="s">
        <v>10</v>
      </c>
      <c r="V528" s="53" t="s">
        <v>10</v>
      </c>
      <c r="W528" s="53" t="s">
        <v>10</v>
      </c>
      <c r="X528" s="53" t="s">
        <v>10</v>
      </c>
      <c r="Y528" s="55" t="s">
        <v>10</v>
      </c>
      <c r="Z528" s="55" t="s">
        <v>10</v>
      </c>
      <c r="AA528" s="55" t="s">
        <v>10</v>
      </c>
      <c r="AB528" s="55" t="s">
        <v>10</v>
      </c>
      <c r="AC528" s="57" t="s">
        <v>10</v>
      </c>
      <c r="AD528" t="s">
        <v>10</v>
      </c>
    </row>
    <row r="529" spans="2:30" x14ac:dyDescent="0.2">
      <c r="B529" s="216" t="s">
        <v>10</v>
      </c>
      <c r="C529" s="215">
        <v>168</v>
      </c>
      <c r="D529" s="54">
        <f>VLOOKUP(C529,table_DI,2)</f>
        <v>1.42</v>
      </c>
      <c r="E529" s="54" t="s">
        <v>10</v>
      </c>
      <c r="F529" s="55">
        <f>VLOOKUP(C529,table_DI,5)</f>
        <v>0.9</v>
      </c>
      <c r="G529" s="54">
        <f>VLOOKUP(C529,table_DI,3)</f>
        <v>1.278</v>
      </c>
      <c r="H529" s="54" t="s">
        <v>10</v>
      </c>
      <c r="I529" s="54">
        <f>VLOOKUP(C529,table_DI,4)</f>
        <v>1.278</v>
      </c>
      <c r="J529" s="54" t="s">
        <v>10</v>
      </c>
      <c r="K529" s="56">
        <f>VLOOKUP(C529,table_DI,9)</f>
        <v>7.1428571428571799E-3</v>
      </c>
      <c r="L529" s="53">
        <f>VLOOKUP(C529,table_DI,8)</f>
        <v>609</v>
      </c>
      <c r="M529" s="55">
        <f>(0.84*(K529^0.5)*(cell_GUTDEP^0.6666)/cell_NRD)</f>
        <v>2.4885894894239939</v>
      </c>
      <c r="N529" s="53">
        <f>VLOOKUP(C529,table_DI,10)</f>
        <v>5</v>
      </c>
      <c r="O529" s="53">
        <f>(L529/(M529*60))</f>
        <v>4.0786156347342395</v>
      </c>
      <c r="P529" s="53">
        <f>N529+O529</f>
        <v>9.0786156347342395</v>
      </c>
      <c r="Q529" s="55">
        <f t="shared" si="33"/>
        <v>1.3921689185473141</v>
      </c>
      <c r="R529" s="54">
        <f>Q529*I529</f>
        <v>1.7791918779034674</v>
      </c>
      <c r="S529" s="53" t="s">
        <v>10</v>
      </c>
      <c r="T529" s="55" t="s">
        <v>10</v>
      </c>
      <c r="U529" s="56" t="s">
        <v>10</v>
      </c>
      <c r="V529" s="53" t="s">
        <v>10</v>
      </c>
      <c r="W529" s="53" t="s">
        <v>10</v>
      </c>
      <c r="X529" s="53" t="s">
        <v>10</v>
      </c>
      <c r="Y529" s="55" t="s">
        <v>10</v>
      </c>
      <c r="Z529" s="55" t="s">
        <v>10</v>
      </c>
      <c r="AA529" s="365"/>
      <c r="AB529" s="55" t="s">
        <v>10</v>
      </c>
      <c r="AC529" s="57" t="s">
        <v>10</v>
      </c>
      <c r="AD529" t="s">
        <v>10</v>
      </c>
    </row>
    <row r="530" spans="2:30" x14ac:dyDescent="0.2">
      <c r="B530" s="216">
        <v>138</v>
      </c>
      <c r="C530" s="217" t="s">
        <v>10</v>
      </c>
      <c r="D530" s="54" t="s">
        <v>10</v>
      </c>
      <c r="E530" s="54">
        <f>VLOOKUP(137.2,table_CIA_JCTS,4,FALSE)+VLOOKUP(167,table_CIA_INLETS,2,FALSE)+VLOOKUP(168,table_CIA_INLETS,2,FALSE)</f>
        <v>55.36</v>
      </c>
      <c r="F530" s="55" t="s">
        <v>10</v>
      </c>
      <c r="G530" s="54" t="s">
        <v>10</v>
      </c>
      <c r="H530" s="54">
        <f>VLOOKUP(137.2,table_CIA_JCTS,7,FALSE)+VLOOKUP(167,table_CIA_INLETS,5,FALSE)+VLOOKUP(168,table_CIA_INLETS,5,FALSE)</f>
        <v>29.128000000000004</v>
      </c>
      <c r="I530" s="54" t="s">
        <v>10</v>
      </c>
      <c r="J530" s="54">
        <f>VLOOKUP(137.2,table_CIA_JCTS,9,FALSE)+VLOOKUP(167,table_CIA_INLETS,7,FALSE)+VLOOKUP(168,table_CIA_INLETS,7,FALSE)</f>
        <v>29.738</v>
      </c>
      <c r="K530" s="56" t="s">
        <v>10</v>
      </c>
      <c r="L530" s="53" t="s">
        <v>10</v>
      </c>
      <c r="M530" s="55" t="s">
        <v>10</v>
      </c>
      <c r="N530" s="53" t="s">
        <v>10</v>
      </c>
      <c r="O530" s="53" t="s">
        <v>10</v>
      </c>
      <c r="P530" s="53">
        <f>VLOOKUP(137.2,table_CIA_JCTS,23,FALSE)</f>
        <v>45.714709618684601</v>
      </c>
      <c r="Q530" s="55">
        <f t="shared" si="33"/>
        <v>0.50591409588049663</v>
      </c>
      <c r="R530" s="54">
        <f>J530*Q530</f>
        <v>15.044873383294208</v>
      </c>
      <c r="S530" s="593">
        <v>30</v>
      </c>
      <c r="T530" s="55">
        <f>(4*R530)/(3.14159*(S530/12)^2)</f>
        <v>3.0649190267693407</v>
      </c>
      <c r="U530" s="56">
        <f>((R530/((0.463135/cell_NP)*((S530/12)^(8/3))))^2)*cell_FF</f>
        <v>1.5473896969182212E-3</v>
      </c>
      <c r="V530" s="53">
        <v>812</v>
      </c>
      <c r="W530" s="53">
        <f>V530/(T530*60)</f>
        <v>4.4155598288671598</v>
      </c>
      <c r="X530" s="53">
        <f>W530+P530</f>
        <v>50.130269447551761</v>
      </c>
      <c r="Y530" s="55">
        <f>U530*V530</f>
        <v>1.2564804338975957</v>
      </c>
      <c r="Z530" s="55">
        <f>IF(VLOOKUP(141,table_CIA_JCTS,25,FALSE)+VLOOKUP(138,table_CIA_JCTS,24,FALSE)&lt;VLOOKUP(138,table_CIA_JCTS,28,FALSE),VLOOKUP(138,table_CIA_JCTS,28,FALSE),VLOOKUP(141,table_CIA_JCTS,25,FALSE)+VLOOKUP(138,table_CIA_JCTS,24,FALSE))</f>
        <v>388.86499564355955</v>
      </c>
      <c r="AA530" s="55">
        <v>392.06</v>
      </c>
      <c r="AB530" s="55">
        <f>(AA530-0.5)-Z530</f>
        <v>2.6950043564404496</v>
      </c>
      <c r="AC530" s="57">
        <v>387</v>
      </c>
      <c r="AD530" t="s">
        <v>458</v>
      </c>
    </row>
    <row r="531" spans="2:30" x14ac:dyDescent="0.2">
      <c r="B531" s="216" t="s">
        <v>10</v>
      </c>
      <c r="C531" s="217" t="s">
        <v>10</v>
      </c>
      <c r="D531" s="54" t="s">
        <v>10</v>
      </c>
      <c r="E531" s="54" t="s">
        <v>10</v>
      </c>
      <c r="F531" s="55" t="s">
        <v>10</v>
      </c>
      <c r="G531" s="54" t="s">
        <v>10</v>
      </c>
      <c r="H531" s="54" t="s">
        <v>10</v>
      </c>
      <c r="I531" s="54" t="s">
        <v>10</v>
      </c>
      <c r="J531" s="54" t="s">
        <v>10</v>
      </c>
      <c r="K531" s="56" t="s">
        <v>10</v>
      </c>
      <c r="L531" s="53" t="s">
        <v>10</v>
      </c>
      <c r="M531" s="55" t="s">
        <v>10</v>
      </c>
      <c r="N531" s="53" t="s">
        <v>10</v>
      </c>
      <c r="O531" s="53" t="s">
        <v>10</v>
      </c>
      <c r="P531" s="53" t="s">
        <v>10</v>
      </c>
      <c r="Q531" s="55" t="s">
        <v>10</v>
      </c>
      <c r="R531" s="54" t="s">
        <v>10</v>
      </c>
      <c r="S531" s="53" t="s">
        <v>10</v>
      </c>
      <c r="T531" s="55" t="s">
        <v>10</v>
      </c>
      <c r="U531" s="56" t="s">
        <v>10</v>
      </c>
      <c r="V531" s="53" t="s">
        <v>10</v>
      </c>
      <c r="W531" s="53" t="s">
        <v>10</v>
      </c>
      <c r="X531" s="53" t="s">
        <v>10</v>
      </c>
      <c r="Y531" s="55" t="s">
        <v>10</v>
      </c>
      <c r="Z531" s="55" t="s">
        <v>10</v>
      </c>
      <c r="AA531" s="55" t="s">
        <v>10</v>
      </c>
      <c r="AB531" s="55" t="s">
        <v>10</v>
      </c>
      <c r="AC531" s="57" t="s">
        <v>10</v>
      </c>
      <c r="AD531" t="s">
        <v>10</v>
      </c>
    </row>
    <row r="532" spans="2:30" x14ac:dyDescent="0.2">
      <c r="B532" s="216" t="s">
        <v>10</v>
      </c>
      <c r="C532" s="215">
        <v>169</v>
      </c>
      <c r="D532" s="54">
        <f>VLOOKUP(C532,table_DI,2)</f>
        <v>3.42</v>
      </c>
      <c r="E532" s="54" t="s">
        <v>10</v>
      </c>
      <c r="F532" s="55">
        <f>VLOOKUP(C532,table_DI,5)</f>
        <v>0.35000000000000003</v>
      </c>
      <c r="G532" s="54">
        <f>VLOOKUP(C532,table_DI,3)</f>
        <v>1.0944</v>
      </c>
      <c r="H532" s="54" t="s">
        <v>10</v>
      </c>
      <c r="I532" s="54">
        <f>VLOOKUP(C532,table_DI,4)</f>
        <v>1.1970000000000001</v>
      </c>
      <c r="J532" s="54" t="s">
        <v>10</v>
      </c>
      <c r="K532" s="56">
        <f>VLOOKUP(C532,table_DI,9)</f>
        <v>3.207547169811335E-3</v>
      </c>
      <c r="L532" s="53">
        <f>VLOOKUP(C532,table_DI,8)</f>
        <v>795</v>
      </c>
      <c r="M532" s="55">
        <f>(0.84*(K532^0.5)*(cell_GUTDEP^0.6666)/cell_NRD)</f>
        <v>1.6676457702432648</v>
      </c>
      <c r="N532" s="53">
        <f>VLOOKUP(C532,table_DI,10)</f>
        <v>25</v>
      </c>
      <c r="O532" s="53">
        <f>(L532/(M532*60))</f>
        <v>7.9453324179673848</v>
      </c>
      <c r="P532" s="53">
        <f>N532+O532</f>
        <v>32.945332417967386</v>
      </c>
      <c r="Q532" s="55">
        <f t="shared" ref="Q532:Q539" si="35">cell_P*(P532^cell_E)</f>
        <v>0.62109965665790168</v>
      </c>
      <c r="R532" s="54">
        <f>Q532*I532</f>
        <v>0.74345628901950833</v>
      </c>
      <c r="S532" s="53" t="s">
        <v>10</v>
      </c>
      <c r="T532" s="55" t="s">
        <v>10</v>
      </c>
      <c r="U532" s="56" t="s">
        <v>10</v>
      </c>
      <c r="V532" s="53" t="s">
        <v>10</v>
      </c>
      <c r="W532" s="53" t="s">
        <v>10</v>
      </c>
      <c r="X532" s="53" t="s">
        <v>10</v>
      </c>
      <c r="Y532" s="55" t="s">
        <v>10</v>
      </c>
      <c r="Z532" s="55" t="s">
        <v>10</v>
      </c>
      <c r="AA532" s="55" t="s">
        <v>10</v>
      </c>
      <c r="AB532" s="55" t="s">
        <v>10</v>
      </c>
      <c r="AC532" s="57" t="s">
        <v>10</v>
      </c>
      <c r="AD532" t="s">
        <v>10</v>
      </c>
    </row>
    <row r="533" spans="2:30" x14ac:dyDescent="0.2">
      <c r="B533" s="216" t="s">
        <v>10</v>
      </c>
      <c r="C533" s="215">
        <v>170</v>
      </c>
      <c r="D533" s="54">
        <f>VLOOKUP(C533,table_DI,2)</f>
        <v>2.2799999999999998</v>
      </c>
      <c r="E533" s="54" t="s">
        <v>10</v>
      </c>
      <c r="F533" s="55">
        <f>VLOOKUP(C533,table_DI,5)</f>
        <v>0.35000000000000003</v>
      </c>
      <c r="G533" s="54">
        <f>VLOOKUP(C533,table_DI,3)</f>
        <v>0.72960000000000003</v>
      </c>
      <c r="H533" s="54" t="s">
        <v>10</v>
      </c>
      <c r="I533" s="54">
        <f>VLOOKUP(C533,table_DI,4)</f>
        <v>0.79800000000000004</v>
      </c>
      <c r="J533" s="54" t="s">
        <v>10</v>
      </c>
      <c r="K533" s="56">
        <f>VLOOKUP(C533,table_DI,9)</f>
        <v>4.8407643312101331E-3</v>
      </c>
      <c r="L533" s="53">
        <f>VLOOKUP(C533,table_DI,8)</f>
        <v>471</v>
      </c>
      <c r="M533" s="55">
        <f>(0.84*(K533^0.5)*(cell_GUTDEP^0.6666)/cell_NRD)</f>
        <v>2.0486805783905591</v>
      </c>
      <c r="N533" s="53">
        <f>VLOOKUP(C533,table_DI,10)</f>
        <v>25</v>
      </c>
      <c r="O533" s="53">
        <f>(L533/(M533*60))</f>
        <v>3.8317344747647044</v>
      </c>
      <c r="P533" s="53">
        <f>N533+O533</f>
        <v>28.831734474764705</v>
      </c>
      <c r="Q533" s="55">
        <f t="shared" si="35"/>
        <v>0.67520049120943948</v>
      </c>
      <c r="R533" s="54">
        <f>Q533*I533</f>
        <v>0.53880999198513269</v>
      </c>
      <c r="S533" s="53" t="s">
        <v>10</v>
      </c>
      <c r="T533" s="55" t="s">
        <v>10</v>
      </c>
      <c r="U533" s="56" t="s">
        <v>10</v>
      </c>
      <c r="V533" s="53" t="s">
        <v>10</v>
      </c>
      <c r="W533" s="53" t="s">
        <v>10</v>
      </c>
      <c r="X533" s="53" t="s">
        <v>10</v>
      </c>
      <c r="Y533" s="55" t="s">
        <v>10</v>
      </c>
      <c r="Z533" s="55" t="s">
        <v>10</v>
      </c>
      <c r="AA533" s="55" t="s">
        <v>10</v>
      </c>
      <c r="AB533" s="55" t="s">
        <v>10</v>
      </c>
      <c r="AC533" s="57" t="s">
        <v>10</v>
      </c>
      <c r="AD533" t="s">
        <v>10</v>
      </c>
    </row>
    <row r="534" spans="2:30" x14ac:dyDescent="0.2">
      <c r="B534" s="216">
        <v>139</v>
      </c>
      <c r="C534" s="217" t="s">
        <v>10</v>
      </c>
      <c r="D534" s="54" t="s">
        <v>10</v>
      </c>
      <c r="E534" s="54">
        <f>VLOOKUP(169,table_CIA_INLETS,2,FALSE)+VLOOKUP(170,table_CIA_INLETS,2,FALSE)</f>
        <v>5.6999999999999993</v>
      </c>
      <c r="F534" s="55" t="s">
        <v>10</v>
      </c>
      <c r="G534" s="54" t="s">
        <v>10</v>
      </c>
      <c r="H534" s="54">
        <f>VLOOKUP(169,table_CIA_INLETS,5,FALSE)+VLOOKUP(170,table_CIA_INLETS,5,FALSE)</f>
        <v>1.8240000000000001</v>
      </c>
      <c r="I534" s="54" t="s">
        <v>10</v>
      </c>
      <c r="J534" s="54">
        <f>VLOOKUP(169,table_CIA_INLETS,7,FALSE)+VLOOKUP(170,table_CIA_INLETS,7,FALSE)</f>
        <v>1.9950000000000001</v>
      </c>
      <c r="K534" s="56" t="s">
        <v>10</v>
      </c>
      <c r="L534" s="53" t="s">
        <v>10</v>
      </c>
      <c r="M534" s="55" t="s">
        <v>10</v>
      </c>
      <c r="N534" s="53" t="s">
        <v>10</v>
      </c>
      <c r="O534" s="53" t="s">
        <v>10</v>
      </c>
      <c r="P534" s="53">
        <f>VLOOKUP(169,table_CIA_INLETS,14,FALSE)</f>
        <v>32.945332417967386</v>
      </c>
      <c r="Q534" s="55">
        <f t="shared" si="35"/>
        <v>0.62109965665790168</v>
      </c>
      <c r="R534" s="54">
        <f>J534*Q534</f>
        <v>1.2390938150325139</v>
      </c>
      <c r="S534" s="53">
        <v>18</v>
      </c>
      <c r="T534" s="55">
        <f>(4*R534)/(3.14159*(S534/12)^2)</f>
        <v>0.70118425668107276</v>
      </c>
      <c r="U534" s="56">
        <f>((R534/((0.463135/cell_NP)*((S534/12)^(8/3))))^2)*cell_FF</f>
        <v>1.6003844992933179E-4</v>
      </c>
      <c r="V534" s="53">
        <v>63</v>
      </c>
      <c r="W534" s="53">
        <f>V534/(T534*60)</f>
        <v>1.4974665931177387</v>
      </c>
      <c r="X534" s="53">
        <f>W534+P534</f>
        <v>34.442799011085121</v>
      </c>
      <c r="Y534" s="55">
        <f>U534*V534</f>
        <v>1.0082422345547903E-2</v>
      </c>
      <c r="Z534" s="55">
        <f>IF(VLOOKUP(140,table_CIA_JCTS,25,FALSE)+VLOOKUP(139,table_CIA_JCTS,24,FALSE)&lt;VLOOKUP(139,table_CIA_JCTS,28,FALSE),VLOOKUP(139,table_CIA_JCTS,28,FALSE),VLOOKUP(140,table_CIA_JCTS,25,FALSE)+VLOOKUP(139,table_CIA_JCTS,24,FALSE))</f>
        <v>387.66502664182468</v>
      </c>
      <c r="AA534" s="55">
        <v>390.92</v>
      </c>
      <c r="AB534" s="55">
        <f>(AA534-0.5)-Z534</f>
        <v>2.7549733581753344</v>
      </c>
      <c r="AC534" s="57">
        <v>385.64</v>
      </c>
      <c r="AD534" t="s">
        <v>462</v>
      </c>
    </row>
    <row r="535" spans="2:30" x14ac:dyDescent="0.2">
      <c r="B535" s="216" t="s">
        <v>10</v>
      </c>
      <c r="C535" s="215">
        <v>171</v>
      </c>
      <c r="D535" s="54">
        <f>VLOOKUP(C535,table_DI,2)</f>
        <v>1.1399999999999999</v>
      </c>
      <c r="E535" s="54" t="s">
        <v>10</v>
      </c>
      <c r="F535" s="55">
        <f>VLOOKUP(C535,table_DI,5)</f>
        <v>0.35000000000000003</v>
      </c>
      <c r="G535" s="54">
        <f>VLOOKUP(C535,table_DI,3)</f>
        <v>0.36480000000000001</v>
      </c>
      <c r="H535" s="54" t="s">
        <v>10</v>
      </c>
      <c r="I535" s="54">
        <f>VLOOKUP(C535,table_DI,4)</f>
        <v>0.39900000000000002</v>
      </c>
      <c r="J535" s="54" t="s">
        <v>10</v>
      </c>
      <c r="K535" s="56">
        <f>VLOOKUP(C535,table_DI,9)</f>
        <v>1.4779270633398054E-3</v>
      </c>
      <c r="L535" s="53">
        <f>VLOOKUP(C535,table_DI,8)</f>
        <v>521</v>
      </c>
      <c r="M535" s="55">
        <f>(0.84*(K535^0.5)*(cell_GUTDEP^0.6666)/cell_NRD)</f>
        <v>1.1319931043759386</v>
      </c>
      <c r="N535" s="53">
        <f>VLOOKUP(C535,table_DI,10)</f>
        <v>25</v>
      </c>
      <c r="O535" s="53">
        <f>(L535/(M535*60))</f>
        <v>7.6708358909309835</v>
      </c>
      <c r="P535" s="53">
        <f>N535+O535</f>
        <v>32.670835890930981</v>
      </c>
      <c r="Q535" s="55">
        <f t="shared" si="35"/>
        <v>0.6243623109711316</v>
      </c>
      <c r="R535" s="54">
        <f>Q535*I535</f>
        <v>0.24912056207748151</v>
      </c>
      <c r="S535" s="53" t="s">
        <v>10</v>
      </c>
      <c r="T535" s="55" t="s">
        <v>10</v>
      </c>
      <c r="U535" s="56" t="s">
        <v>10</v>
      </c>
      <c r="V535" s="53" t="s">
        <v>10</v>
      </c>
      <c r="W535" s="53" t="s">
        <v>10</v>
      </c>
      <c r="X535" s="53" t="s">
        <v>10</v>
      </c>
      <c r="Y535" s="55" t="s">
        <v>10</v>
      </c>
      <c r="Z535" s="55" t="s">
        <v>10</v>
      </c>
      <c r="AA535" s="55" t="s">
        <v>10</v>
      </c>
      <c r="AB535" s="55" t="s">
        <v>10</v>
      </c>
      <c r="AC535" s="57" t="s">
        <v>10</v>
      </c>
      <c r="AD535" t="s">
        <v>10</v>
      </c>
    </row>
    <row r="536" spans="2:30" x14ac:dyDescent="0.2">
      <c r="B536" s="216">
        <v>140</v>
      </c>
      <c r="C536" s="217" t="s">
        <v>10</v>
      </c>
      <c r="D536" s="54" t="s">
        <v>10</v>
      </c>
      <c r="E536" s="54">
        <f>VLOOKUP(139,table_CIA_JCTS,4,FALSE)+VLOOKUP(171,table_CIA_INLETS,2,FALSE)</f>
        <v>6.839999999999999</v>
      </c>
      <c r="F536" s="55" t="s">
        <v>10</v>
      </c>
      <c r="G536" s="54" t="s">
        <v>10</v>
      </c>
      <c r="H536" s="54">
        <f>VLOOKUP(139,table_CIA_JCTS,7,FALSE)+VLOOKUP(171,table_CIA_INLETS,5,FALSE)</f>
        <v>2.1888000000000001</v>
      </c>
      <c r="I536" s="54" t="s">
        <v>10</v>
      </c>
      <c r="J536" s="54">
        <f>VLOOKUP(139,table_CIA_JCTS,9,FALSE)+VLOOKUP(171,table_CIA_INLETS,7,FALSE)</f>
        <v>2.3940000000000001</v>
      </c>
      <c r="K536" s="56" t="s">
        <v>10</v>
      </c>
      <c r="L536" s="53" t="s">
        <v>10</v>
      </c>
      <c r="M536" s="55" t="s">
        <v>10</v>
      </c>
      <c r="N536" s="53" t="s">
        <v>10</v>
      </c>
      <c r="O536" s="53" t="s">
        <v>10</v>
      </c>
      <c r="P536" s="53">
        <f>VLOOKUP(139,table_CIA_JCTS,23,FALSE)</f>
        <v>34.442799011085121</v>
      </c>
      <c r="Q536" s="55">
        <f t="shared" si="35"/>
        <v>0.60404985451917903</v>
      </c>
      <c r="R536" s="54">
        <f>J536*Q536</f>
        <v>1.4460953517189146</v>
      </c>
      <c r="S536" s="53">
        <v>18</v>
      </c>
      <c r="T536" s="55">
        <f>(4*R536)/(3.14159*(S536/12)^2)</f>
        <v>0.81832326332641303</v>
      </c>
      <c r="U536" s="56">
        <f>((R536/((0.463135/cell_NP)*((S536/12)^(8/3))))^2)*cell_FF</f>
        <v>2.1797657191181724E-4</v>
      </c>
      <c r="V536" s="53">
        <v>213</v>
      </c>
      <c r="W536" s="53">
        <f>V536/(T536*60)</f>
        <v>4.3381389227156495</v>
      </c>
      <c r="X536" s="53">
        <f>W536+P536</f>
        <v>38.780937933800772</v>
      </c>
      <c r="Y536" s="55">
        <f>U536*V536</f>
        <v>4.6429009817217072E-2</v>
      </c>
      <c r="Z536" s="55">
        <f>IF(VLOOKUP(141,table_CIA_JCTS,25,FALSE)+VLOOKUP(140,table_CIA_JCTS,24,FALSE)&lt;VLOOKUP(140,table_CIA_JCTS,28,FALSE),VLOOKUP(140,table_CIA_JCTS,28,FALSE),VLOOKUP(141,table_CIA_JCTS,25,FALSE)+VLOOKUP(140,table_CIA_JCTS,24,FALSE))</f>
        <v>387.65494421947915</v>
      </c>
      <c r="AA536" s="55">
        <v>390.53</v>
      </c>
      <c r="AB536" s="55">
        <f>(AA536-0.5)-Z536</f>
        <v>2.3750557805208246</v>
      </c>
      <c r="AC536" s="57">
        <v>385.31</v>
      </c>
      <c r="AD536" t="s">
        <v>463</v>
      </c>
    </row>
    <row r="537" spans="2:30" x14ac:dyDescent="0.2">
      <c r="B537" s="216" t="s">
        <v>10</v>
      </c>
      <c r="C537" s="215">
        <v>172</v>
      </c>
      <c r="D537" s="54">
        <f>VLOOKUP(C537,table_DI,2)</f>
        <v>9.5</v>
      </c>
      <c r="E537" s="54" t="s">
        <v>10</v>
      </c>
      <c r="F537" s="55">
        <f>VLOOKUP(C537,table_DI,5)</f>
        <v>0.35000000000000003</v>
      </c>
      <c r="G537" s="54">
        <f>VLOOKUP(C537,table_DI,3)</f>
        <v>3.04</v>
      </c>
      <c r="H537" s="54" t="s">
        <v>10</v>
      </c>
      <c r="I537" s="54">
        <f>VLOOKUP(C537,table_DI,4)</f>
        <v>3.3250000000000002</v>
      </c>
      <c r="J537" s="54" t="s">
        <v>10</v>
      </c>
      <c r="K537" s="56">
        <f>VLOOKUP(C537,table_DI,9)</f>
        <v>3.2479882955376723E-3</v>
      </c>
      <c r="L537" s="53">
        <f>VLOOKUP(C537,table_DI,8)</f>
        <v>1367</v>
      </c>
      <c r="M537" s="55">
        <f>(0.84*(K537^0.5)*(cell_GUTDEP^0.6666)/cell_NRD)</f>
        <v>1.67812577581517</v>
      </c>
      <c r="N537" s="53">
        <f>VLOOKUP(C537,table_DI,10)</f>
        <v>25</v>
      </c>
      <c r="O537" s="53">
        <f>(L537/(M537*60))</f>
        <v>13.576654182709309</v>
      </c>
      <c r="P537" s="53">
        <f>N537+O537</f>
        <v>38.576654182709305</v>
      </c>
      <c r="Q537" s="55">
        <f t="shared" si="35"/>
        <v>0.56266174325608453</v>
      </c>
      <c r="R537" s="54">
        <f>Q537*I537</f>
        <v>1.8708502963264813</v>
      </c>
      <c r="S537" s="53" t="s">
        <v>10</v>
      </c>
      <c r="T537" s="55" t="s">
        <v>10</v>
      </c>
      <c r="U537" s="56" t="s">
        <v>10</v>
      </c>
      <c r="V537" s="53" t="s">
        <v>10</v>
      </c>
      <c r="W537" s="53" t="s">
        <v>10</v>
      </c>
      <c r="X537" s="53" t="s">
        <v>10</v>
      </c>
      <c r="Y537" s="55" t="s">
        <v>10</v>
      </c>
      <c r="Z537" s="55" t="s">
        <v>10</v>
      </c>
      <c r="AA537" s="55" t="s">
        <v>10</v>
      </c>
      <c r="AB537" s="55" t="s">
        <v>10</v>
      </c>
      <c r="AC537" s="57" t="s">
        <v>10</v>
      </c>
      <c r="AD537" t="s">
        <v>10</v>
      </c>
    </row>
    <row r="538" spans="2:30" x14ac:dyDescent="0.2">
      <c r="B538" s="216" t="s">
        <v>10</v>
      </c>
      <c r="C538" s="215">
        <v>173</v>
      </c>
      <c r="D538" s="54">
        <f>VLOOKUP(C538,table_DI,2)</f>
        <v>20.62</v>
      </c>
      <c r="E538" s="54" t="s">
        <v>10</v>
      </c>
      <c r="F538" s="55">
        <f>VLOOKUP(C538,table_DI,5)</f>
        <v>0.35</v>
      </c>
      <c r="G538" s="54">
        <f>VLOOKUP(C538,table_DI,3)</f>
        <v>6.5983999999999998</v>
      </c>
      <c r="H538" s="54" t="s">
        <v>10</v>
      </c>
      <c r="I538" s="54">
        <f>VLOOKUP(C538,table_DI,4)</f>
        <v>7.2169999999999996</v>
      </c>
      <c r="J538" s="54" t="s">
        <v>10</v>
      </c>
      <c r="K538" s="56">
        <f>VLOOKUP(C538,table_DI,9)</f>
        <v>2.3846153846154021E-3</v>
      </c>
      <c r="L538" s="53">
        <f>VLOOKUP(C538,table_DI,8)</f>
        <v>1560</v>
      </c>
      <c r="M538" s="55">
        <f>(0.84*(K538^0.5)*(cell_GUTDEP^0.6666)/cell_NRD)</f>
        <v>1.4378926082564956</v>
      </c>
      <c r="N538" s="53">
        <f>VLOOKUP(C538,table_DI,10)</f>
        <v>25</v>
      </c>
      <c r="O538" s="53">
        <f>(L538/(M538*60))</f>
        <v>18.082017982918821</v>
      </c>
      <c r="P538" s="53">
        <f>N538+O538</f>
        <v>43.082017982918821</v>
      </c>
      <c r="Q538" s="55">
        <f t="shared" si="35"/>
        <v>0.52505844346298769</v>
      </c>
      <c r="R538" s="54">
        <f>Q538*I538</f>
        <v>3.789346786472382</v>
      </c>
      <c r="S538" s="53" t="s">
        <v>10</v>
      </c>
      <c r="T538" s="55" t="s">
        <v>10</v>
      </c>
      <c r="U538" s="56" t="s">
        <v>10</v>
      </c>
      <c r="V538" s="53" t="s">
        <v>10</v>
      </c>
      <c r="W538" s="53" t="s">
        <v>10</v>
      </c>
      <c r="X538" s="53" t="s">
        <v>10</v>
      </c>
      <c r="Y538" s="55" t="s">
        <v>10</v>
      </c>
      <c r="Z538" s="55" t="s">
        <v>10</v>
      </c>
      <c r="AA538" s="55" t="s">
        <v>10</v>
      </c>
      <c r="AB538" s="55" t="s">
        <v>10</v>
      </c>
      <c r="AC538" s="57" t="s">
        <v>10</v>
      </c>
      <c r="AD538" t="s">
        <v>10</v>
      </c>
    </row>
    <row r="539" spans="2:30" x14ac:dyDescent="0.2">
      <c r="B539" s="216">
        <v>141</v>
      </c>
      <c r="C539" s="217" t="s">
        <v>10</v>
      </c>
      <c r="D539" s="54" t="s">
        <v>10</v>
      </c>
      <c r="E539" s="54">
        <f>VLOOKUP(138,table_CIA_JCTS,4,FALSE)+VLOOKUP(140,table_CIA_JCTS,4,FALSE)+VLOOKUP(172,table_CIA_INLETS,2,FALSE)+VLOOKUP(173,table_CIA_INLETS,2,FALSE)</f>
        <v>92.32</v>
      </c>
      <c r="F539" s="55" t="s">
        <v>10</v>
      </c>
      <c r="G539" s="54" t="s">
        <v>10</v>
      </c>
      <c r="H539" s="54">
        <f>VLOOKUP(138,table_CIA_JCTS,7,FALSE)+VLOOKUP(140,table_CIA_JCTS,7,FALSE)+VLOOKUP(172,table_CIA_INLETS,5,FALSE)+VLOOKUP(173,table_CIA_INLETS,5,FALSE)</f>
        <v>40.955200000000005</v>
      </c>
      <c r="I539" s="54" t="s">
        <v>10</v>
      </c>
      <c r="J539" s="54">
        <f>VLOOKUP(138,table_CIA_JCTS,9,FALSE)+VLOOKUP(140,table_CIA_JCTS,9,FALSE)+VLOOKUP(172,table_CIA_INLETS,7,FALSE)+VLOOKUP(173,table_CIA_INLETS,7,FALSE)</f>
        <v>42.673999999999999</v>
      </c>
      <c r="K539" s="56" t="s">
        <v>10</v>
      </c>
      <c r="L539" s="53" t="s">
        <v>10</v>
      </c>
      <c r="M539" s="55" t="s">
        <v>10</v>
      </c>
      <c r="N539" s="53" t="s">
        <v>10</v>
      </c>
      <c r="O539" s="53" t="s">
        <v>10</v>
      </c>
      <c r="P539" s="53">
        <f>VLOOKUP(138,table_CIA_JCTS,23,FALSE)</f>
        <v>50.130269447551761</v>
      </c>
      <c r="Q539" s="55">
        <f t="shared" si="35"/>
        <v>0.47753057241827884</v>
      </c>
      <c r="R539" s="54">
        <f>J539*Q539</f>
        <v>20.37813964737763</v>
      </c>
      <c r="S539" s="53">
        <v>30</v>
      </c>
      <c r="T539" s="55">
        <f>(4*R539)/(3.14159*(S539/12)^2)</f>
        <v>4.151404026089236</v>
      </c>
      <c r="U539" s="56">
        <f>((R539/((0.463135/cell_NP)*((S539/12)^(8/3))))^2)*cell_FF</f>
        <v>2.8389104584952808E-3</v>
      </c>
      <c r="V539" s="53">
        <v>721</v>
      </c>
      <c r="W539" s="53">
        <f>V539/(T539*60)</f>
        <v>2.894603028553397</v>
      </c>
      <c r="X539" s="53">
        <f>W539+P539</f>
        <v>53.024872476105159</v>
      </c>
      <c r="Y539" s="55">
        <f>U539*V539</f>
        <v>2.0468544405750975</v>
      </c>
      <c r="Z539" s="55">
        <f>IF(VLOOKUP(143,table_CIA_JCTS,25,FALSE)+VLOOKUP(141,table_CIA_JCTS,24,FALSE)&lt;VLOOKUP(141,table_CIA_JCTS,28,FALSE),VLOOKUP(141,table_CIA_JCTS,28,FALSE),VLOOKUP(143,table_CIA_JCTS,25,FALSE)+VLOOKUP(141,table_CIA_JCTS,24,FALSE))</f>
        <v>387.60851520966196</v>
      </c>
      <c r="AA539" s="55">
        <v>389.7</v>
      </c>
      <c r="AB539" s="55">
        <f>(AA539-0.5)-Z539</f>
        <v>1.5914847903380291</v>
      </c>
      <c r="AC539" s="57">
        <v>385.9</v>
      </c>
      <c r="AD539" t="s">
        <v>458</v>
      </c>
    </row>
    <row r="540" spans="2:30" x14ac:dyDescent="0.2">
      <c r="B540" s="216" t="s">
        <v>10</v>
      </c>
      <c r="C540" s="217" t="s">
        <v>10</v>
      </c>
      <c r="D540" s="54" t="s">
        <v>10</v>
      </c>
      <c r="E540" s="54" t="s">
        <v>10</v>
      </c>
      <c r="F540" s="55" t="s">
        <v>10</v>
      </c>
      <c r="G540" s="54" t="s">
        <v>10</v>
      </c>
      <c r="H540" s="54" t="s">
        <v>10</v>
      </c>
      <c r="I540" s="54" t="s">
        <v>10</v>
      </c>
      <c r="J540" s="54" t="s">
        <v>10</v>
      </c>
      <c r="K540" s="56" t="s">
        <v>10</v>
      </c>
      <c r="L540" s="53" t="s">
        <v>10</v>
      </c>
      <c r="M540" s="55" t="s">
        <v>10</v>
      </c>
      <c r="N540" s="53" t="s">
        <v>10</v>
      </c>
      <c r="O540" s="53" t="s">
        <v>10</v>
      </c>
      <c r="P540" s="53" t="s">
        <v>10</v>
      </c>
      <c r="Q540" s="55" t="s">
        <v>10</v>
      </c>
      <c r="R540" s="54" t="s">
        <v>10</v>
      </c>
      <c r="S540" s="53" t="s">
        <v>10</v>
      </c>
      <c r="T540" s="55" t="s">
        <v>10</v>
      </c>
      <c r="U540" s="56" t="s">
        <v>10</v>
      </c>
      <c r="V540" s="53" t="s">
        <v>10</v>
      </c>
      <c r="W540" s="53" t="s">
        <v>10</v>
      </c>
      <c r="X540" s="53" t="s">
        <v>10</v>
      </c>
      <c r="Y540" s="55" t="s">
        <v>10</v>
      </c>
      <c r="Z540" s="55" t="s">
        <v>10</v>
      </c>
      <c r="AA540" s="55" t="s">
        <v>10</v>
      </c>
      <c r="AB540" s="55" t="s">
        <v>10</v>
      </c>
      <c r="AC540" s="57" t="s">
        <v>10</v>
      </c>
      <c r="AD540" t="s">
        <v>10</v>
      </c>
    </row>
    <row r="541" spans="2:30" x14ac:dyDescent="0.2">
      <c r="B541" s="216" t="s">
        <v>10</v>
      </c>
      <c r="C541" s="215">
        <v>174</v>
      </c>
      <c r="D541" s="54">
        <f>VLOOKUP(C541,table_DI,2)</f>
        <v>6.49</v>
      </c>
      <c r="E541" s="54" t="s">
        <v>10</v>
      </c>
      <c r="F541" s="55">
        <f>VLOOKUP(C541,table_DI,5)</f>
        <v>0.35</v>
      </c>
      <c r="G541" s="54">
        <f>VLOOKUP(C541,table_DI,3)</f>
        <v>2.0768</v>
      </c>
      <c r="H541" s="54" t="s">
        <v>10</v>
      </c>
      <c r="I541" s="54">
        <f>VLOOKUP(C541,table_DI,4)</f>
        <v>2.2715000000000001</v>
      </c>
      <c r="J541" s="54" t="s">
        <v>10</v>
      </c>
      <c r="K541" s="56">
        <f>VLOOKUP(C541,table_DI,9)</f>
        <v>3.743718592964847E-3</v>
      </c>
      <c r="L541" s="53">
        <f>VLOOKUP(C541,table_DI,8)</f>
        <v>796</v>
      </c>
      <c r="M541" s="55">
        <f>(0.84*(K541^0.5)*(cell_GUTDEP^0.6666)/cell_NRD)</f>
        <v>1.8016435804002731</v>
      </c>
      <c r="N541" s="53">
        <f>VLOOKUP(C541,table_DI,10)</f>
        <v>25</v>
      </c>
      <c r="O541" s="53">
        <f>(L541/(M541*60))</f>
        <v>7.3636466230014248</v>
      </c>
      <c r="P541" s="53">
        <f>N541+O541</f>
        <v>32.363646623001422</v>
      </c>
      <c r="Q541" s="55">
        <f>cell_P*(P541^cell_E)</f>
        <v>0.62806681897091088</v>
      </c>
      <c r="R541" s="54">
        <f>Q541*I541</f>
        <v>1.4266537792924241</v>
      </c>
      <c r="S541" s="53" t="s">
        <v>10</v>
      </c>
      <c r="T541" s="55" t="s">
        <v>10</v>
      </c>
      <c r="U541" s="56" t="s">
        <v>10</v>
      </c>
      <c r="V541" s="53" t="s">
        <v>10</v>
      </c>
      <c r="W541" s="53" t="s">
        <v>10</v>
      </c>
      <c r="X541" s="53" t="s">
        <v>10</v>
      </c>
      <c r="Y541" s="55" t="s">
        <v>10</v>
      </c>
      <c r="Z541" s="55" t="s">
        <v>10</v>
      </c>
      <c r="AA541" s="55" t="s">
        <v>10</v>
      </c>
      <c r="AB541" s="55" t="s">
        <v>10</v>
      </c>
      <c r="AC541" s="57" t="s">
        <v>10</v>
      </c>
      <c r="AD541" t="s">
        <v>10</v>
      </c>
    </row>
    <row r="542" spans="2:30" x14ac:dyDescent="0.2">
      <c r="B542" s="216">
        <v>142</v>
      </c>
      <c r="C542" s="217" t="s">
        <v>10</v>
      </c>
      <c r="D542" s="54" t="s">
        <v>10</v>
      </c>
      <c r="E542" s="54">
        <f>VLOOKUP(174,table_CIA_INLETS,2,FALSE)</f>
        <v>6.49</v>
      </c>
      <c r="F542" s="55" t="s">
        <v>10</v>
      </c>
      <c r="G542" s="54" t="s">
        <v>10</v>
      </c>
      <c r="H542" s="54">
        <f>VLOOKUP(174,table_CIA_INLETS,5,FALSE)</f>
        <v>2.0768</v>
      </c>
      <c r="I542" s="54" t="s">
        <v>10</v>
      </c>
      <c r="J542" s="54">
        <f>VLOOKUP(174,table_CIA_INLETS,7,FALSE)</f>
        <v>2.2715000000000001</v>
      </c>
      <c r="K542" s="56" t="s">
        <v>10</v>
      </c>
      <c r="L542" s="53" t="s">
        <v>10</v>
      </c>
      <c r="M542" s="55" t="s">
        <v>10</v>
      </c>
      <c r="N542" s="53" t="s">
        <v>10</v>
      </c>
      <c r="O542" s="53" t="s">
        <v>10</v>
      </c>
      <c r="P542" s="53">
        <f>VLOOKUP(174,table_CIA_INLETS,14,FALSE)</f>
        <v>32.363646623001422</v>
      </c>
      <c r="Q542" s="55">
        <f>cell_P*(P542^cell_E)</f>
        <v>0.62806681897091088</v>
      </c>
      <c r="R542" s="54">
        <f>J542*Q542</f>
        <v>1.4266537792924241</v>
      </c>
      <c r="S542" s="53">
        <v>18</v>
      </c>
      <c r="T542" s="55">
        <f>(4*R542)/(3.14159*(S542/12)^2)</f>
        <v>0.80732157455579945</v>
      </c>
      <c r="U542" s="56">
        <f>((R542/((0.463135/cell_NP)*((S542/12)^(8/3))))^2)*cell_FF</f>
        <v>2.1215493591272217E-4</v>
      </c>
      <c r="V542" s="53">
        <v>255</v>
      </c>
      <c r="W542" s="53">
        <f>V542/(T542*60)</f>
        <v>5.2643211007192701</v>
      </c>
      <c r="X542" s="53">
        <f>W542+P542</f>
        <v>37.627967723720694</v>
      </c>
      <c r="Y542" s="55">
        <f>U542*V542</f>
        <v>5.4099508657744155E-2</v>
      </c>
      <c r="Z542" s="55">
        <f>IF(VLOOKUP(143,table_CIA_JCTS,25,FALSE)+VLOOKUP(142,table_CIA_JCTS,24,FALSE)&lt;VLOOKUP(142,table_CIA_JCTS,28,FALSE),VLOOKUP(142,table_CIA_JCTS,28,FALSE),VLOOKUP(143,table_CIA_JCTS,25,FALSE)+VLOOKUP(142,table_CIA_JCTS,24,FALSE))</f>
        <v>387.99</v>
      </c>
      <c r="AA542" s="55">
        <v>392.5</v>
      </c>
      <c r="AB542" s="55">
        <f>(AA542-0.5)-Z542</f>
        <v>4.0099999999999909</v>
      </c>
      <c r="AC542" s="57">
        <v>387.99</v>
      </c>
      <c r="AD542" t="s">
        <v>464</v>
      </c>
    </row>
    <row r="543" spans="2:30" x14ac:dyDescent="0.2">
      <c r="B543" s="216">
        <v>143</v>
      </c>
      <c r="C543" s="217" t="s">
        <v>10</v>
      </c>
      <c r="D543" s="54" t="s">
        <v>10</v>
      </c>
      <c r="E543" s="54">
        <f>VLOOKUP(141,table_CIA_JCTS,4,FALSE)+VLOOKUP(142,table_CIA_JCTS,4,FALSE)</f>
        <v>98.809999999999988</v>
      </c>
      <c r="F543" s="55" t="s">
        <v>10</v>
      </c>
      <c r="G543" s="54" t="s">
        <v>10</v>
      </c>
      <c r="H543" s="54">
        <f>VLOOKUP(141,table_CIA_JCTS,7,FALSE)+VLOOKUP(142,table_CIA_JCTS,7,FALSE)</f>
        <v>43.032000000000004</v>
      </c>
      <c r="I543" s="54" t="s">
        <v>10</v>
      </c>
      <c r="J543" s="54">
        <f>VLOOKUP(141,table_CIA_JCTS,9,FALSE)+VLOOKUP(142,table_CIA_JCTS,9,FALSE)</f>
        <v>44.945500000000003</v>
      </c>
      <c r="K543" s="56" t="s">
        <v>10</v>
      </c>
      <c r="L543" s="53" t="s">
        <v>10</v>
      </c>
      <c r="M543" s="55" t="s">
        <v>10</v>
      </c>
      <c r="N543" s="53" t="s">
        <v>10</v>
      </c>
      <c r="O543" s="53" t="s">
        <v>10</v>
      </c>
      <c r="P543" s="53">
        <f>VLOOKUP(141,table_CIA_JCTS,23,FALSE)</f>
        <v>53.024872476105159</v>
      </c>
      <c r="Q543" s="55">
        <f>cell_P*(P543^cell_E)</f>
        <v>0.46103583114364244</v>
      </c>
      <c r="R543" s="54">
        <f>J543*Q543</f>
        <v>20.721485948666583</v>
      </c>
      <c r="S543" s="53">
        <v>36</v>
      </c>
      <c r="T543" s="55">
        <f>(4*R543)/(3.14159*(S543/12)^2)</f>
        <v>2.9314930689614118</v>
      </c>
      <c r="U543" s="56">
        <f>((R543/((0.463135/cell_NP)*((S543/12)^(8/3))))^2)*cell_FF</f>
        <v>1.1101059721531736E-3</v>
      </c>
      <c r="V543" s="53">
        <v>329</v>
      </c>
      <c r="W543" s="53">
        <f>V543/(T543*60)</f>
        <v>1.8704916588037519</v>
      </c>
      <c r="X543" s="53">
        <f>W543+P543</f>
        <v>54.89536413490891</v>
      </c>
      <c r="Y543" s="55">
        <f>U543*V543</f>
        <v>0.36522486483839411</v>
      </c>
      <c r="Z543" s="55">
        <f>IF(VLOOKUP(145,table_CIA_JCTS,25,FALSE)+VLOOKUP(143,table_CIA_JCTS,24,FALSE)&lt;VLOOKUP(143,table_CIA_JCTS,28,FALSE),VLOOKUP(143,table_CIA_JCTS,28,FALSE),VLOOKUP(145,table_CIA_JCTS,25,FALSE)+VLOOKUP(143,table_CIA_JCTS,24,FALSE))</f>
        <v>385.56166076908687</v>
      </c>
      <c r="AA543" s="55">
        <v>389.78</v>
      </c>
      <c r="AB543" s="55">
        <f>(AA543-0.5)-Z543</f>
        <v>3.7183392309131023</v>
      </c>
      <c r="AC543" s="57">
        <v>385.1</v>
      </c>
      <c r="AD543" t="s">
        <v>451</v>
      </c>
    </row>
    <row r="544" spans="2:30" x14ac:dyDescent="0.2">
      <c r="B544" s="216" t="s">
        <v>10</v>
      </c>
      <c r="C544" s="217" t="s">
        <v>10</v>
      </c>
      <c r="D544" s="54" t="s">
        <v>10</v>
      </c>
      <c r="E544" s="54" t="s">
        <v>10</v>
      </c>
      <c r="F544" s="55" t="s">
        <v>10</v>
      </c>
      <c r="G544" s="54" t="s">
        <v>10</v>
      </c>
      <c r="H544" s="54" t="s">
        <v>10</v>
      </c>
      <c r="I544" s="54" t="s">
        <v>10</v>
      </c>
      <c r="J544" s="54" t="s">
        <v>10</v>
      </c>
      <c r="K544" s="56" t="s">
        <v>10</v>
      </c>
      <c r="L544" s="53" t="s">
        <v>10</v>
      </c>
      <c r="M544" s="55" t="s">
        <v>10</v>
      </c>
      <c r="N544" s="53" t="s">
        <v>10</v>
      </c>
      <c r="O544" s="53" t="s">
        <v>10</v>
      </c>
      <c r="P544" s="53" t="s">
        <v>10</v>
      </c>
      <c r="Q544" s="55" t="s">
        <v>10</v>
      </c>
      <c r="R544" s="54" t="s">
        <v>10</v>
      </c>
      <c r="S544" s="53" t="s">
        <v>10</v>
      </c>
      <c r="T544" s="55" t="s">
        <v>10</v>
      </c>
      <c r="U544" s="56" t="s">
        <v>10</v>
      </c>
      <c r="V544" s="53" t="s">
        <v>10</v>
      </c>
      <c r="W544" s="53" t="s">
        <v>10</v>
      </c>
      <c r="X544" s="53" t="s">
        <v>10</v>
      </c>
      <c r="Y544" s="55" t="s">
        <v>10</v>
      </c>
      <c r="Z544" s="55" t="s">
        <v>10</v>
      </c>
      <c r="AA544" s="55" t="s">
        <v>10</v>
      </c>
      <c r="AB544" s="55" t="s">
        <v>10</v>
      </c>
      <c r="AC544" s="57" t="s">
        <v>10</v>
      </c>
      <c r="AD544" t="s">
        <v>10</v>
      </c>
    </row>
    <row r="545" spans="2:30" x14ac:dyDescent="0.2">
      <c r="B545" s="216" t="s">
        <v>10</v>
      </c>
      <c r="C545" s="215">
        <v>175</v>
      </c>
      <c r="D545" s="54">
        <f>VLOOKUP(C545,table_DI,2)</f>
        <v>10.07</v>
      </c>
      <c r="E545" s="54" t="s">
        <v>10</v>
      </c>
      <c r="F545" s="55">
        <f>VLOOKUP(C545,table_DI,5)</f>
        <v>0.35000000000000003</v>
      </c>
      <c r="G545" s="54">
        <f>VLOOKUP(C545,table_DI,3)</f>
        <v>3.2223999999999999</v>
      </c>
      <c r="H545" s="54" t="s">
        <v>10</v>
      </c>
      <c r="I545" s="54">
        <f>VLOOKUP(C545,table_DI,4)</f>
        <v>3.5245000000000002</v>
      </c>
      <c r="J545" s="54" t="s">
        <v>10</v>
      </c>
      <c r="K545" s="56">
        <f>VLOOKUP(C545,table_DI,9)</f>
        <v>2.1641025641025782E-3</v>
      </c>
      <c r="L545" s="53">
        <f>VLOOKUP(C545,table_DI,8)</f>
        <v>975</v>
      </c>
      <c r="M545" s="55">
        <f>(0.84*(K545^0.5)*(cell_GUTDEP^0.6666)/cell_NRD)</f>
        <v>1.3697969667579748</v>
      </c>
      <c r="N545" s="53">
        <f>VLOOKUP(C545,table_DI,10)</f>
        <v>25</v>
      </c>
      <c r="O545" s="53">
        <f>(L545/(M545*60))</f>
        <v>11.863071969315554</v>
      </c>
      <c r="P545" s="53">
        <f>N545+O545</f>
        <v>36.863071969315556</v>
      </c>
      <c r="Q545" s="55">
        <f>cell_P*(P545^cell_E)</f>
        <v>0.57890088450472044</v>
      </c>
      <c r="R545" s="54">
        <f>Q545*I545</f>
        <v>2.0403361674368874</v>
      </c>
      <c r="S545" s="53" t="s">
        <v>10</v>
      </c>
      <c r="T545" s="55" t="s">
        <v>10</v>
      </c>
      <c r="U545" s="56" t="s">
        <v>10</v>
      </c>
      <c r="V545" s="53" t="s">
        <v>10</v>
      </c>
      <c r="W545" s="53" t="s">
        <v>10</v>
      </c>
      <c r="X545" s="53" t="s">
        <v>10</v>
      </c>
      <c r="Y545" s="55" t="s">
        <v>10</v>
      </c>
      <c r="Z545" s="55" t="s">
        <v>10</v>
      </c>
      <c r="AA545" s="55" t="s">
        <v>10</v>
      </c>
      <c r="AB545" s="55" t="s">
        <v>10</v>
      </c>
      <c r="AC545" s="57" t="s">
        <v>10</v>
      </c>
      <c r="AD545" t="s">
        <v>10</v>
      </c>
    </row>
    <row r="546" spans="2:30" x14ac:dyDescent="0.2">
      <c r="B546" s="216" t="s">
        <v>10</v>
      </c>
      <c r="C546" s="215">
        <v>176</v>
      </c>
      <c r="D546" s="54">
        <f>VLOOKUP(C546,table_DI,2)</f>
        <v>5.08</v>
      </c>
      <c r="E546" s="54" t="s">
        <v>10</v>
      </c>
      <c r="F546" s="55">
        <f>VLOOKUP(C546,table_DI,5)</f>
        <v>0.35</v>
      </c>
      <c r="G546" s="54">
        <f>VLOOKUP(C546,table_DI,3)</f>
        <v>1.6255999999999999</v>
      </c>
      <c r="H546" s="54" t="s">
        <v>10</v>
      </c>
      <c r="I546" s="54">
        <f>VLOOKUP(C546,table_DI,4)</f>
        <v>1.778</v>
      </c>
      <c r="J546" s="54" t="s">
        <v>10</v>
      </c>
      <c r="K546" s="56">
        <f>VLOOKUP(C546,table_DI,9)</f>
        <v>2.1530612244898099E-3</v>
      </c>
      <c r="L546" s="53">
        <f>VLOOKUP(C546,table_DI,8)</f>
        <v>980</v>
      </c>
      <c r="M546" s="55">
        <f>(0.84*(K546^0.5)*(cell_GUTDEP^0.6666)/cell_NRD)</f>
        <v>1.3662981182167819</v>
      </c>
      <c r="N546" s="53">
        <f>VLOOKUP(C546,table_DI,10)</f>
        <v>25</v>
      </c>
      <c r="O546" s="53">
        <f>(L546/(M546*60))</f>
        <v>11.954443262097669</v>
      </c>
      <c r="P546" s="53">
        <f>N546+O546</f>
        <v>36.954443262097669</v>
      </c>
      <c r="Q546" s="55">
        <f>cell_P*(P546^cell_E)</f>
        <v>0.57800415541494066</v>
      </c>
      <c r="R546" s="54">
        <f>Q546*I546</f>
        <v>1.0276913883277645</v>
      </c>
      <c r="S546" s="53" t="s">
        <v>10</v>
      </c>
      <c r="T546" s="55" t="s">
        <v>10</v>
      </c>
      <c r="U546" s="56" t="s">
        <v>10</v>
      </c>
      <c r="V546" s="53" t="s">
        <v>10</v>
      </c>
      <c r="W546" s="53" t="s">
        <v>10</v>
      </c>
      <c r="X546" s="53" t="s">
        <v>10</v>
      </c>
      <c r="Y546" s="55" t="s">
        <v>10</v>
      </c>
      <c r="Z546" s="55" t="s">
        <v>10</v>
      </c>
      <c r="AA546" s="55" t="s">
        <v>10</v>
      </c>
      <c r="AB546" s="55" t="s">
        <v>10</v>
      </c>
      <c r="AC546" s="57" t="s">
        <v>10</v>
      </c>
      <c r="AD546" t="s">
        <v>10</v>
      </c>
    </row>
    <row r="547" spans="2:30" x14ac:dyDescent="0.2">
      <c r="B547" s="216">
        <v>144</v>
      </c>
      <c r="C547" s="217" t="s">
        <v>10</v>
      </c>
      <c r="D547" s="54" t="s">
        <v>10</v>
      </c>
      <c r="E547" s="54">
        <f>+D545+D546</f>
        <v>15.15</v>
      </c>
      <c r="F547" s="55" t="s">
        <v>10</v>
      </c>
      <c r="G547" s="54" t="s">
        <v>10</v>
      </c>
      <c r="H547" s="54">
        <f>+G545+G546</f>
        <v>4.8479999999999999</v>
      </c>
      <c r="I547" s="54" t="s">
        <v>10</v>
      </c>
      <c r="J547" s="54">
        <f>+I545+I546</f>
        <v>5.3025000000000002</v>
      </c>
      <c r="K547" s="56" t="s">
        <v>10</v>
      </c>
      <c r="L547" s="53" t="s">
        <v>10</v>
      </c>
      <c r="M547" s="55" t="s">
        <v>10</v>
      </c>
      <c r="N547" s="53" t="s">
        <v>10</v>
      </c>
      <c r="O547" s="53" t="s">
        <v>10</v>
      </c>
      <c r="P547" s="53">
        <f>VLOOKUP(143,table_CIA_JCTS,23,FALSE)</f>
        <v>54.89536413490891</v>
      </c>
      <c r="Q547" s="55">
        <f>cell_P*(P547^cell_E)</f>
        <v>0.45113506957667465</v>
      </c>
      <c r="R547" s="54">
        <f>J547*Q547</f>
        <v>2.3921437064303173</v>
      </c>
      <c r="S547" s="53">
        <v>18</v>
      </c>
      <c r="T547" s="55">
        <f>(4*R547)/(3.14159*(S547/12)^2)</f>
        <v>1.3536775717209395</v>
      </c>
      <c r="U547" s="56">
        <f>((R547/((0.463135/cell_NP)*((S547/12)^(8/3))))^2)*cell_FF</f>
        <v>5.9647258851627805E-4</v>
      </c>
      <c r="V547" s="53">
        <v>128</v>
      </c>
      <c r="W547" s="53">
        <f>V547/(T547*60)</f>
        <v>1.5759538149259666</v>
      </c>
      <c r="X547" s="53">
        <f>W547+P547</f>
        <v>56.471317949834877</v>
      </c>
      <c r="Y547" s="55">
        <f>U547*V547</f>
        <v>7.634849133008359E-2</v>
      </c>
      <c r="Z547" s="55">
        <f>IF(VLOOKUP(145,table_CIA_JCTS,25,FALSE)+VLOOKUP(144,table_CIA_JCTS,24,FALSE)&lt;VLOOKUP(144,table_CIA_JCTS,28,FALSE),VLOOKUP(144,table_CIA_JCTS,28,FALSE),VLOOKUP(145,table_CIA_JCTS,25,FALSE)+VLOOKUP(144,table_CIA_JCTS,24,FALSE))</f>
        <v>385.27278439557853</v>
      </c>
      <c r="AA547" s="55">
        <v>388.05</v>
      </c>
      <c r="AB547" s="55">
        <f>(AA547-0.5)-Z547</f>
        <v>2.2772156044214853</v>
      </c>
      <c r="AC547" s="57">
        <v>383.67</v>
      </c>
      <c r="AD547" t="s">
        <v>463</v>
      </c>
    </row>
    <row r="548" spans="2:30" x14ac:dyDescent="0.2">
      <c r="B548" s="216" t="s">
        <v>10</v>
      </c>
      <c r="C548" s="215">
        <v>177</v>
      </c>
      <c r="D548" s="54">
        <f>VLOOKUP(C548,table_DI,2)</f>
        <v>2.42</v>
      </c>
      <c r="E548" s="54" t="s">
        <v>10</v>
      </c>
      <c r="F548" s="55">
        <f>VLOOKUP(C548,table_DI,5)</f>
        <v>0.35</v>
      </c>
      <c r="G548" s="54">
        <f>VLOOKUP(C548,table_DI,3)</f>
        <v>0.77439999999999998</v>
      </c>
      <c r="H548" s="54" t="s">
        <v>10</v>
      </c>
      <c r="I548" s="54">
        <f>VLOOKUP(C548,table_DI,4)</f>
        <v>0.84699999999999998</v>
      </c>
      <c r="J548" s="54" t="s">
        <v>10</v>
      </c>
      <c r="K548" s="56">
        <f>VLOOKUP(C548,table_DI,9)</f>
        <v>4.4192256341789079E-3</v>
      </c>
      <c r="L548" s="53">
        <f>VLOOKUP(C548,table_DI,8)</f>
        <v>1498</v>
      </c>
      <c r="M548" s="55">
        <f>(0.84*(K548^0.5)*(cell_GUTDEP^0.6666)/cell_NRD)</f>
        <v>1.957448606940196</v>
      </c>
      <c r="N548" s="53">
        <f>VLOOKUP(C548,table_DI,10)</f>
        <v>25</v>
      </c>
      <c r="O548" s="53">
        <f>(L548/(M548*60))</f>
        <v>12.754698426383488</v>
      </c>
      <c r="P548" s="53">
        <f>N548+O548</f>
        <v>37.754698426383484</v>
      </c>
      <c r="Q548" s="55">
        <f>cell_P*(P548^cell_E)</f>
        <v>0.57030158926891639</v>
      </c>
      <c r="R548" s="54">
        <f>Q548*I548</f>
        <v>0.48304544611077216</v>
      </c>
      <c r="S548" s="53" t="s">
        <v>10</v>
      </c>
      <c r="T548" s="55" t="s">
        <v>10</v>
      </c>
      <c r="U548" s="56" t="s">
        <v>10</v>
      </c>
      <c r="V548" s="53" t="s">
        <v>10</v>
      </c>
      <c r="W548" s="53" t="s">
        <v>10</v>
      </c>
      <c r="X548" s="53" t="s">
        <v>10</v>
      </c>
      <c r="Y548" s="55" t="s">
        <v>10</v>
      </c>
      <c r="Z548" s="55" t="s">
        <v>10</v>
      </c>
      <c r="AA548" s="55" t="s">
        <v>10</v>
      </c>
      <c r="AB548" s="55" t="s">
        <v>10</v>
      </c>
      <c r="AC548" s="57" t="s">
        <v>10</v>
      </c>
      <c r="AD548" t="s">
        <v>10</v>
      </c>
    </row>
    <row r="549" spans="2:30" x14ac:dyDescent="0.2">
      <c r="B549" s="216">
        <v>145</v>
      </c>
      <c r="C549" s="217" t="s">
        <v>10</v>
      </c>
      <c r="D549" s="54" t="s">
        <v>10</v>
      </c>
      <c r="E549" s="54">
        <f>VLOOKUP(143,table_CIA_JCTS,4,FALSE)+VLOOKUP(144,table_CIA_JCTS,4,FALSE)+VLOOKUP(177,table_CIA_INLETS,2,FALSE)</f>
        <v>116.38</v>
      </c>
      <c r="F549" s="55" t="s">
        <v>10</v>
      </c>
      <c r="G549" s="54" t="s">
        <v>10</v>
      </c>
      <c r="H549" s="54">
        <f>VLOOKUP(143,table_CIA_JCTS,7,FALSE)+VLOOKUP(144,table_CIA_JCTS,7,FALSE)+VLOOKUP(177,table_CIA_INLETS,5,FALSE)</f>
        <v>48.654400000000003</v>
      </c>
      <c r="I549" s="54" t="s">
        <v>10</v>
      </c>
      <c r="J549" s="54">
        <f>VLOOKUP(143,table_CIA_JCTS,9,FALSE)+VLOOKUP(144,table_CIA_JCTS,9,FALSE)+VLOOKUP(177,table_CIA_INLETS,7,FALSE)</f>
        <v>51.095000000000006</v>
      </c>
      <c r="K549" s="56" t="s">
        <v>10</v>
      </c>
      <c r="L549" s="53" t="s">
        <v>10</v>
      </c>
      <c r="M549" s="55" t="s">
        <v>10</v>
      </c>
      <c r="N549" s="53" t="s">
        <v>10</v>
      </c>
      <c r="O549" s="53" t="s">
        <v>10</v>
      </c>
      <c r="P549" s="53">
        <f>VLOOKUP(143,table_CIA_JCTS,23,FALSE)</f>
        <v>54.89536413490891</v>
      </c>
      <c r="Q549" s="55">
        <f>cell_P*(P549^cell_E)</f>
        <v>0.45113506957667465</v>
      </c>
      <c r="R549" s="54">
        <f>J549*Q549</f>
        <v>23.050746380020193</v>
      </c>
      <c r="S549" s="53">
        <v>36</v>
      </c>
      <c r="T549" s="55">
        <f>(4*R549)/(3.14159*(S549/12)^2)</f>
        <v>3.2610162907629143</v>
      </c>
      <c r="U549" s="56">
        <f>((R549/((0.463135/cell_NP)*((S549/12)^(8/3))))^2)*cell_FF</f>
        <v>1.3737023222542054E-3</v>
      </c>
      <c r="V549" s="53">
        <v>820</v>
      </c>
      <c r="W549" s="53">
        <f>V549/(T549*60)</f>
        <v>4.1909225370564931</v>
      </c>
      <c r="X549" s="53">
        <f>W549+P549</f>
        <v>59.086286671965404</v>
      </c>
      <c r="Y549" s="55">
        <f>U549*V549</f>
        <v>1.1264359042484484</v>
      </c>
      <c r="Z549" s="55">
        <f>IF(VLOOKUP(153.1,table_CIA_JCTS,25,FALSE)+VLOOKUP(145,table_CIA_JCTS,24,FALSE)&lt;VLOOKUP(145,table_CIA_JCTS,28,FALSE),VLOOKUP(145,table_CIA_JCTS,28,FALSE),VLOOKUP(153.1,table_CIA_JCTS,25,FALSE)+VLOOKUP(145,table_CIA_JCTS,24,FALSE))</f>
        <v>385.19643590424846</v>
      </c>
      <c r="AA549" s="55">
        <v>388.56</v>
      </c>
      <c r="AB549" s="55">
        <f>(AA549-0.5)-Z549</f>
        <v>2.863564095751542</v>
      </c>
      <c r="AC549" s="57">
        <v>384.66</v>
      </c>
      <c r="AD549" t="s">
        <v>451</v>
      </c>
    </row>
    <row r="550" spans="2:30" x14ac:dyDescent="0.2">
      <c r="B550" s="216" t="s">
        <v>10</v>
      </c>
      <c r="C550" s="217" t="s">
        <v>10</v>
      </c>
      <c r="D550" s="54" t="s">
        <v>10</v>
      </c>
      <c r="E550" s="54" t="s">
        <v>10</v>
      </c>
      <c r="F550" s="55" t="s">
        <v>10</v>
      </c>
      <c r="G550" s="54" t="s">
        <v>10</v>
      </c>
      <c r="H550" s="54" t="s">
        <v>10</v>
      </c>
      <c r="I550" s="54" t="s">
        <v>10</v>
      </c>
      <c r="J550" s="54" t="s">
        <v>10</v>
      </c>
      <c r="K550" s="56" t="s">
        <v>10</v>
      </c>
      <c r="L550" s="53" t="s">
        <v>10</v>
      </c>
      <c r="M550" s="55" t="s">
        <v>10</v>
      </c>
      <c r="N550" s="53" t="s">
        <v>10</v>
      </c>
      <c r="O550" s="53" t="s">
        <v>10</v>
      </c>
      <c r="P550" s="53" t="s">
        <v>10</v>
      </c>
      <c r="Q550" s="55" t="s">
        <v>10</v>
      </c>
      <c r="R550" s="54" t="s">
        <v>10</v>
      </c>
      <c r="S550" s="53" t="s">
        <v>10</v>
      </c>
      <c r="T550" s="55" t="s">
        <v>10</v>
      </c>
      <c r="U550" s="56" t="s">
        <v>10</v>
      </c>
      <c r="V550" s="53" t="s">
        <v>10</v>
      </c>
      <c r="W550" s="53" t="s">
        <v>10</v>
      </c>
      <c r="X550" s="53" t="s">
        <v>10</v>
      </c>
      <c r="Y550" s="55" t="s">
        <v>10</v>
      </c>
      <c r="Z550" s="55" t="s">
        <v>10</v>
      </c>
      <c r="AA550" s="55" t="s">
        <v>10</v>
      </c>
      <c r="AB550" s="55" t="s">
        <v>10</v>
      </c>
      <c r="AC550" s="57" t="s">
        <v>10</v>
      </c>
      <c r="AD550" t="s">
        <v>10</v>
      </c>
    </row>
    <row r="551" spans="2:30" x14ac:dyDescent="0.2">
      <c r="B551" s="216" t="s">
        <v>10</v>
      </c>
      <c r="C551" s="215">
        <v>178</v>
      </c>
      <c r="D551" s="54">
        <f>VLOOKUP(C551,table_DI,2)</f>
        <v>3.33</v>
      </c>
      <c r="E551" s="54" t="s">
        <v>10</v>
      </c>
      <c r="F551" s="55">
        <f>VLOOKUP(C551,table_DI,5)</f>
        <v>0.35</v>
      </c>
      <c r="G551" s="54">
        <f>VLOOKUP(C551,table_DI,3)</f>
        <v>1.0656000000000001</v>
      </c>
      <c r="H551" s="54" t="s">
        <v>10</v>
      </c>
      <c r="I551" s="54">
        <f>VLOOKUP(C551,table_DI,4)</f>
        <v>1.1655</v>
      </c>
      <c r="J551" s="54" t="s">
        <v>10</v>
      </c>
      <c r="K551" s="56">
        <f>VLOOKUP(C551,table_DI,9)</f>
        <v>3.190730837789698E-3</v>
      </c>
      <c r="L551" s="53">
        <f>VLOOKUP(C551,table_DI,8)</f>
        <v>561</v>
      </c>
      <c r="M551" s="55">
        <f>(0.84*(K551^0.5)*(cell_GUTDEP^0.6666)/cell_NRD)</f>
        <v>1.6632685098978672</v>
      </c>
      <c r="N551" s="53">
        <f>VLOOKUP(C551,table_DI,10)</f>
        <v>25</v>
      </c>
      <c r="O551" s="53">
        <f>(L551/(M551*60))</f>
        <v>5.621461564599775</v>
      </c>
      <c r="P551" s="53">
        <f>N551+O551</f>
        <v>30.621461564599777</v>
      </c>
      <c r="Q551" s="55">
        <f>cell_P*(P551^cell_E)</f>
        <v>0.65021112675133597</v>
      </c>
      <c r="R551" s="54">
        <f>Q551*I551</f>
        <v>0.757821068228682</v>
      </c>
      <c r="S551" s="53" t="s">
        <v>10</v>
      </c>
      <c r="T551" s="55" t="s">
        <v>10</v>
      </c>
      <c r="U551" s="56" t="s">
        <v>10</v>
      </c>
      <c r="V551" s="53" t="s">
        <v>10</v>
      </c>
      <c r="W551" s="53" t="s">
        <v>10</v>
      </c>
      <c r="X551" s="53" t="s">
        <v>10</v>
      </c>
      <c r="Y551" s="55" t="s">
        <v>10</v>
      </c>
      <c r="Z551" s="55" t="s">
        <v>10</v>
      </c>
      <c r="AA551" s="55" t="s">
        <v>10</v>
      </c>
      <c r="AB551" s="55" t="s">
        <v>10</v>
      </c>
      <c r="AC551" s="57" t="s">
        <v>10</v>
      </c>
      <c r="AD551" t="s">
        <v>10</v>
      </c>
    </row>
    <row r="552" spans="2:30" x14ac:dyDescent="0.2">
      <c r="B552" s="216">
        <v>146</v>
      </c>
      <c r="C552" s="217" t="s">
        <v>10</v>
      </c>
      <c r="D552" s="54" t="s">
        <v>10</v>
      </c>
      <c r="E552" s="54">
        <f>VLOOKUP(178,table_CIA_INLETS,2,FALSE)</f>
        <v>3.33</v>
      </c>
      <c r="F552" s="55" t="s">
        <v>10</v>
      </c>
      <c r="G552" s="54" t="s">
        <v>10</v>
      </c>
      <c r="H552" s="54">
        <f>VLOOKUP(178,table_CIA_INLETS,5,FALSE)</f>
        <v>1.0656000000000001</v>
      </c>
      <c r="I552" s="54" t="s">
        <v>10</v>
      </c>
      <c r="J552" s="54">
        <f>VLOOKUP(178,table_CIA_INLETS,7,FALSE)</f>
        <v>1.1655</v>
      </c>
      <c r="K552" s="56" t="s">
        <v>10</v>
      </c>
      <c r="L552" s="53" t="s">
        <v>10</v>
      </c>
      <c r="M552" s="55" t="s">
        <v>10</v>
      </c>
      <c r="N552" s="53" t="s">
        <v>10</v>
      </c>
      <c r="O552" s="53" t="s">
        <v>10</v>
      </c>
      <c r="P552" s="53">
        <f>VLOOKUP(178,table_CIA_INLETS,14,FALSE)</f>
        <v>30.621461564599777</v>
      </c>
      <c r="Q552" s="55">
        <f>cell_P*(P552^cell_E)</f>
        <v>0.65021112675133597</v>
      </c>
      <c r="R552" s="54">
        <f>J552*Q552</f>
        <v>0.757821068228682</v>
      </c>
      <c r="S552" s="53">
        <v>15</v>
      </c>
      <c r="T552" s="55">
        <f>(4*R552)/(3.14159*(S552/12)^2)</f>
        <v>0.61752868282157314</v>
      </c>
      <c r="U552" s="56">
        <f>((R552/((0.463135/cell_NP)*((S552/12)^(8/3))))^2)*cell_FF</f>
        <v>1.5828847200226404E-4</v>
      </c>
      <c r="V552" s="53">
        <v>210</v>
      </c>
      <c r="W552" s="53">
        <f>V552/(T552*60)</f>
        <v>5.6677529276988734</v>
      </c>
      <c r="X552" s="53">
        <f>W552+P552</f>
        <v>36.289214492298647</v>
      </c>
      <c r="Y552" s="55">
        <f>U552*V552</f>
        <v>3.3240579120475448E-2</v>
      </c>
      <c r="Z552" s="55">
        <f>IF(VLOOKUP(147,table_CIA_JCTS,25,FALSE)+VLOOKUP(146,table_CIA_JCTS,24,FALSE)&lt;VLOOKUP(146,table_CIA_JCTS,28,FALSE),VLOOKUP(146,table_CIA_JCTS,28,FALSE),VLOOKUP(147,table_CIA_JCTS,25,FALSE)+VLOOKUP(146,table_CIA_JCTS,24,FALSE))</f>
        <v>389.49</v>
      </c>
      <c r="AA552" s="55">
        <v>394.07</v>
      </c>
      <c r="AB552" s="55">
        <f>(AA552-0.5)-Z552</f>
        <v>4.0799999999999841</v>
      </c>
      <c r="AC552" s="57">
        <v>389.49</v>
      </c>
      <c r="AD552" t="s">
        <v>467</v>
      </c>
    </row>
    <row r="553" spans="2:30" x14ac:dyDescent="0.2">
      <c r="B553" s="216" t="s">
        <v>10</v>
      </c>
      <c r="C553" s="215">
        <v>179</v>
      </c>
      <c r="D553" s="54">
        <f>VLOOKUP(C553,table_DI,2)</f>
        <v>1.78</v>
      </c>
      <c r="E553" s="54" t="s">
        <v>10</v>
      </c>
      <c r="F553" s="55">
        <f>VLOOKUP(C553,table_DI,5)</f>
        <v>0.35</v>
      </c>
      <c r="G553" s="54">
        <f>VLOOKUP(C553,table_DI,3)</f>
        <v>0.5696</v>
      </c>
      <c r="H553" s="54" t="s">
        <v>10</v>
      </c>
      <c r="I553" s="54">
        <f>VLOOKUP(C553,table_DI,4)</f>
        <v>0.623</v>
      </c>
      <c r="J553" s="54" t="s">
        <v>10</v>
      </c>
      <c r="K553" s="56">
        <f>VLOOKUP(C553,table_DI,9)</f>
        <v>4.5747800586510333E-3</v>
      </c>
      <c r="L553" s="53">
        <f>VLOOKUP(C553,table_DI,8)</f>
        <v>341</v>
      </c>
      <c r="M553" s="55">
        <f>(0.84*(K553^0.5)*(cell_GUTDEP^0.6666)/cell_NRD)</f>
        <v>1.9916012494678634</v>
      </c>
      <c r="N553" s="53">
        <f>VLOOKUP(C553,table_DI,10)</f>
        <v>25</v>
      </c>
      <c r="O553" s="53">
        <f>(L553/(M553*60))</f>
        <v>2.8536502147966942</v>
      </c>
      <c r="P553" s="53">
        <f>N553+O553</f>
        <v>27.853650214796694</v>
      </c>
      <c r="Q553" s="55">
        <f>cell_P*(P553^cell_E)</f>
        <v>0.68995162779534558</v>
      </c>
      <c r="R553" s="54">
        <f>Q553*I553</f>
        <v>0.42983986411650027</v>
      </c>
      <c r="S553" s="53" t="s">
        <v>10</v>
      </c>
      <c r="T553" s="55" t="s">
        <v>10</v>
      </c>
      <c r="U553" s="56" t="s">
        <v>10</v>
      </c>
      <c r="V553" s="53" t="s">
        <v>10</v>
      </c>
      <c r="W553" s="53" t="s">
        <v>10</v>
      </c>
      <c r="X553" s="53" t="s">
        <v>10</v>
      </c>
      <c r="Y553" s="55" t="s">
        <v>10</v>
      </c>
      <c r="Z553" s="55" t="s">
        <v>10</v>
      </c>
      <c r="AA553" s="55" t="s">
        <v>10</v>
      </c>
      <c r="AB553" s="55" t="s">
        <v>10</v>
      </c>
      <c r="AC553" s="57" t="s">
        <v>10</v>
      </c>
      <c r="AD553" t="s">
        <v>10</v>
      </c>
    </row>
    <row r="554" spans="2:30" x14ac:dyDescent="0.2">
      <c r="B554" s="216">
        <v>147</v>
      </c>
      <c r="C554" s="217" t="s">
        <v>10</v>
      </c>
      <c r="D554" s="54" t="s">
        <v>10</v>
      </c>
      <c r="E554" s="54">
        <f>VLOOKUP(146,table_CIA_JCTS,4,FALSE)+VLOOKUP(179,table_CIA_INLETS,2,FALSE)</f>
        <v>5.1100000000000003</v>
      </c>
      <c r="F554" s="55" t="s">
        <v>10</v>
      </c>
      <c r="G554" s="54" t="s">
        <v>10</v>
      </c>
      <c r="H554" s="54">
        <f>VLOOKUP(146,table_CIA_JCTS,7,FALSE)+VLOOKUP(179,table_CIA_INLETS,5,FALSE)</f>
        <v>1.6352000000000002</v>
      </c>
      <c r="I554" s="54" t="s">
        <v>10</v>
      </c>
      <c r="J554" s="54">
        <f>VLOOKUP(146,table_CIA_JCTS,9,FALSE)+VLOOKUP(179,table_CIA_INLETS,7,FALSE)</f>
        <v>1.7885</v>
      </c>
      <c r="K554" s="56" t="s">
        <v>10</v>
      </c>
      <c r="L554" s="53" t="s">
        <v>10</v>
      </c>
      <c r="M554" s="55" t="s">
        <v>10</v>
      </c>
      <c r="N554" s="53" t="s">
        <v>10</v>
      </c>
      <c r="O554" s="53" t="s">
        <v>10</v>
      </c>
      <c r="P554" s="53">
        <f>VLOOKUP(146,table_CIA_JCTS,23,FALSE)</f>
        <v>36.289214492298647</v>
      </c>
      <c r="Q554" s="55">
        <f>cell_P*(P554^cell_E)</f>
        <v>0.5846165593832009</v>
      </c>
      <c r="R554" s="54">
        <f>J554*Q554</f>
        <v>1.0455867164568549</v>
      </c>
      <c r="S554" s="53">
        <v>15</v>
      </c>
      <c r="T554" s="55">
        <f>(4*R554)/(3.14159*(S554/12)^2)</f>
        <v>0.85202142677101356</v>
      </c>
      <c r="U554" s="56">
        <f>((R554/((0.463135/cell_NP)*((S554/12)^(8/3))))^2)*cell_FF</f>
        <v>3.0132561469149569E-4</v>
      </c>
      <c r="V554" s="53">
        <v>221</v>
      </c>
      <c r="W554" s="53">
        <f>V554/(T554*60)</f>
        <v>4.3230524698098396</v>
      </c>
      <c r="X554" s="53">
        <f>W554+P554</f>
        <v>40.612266962108485</v>
      </c>
      <c r="Y554" s="55">
        <f>U554*V554</f>
        <v>6.6592960846820551E-2</v>
      </c>
      <c r="Z554" s="55">
        <f>IF(VLOOKUP(149,table_CIA_JCTS,25,FALSE)+VLOOKUP(147,table_CIA_JCTS,24,FALSE)&lt;VLOOKUP(147,table_CIA_JCTS,28,FALSE),VLOOKUP(147,table_CIA_JCTS,28,FALSE),VLOOKUP(149,table_CIA_JCTS,25,FALSE)+VLOOKUP(147,table_CIA_JCTS,24,FALSE))</f>
        <v>387.53659296084686</v>
      </c>
      <c r="AA554" s="55">
        <v>394.07</v>
      </c>
      <c r="AB554" s="55">
        <f>(AA554-0.5)-Z554</f>
        <v>6.0334070391531327</v>
      </c>
      <c r="AC554" s="57">
        <v>387.13</v>
      </c>
      <c r="AD554" t="s">
        <v>467</v>
      </c>
    </row>
    <row r="555" spans="2:30" x14ac:dyDescent="0.2">
      <c r="B555" s="216" t="s">
        <v>10</v>
      </c>
      <c r="C555" s="217" t="s">
        <v>10</v>
      </c>
      <c r="D555" s="54" t="s">
        <v>10</v>
      </c>
      <c r="E555" s="54" t="s">
        <v>10</v>
      </c>
      <c r="F555" s="55" t="s">
        <v>10</v>
      </c>
      <c r="G555" s="54" t="s">
        <v>10</v>
      </c>
      <c r="H555" s="54" t="s">
        <v>10</v>
      </c>
      <c r="I555" s="54" t="s">
        <v>10</v>
      </c>
      <c r="J555" s="54" t="s">
        <v>10</v>
      </c>
      <c r="K555" s="56" t="s">
        <v>10</v>
      </c>
      <c r="L555" s="53" t="s">
        <v>10</v>
      </c>
      <c r="M555" s="55" t="s">
        <v>10</v>
      </c>
      <c r="N555" s="53" t="s">
        <v>10</v>
      </c>
      <c r="O555" s="53" t="s">
        <v>10</v>
      </c>
      <c r="P555" s="53" t="s">
        <v>10</v>
      </c>
      <c r="Q555" s="55" t="s">
        <v>10</v>
      </c>
      <c r="R555" s="54" t="s">
        <v>10</v>
      </c>
      <c r="S555" s="53" t="s">
        <v>10</v>
      </c>
      <c r="T555" s="55" t="s">
        <v>10</v>
      </c>
      <c r="U555" s="56" t="s">
        <v>10</v>
      </c>
      <c r="V555" s="53" t="s">
        <v>10</v>
      </c>
      <c r="W555" s="53" t="s">
        <v>10</v>
      </c>
      <c r="X555" s="53" t="s">
        <v>10</v>
      </c>
      <c r="Y555" s="55" t="s">
        <v>10</v>
      </c>
      <c r="Z555" s="55" t="s">
        <v>10</v>
      </c>
      <c r="AA555" s="55" t="s">
        <v>10</v>
      </c>
      <c r="AB555" s="55" t="s">
        <v>10</v>
      </c>
      <c r="AC555" s="57" t="s">
        <v>10</v>
      </c>
      <c r="AD555" t="s">
        <v>10</v>
      </c>
    </row>
    <row r="556" spans="2:30" x14ac:dyDescent="0.2">
      <c r="B556" s="216" t="s">
        <v>10</v>
      </c>
      <c r="C556" s="215">
        <v>180</v>
      </c>
      <c r="D556" s="54">
        <f>VLOOKUP(C556,table_DI,2)</f>
        <v>1.89</v>
      </c>
      <c r="E556" s="54" t="s">
        <v>10</v>
      </c>
      <c r="F556" s="55">
        <f>VLOOKUP(C556,table_DI,5)</f>
        <v>0.35000000000000003</v>
      </c>
      <c r="G556" s="54">
        <f>VLOOKUP(C556,table_DI,3)</f>
        <v>0.6048</v>
      </c>
      <c r="H556" s="54" t="s">
        <v>10</v>
      </c>
      <c r="I556" s="54">
        <f>VLOOKUP(C556,table_DI,4)</f>
        <v>0.66149999999999998</v>
      </c>
      <c r="J556" s="54" t="s">
        <v>10</v>
      </c>
      <c r="K556" s="56">
        <f>VLOOKUP(C556,table_DI,9)</f>
        <v>2.7140255009107635E-3</v>
      </c>
      <c r="L556" s="53">
        <f>VLOOKUP(C556,table_DI,8)</f>
        <v>549</v>
      </c>
      <c r="M556" s="55">
        <f>(0.84*(K556^0.5)*(cell_GUTDEP^0.6666)/cell_NRD)</f>
        <v>1.533996053704888</v>
      </c>
      <c r="N556" s="53">
        <f>VLOOKUP(C556,table_DI,10)</f>
        <v>25</v>
      </c>
      <c r="O556" s="53">
        <f>(L556/(M556*60))</f>
        <v>5.9648132587440728</v>
      </c>
      <c r="P556" s="53">
        <f>N556+O556</f>
        <v>30.964813258744073</v>
      </c>
      <c r="Q556" s="55">
        <f t="shared" ref="Q556:Q564" si="36">cell_P*(P556^cell_E)</f>
        <v>0.64568692571772401</v>
      </c>
      <c r="R556" s="54">
        <f>Q556*I556</f>
        <v>0.4271219013622744</v>
      </c>
      <c r="S556" s="53" t="s">
        <v>10</v>
      </c>
      <c r="T556" s="55" t="s">
        <v>10</v>
      </c>
      <c r="U556" s="56" t="s">
        <v>10</v>
      </c>
      <c r="V556" s="53" t="s">
        <v>10</v>
      </c>
      <c r="W556" s="53" t="s">
        <v>10</v>
      </c>
      <c r="X556" s="53" t="s">
        <v>10</v>
      </c>
      <c r="Y556" s="55" t="s">
        <v>10</v>
      </c>
      <c r="Z556" s="55" t="s">
        <v>10</v>
      </c>
      <c r="AA556" s="55" t="s">
        <v>10</v>
      </c>
      <c r="AB556" s="55" t="s">
        <v>10</v>
      </c>
      <c r="AC556" s="57" t="s">
        <v>10</v>
      </c>
      <c r="AD556" t="s">
        <v>10</v>
      </c>
    </row>
    <row r="557" spans="2:30" x14ac:dyDescent="0.2">
      <c r="B557" s="216">
        <v>148</v>
      </c>
      <c r="C557" s="217" t="s">
        <v>10</v>
      </c>
      <c r="D557" s="54" t="s">
        <v>10</v>
      </c>
      <c r="E557" s="54">
        <f>VLOOKUP(180,table_CIA_INLETS,2,FALSE)</f>
        <v>1.89</v>
      </c>
      <c r="F557" s="55" t="s">
        <v>10</v>
      </c>
      <c r="G557" s="54" t="s">
        <v>10</v>
      </c>
      <c r="H557" s="54">
        <f>VLOOKUP(180,table_CIA_INLETS,5,FALSE)</f>
        <v>0.6048</v>
      </c>
      <c r="I557" s="54" t="s">
        <v>10</v>
      </c>
      <c r="J557" s="54">
        <f>VLOOKUP(180,table_CIA_INLETS,7,FALSE)</f>
        <v>0.66149999999999998</v>
      </c>
      <c r="K557" s="56" t="s">
        <v>10</v>
      </c>
      <c r="L557" s="53" t="s">
        <v>10</v>
      </c>
      <c r="M557" s="55" t="s">
        <v>10</v>
      </c>
      <c r="N557" s="53" t="s">
        <v>10</v>
      </c>
      <c r="O557" s="53" t="s">
        <v>10</v>
      </c>
      <c r="P557" s="53">
        <f>VLOOKUP(180,table_CIA_INLETS,14,FALSE)</f>
        <v>30.964813258744073</v>
      </c>
      <c r="Q557" s="55">
        <f t="shared" si="36"/>
        <v>0.64568692571772401</v>
      </c>
      <c r="R557" s="54">
        <f>J557*Q557</f>
        <v>0.4271219013622744</v>
      </c>
      <c r="S557" s="53">
        <v>15</v>
      </c>
      <c r="T557" s="55">
        <f>(4*R557)/(3.14159*(S557/12)^2)</f>
        <v>0.34805053093733507</v>
      </c>
      <c r="U557" s="56">
        <f>((R557/((0.463135/cell_NP)*((S557/12)^(8/3))))^2)*cell_FF</f>
        <v>5.0282819190846401E-5</v>
      </c>
      <c r="V557" s="53">
        <v>359</v>
      </c>
      <c r="W557" s="53">
        <f>V557/(T557*60)</f>
        <v>17.190990392169823</v>
      </c>
      <c r="X557" s="53">
        <f>W557+P557</f>
        <v>48.155803650913896</v>
      </c>
      <c r="Y557" s="55">
        <f>U557*V557</f>
        <v>1.8051532089513857E-2</v>
      </c>
      <c r="Z557" s="55">
        <f>IF(VLOOKUP(149,table_CIA_JCTS,25,FALSE)+VLOOKUP(148,table_CIA_JCTS,24,FALSE)&lt;VLOOKUP(148,table_CIA_JCTS,28,FALSE),VLOOKUP(148,table_CIA_JCTS,28,FALSE),VLOOKUP(149,table_CIA_JCTS,25,FALSE)+VLOOKUP(148,table_CIA_JCTS,24,FALSE))</f>
        <v>388.07</v>
      </c>
      <c r="AA557" s="55">
        <v>393.27</v>
      </c>
      <c r="AB557" s="55">
        <f>(AA557-0.5)-Z557</f>
        <v>4.6999999999999886</v>
      </c>
      <c r="AC557" s="57">
        <v>388.07</v>
      </c>
      <c r="AD557" t="s">
        <v>468</v>
      </c>
    </row>
    <row r="558" spans="2:30" x14ac:dyDescent="0.2">
      <c r="B558" s="216" t="s">
        <v>10</v>
      </c>
      <c r="C558" s="215">
        <v>181</v>
      </c>
      <c r="D558" s="54">
        <f>VLOOKUP(C558,table_DI,2)</f>
        <v>1.9</v>
      </c>
      <c r="E558" s="54" t="s">
        <v>10</v>
      </c>
      <c r="F558" s="55">
        <f>VLOOKUP(C558,table_DI,5)</f>
        <v>0.35000000000000003</v>
      </c>
      <c r="G558" s="54">
        <f>VLOOKUP(C558,table_DI,3)</f>
        <v>0.60799999999999998</v>
      </c>
      <c r="H558" s="54" t="s">
        <v>10</v>
      </c>
      <c r="I558" s="54">
        <f>VLOOKUP(C558,table_DI,4)</f>
        <v>0.66500000000000004</v>
      </c>
      <c r="J558" s="54" t="s">
        <v>10</v>
      </c>
      <c r="K558" s="56">
        <f>VLOOKUP(C558,table_DI,9)</f>
        <v>2.7898550724638053E-3</v>
      </c>
      <c r="L558" s="53">
        <f>VLOOKUP(C558,table_DI,8)</f>
        <v>552</v>
      </c>
      <c r="M558" s="55">
        <f>(0.84*(K558^0.5)*(cell_GUTDEP^0.6666)/cell_NRD)</f>
        <v>1.5552782619904866</v>
      </c>
      <c r="N558" s="53">
        <f>VLOOKUP(C558,table_DI,10)</f>
        <v>25</v>
      </c>
      <c r="O558" s="53">
        <f>(L558/(M558*60))</f>
        <v>5.9153401837080875</v>
      </c>
      <c r="P558" s="53">
        <f>N558+O558</f>
        <v>30.915340183708089</v>
      </c>
      <c r="Q558" s="55">
        <f t="shared" si="36"/>
        <v>0.64633377055044849</v>
      </c>
      <c r="R558" s="54">
        <f>Q558*I558</f>
        <v>0.42981195741604827</v>
      </c>
      <c r="S558" s="53" t="s">
        <v>10</v>
      </c>
      <c r="T558" s="55" t="s">
        <v>10</v>
      </c>
      <c r="U558" s="56" t="s">
        <v>10</v>
      </c>
      <c r="V558" s="53" t="s">
        <v>10</v>
      </c>
      <c r="W558" s="53" t="s">
        <v>10</v>
      </c>
      <c r="X558" s="53" t="s">
        <v>10</v>
      </c>
      <c r="Y558" s="55" t="s">
        <v>10</v>
      </c>
      <c r="Z558" s="55" t="s">
        <v>10</v>
      </c>
      <c r="AA558" s="55" t="s">
        <v>10</v>
      </c>
      <c r="AB558" s="55" t="s">
        <v>10</v>
      </c>
      <c r="AC558" s="57" t="s">
        <v>10</v>
      </c>
      <c r="AD558" t="s">
        <v>10</v>
      </c>
    </row>
    <row r="559" spans="2:30" x14ac:dyDescent="0.2">
      <c r="B559" s="216">
        <v>149</v>
      </c>
      <c r="C559" s="217" t="s">
        <v>10</v>
      </c>
      <c r="D559" s="54" t="s">
        <v>10</v>
      </c>
      <c r="E559" s="54">
        <f>VLOOKUP(147,table_CIA_JCTS,4,FALSE)+VLOOKUP(148,table_CIA_JCTS,4,FALSE)+VLOOKUP(181,table_CIA_INLETS,2,FALSE)</f>
        <v>8.9</v>
      </c>
      <c r="F559" s="55" t="s">
        <v>10</v>
      </c>
      <c r="G559" s="54" t="s">
        <v>10</v>
      </c>
      <c r="H559" s="54">
        <f>VLOOKUP(147,table_CIA_JCTS,7,FALSE)+VLOOKUP(148,table_CIA_JCTS,7,FALSE)+VLOOKUP(181,table_CIA_INLETS,5,FALSE)</f>
        <v>2.8480000000000003</v>
      </c>
      <c r="I559" s="54" t="s">
        <v>10</v>
      </c>
      <c r="J559" s="54">
        <f>VLOOKUP(147,table_CIA_JCTS,9,FALSE)+VLOOKUP(148,table_CIA_JCTS,9,FALSE)+VLOOKUP(181,table_CIA_INLETS,7,FALSE)</f>
        <v>3.1150000000000002</v>
      </c>
      <c r="K559" s="56" t="s">
        <v>10</v>
      </c>
      <c r="L559" s="53" t="s">
        <v>10</v>
      </c>
      <c r="M559" s="55" t="s">
        <v>10</v>
      </c>
      <c r="N559" s="53" t="s">
        <v>10</v>
      </c>
      <c r="O559" s="53" t="s">
        <v>10</v>
      </c>
      <c r="P559" s="53">
        <f>VLOOKUP(147,table_CIA_JCTS,23,FALSE)</f>
        <v>40.612266962108485</v>
      </c>
      <c r="Q559" s="55">
        <f t="shared" si="36"/>
        <v>0.5448320743786953</v>
      </c>
      <c r="R559" s="54">
        <f>J559*Q559</f>
        <v>1.6971519116896359</v>
      </c>
      <c r="S559" s="53">
        <v>15</v>
      </c>
      <c r="T559" s="55">
        <f>(4*R559)/(3.14159*(S559/12)^2)</f>
        <v>1.3829649616676485</v>
      </c>
      <c r="U559" s="56">
        <f>((R559/((0.463135/cell_NP)*((S559/12)^(8/3))))^2)*cell_FF</f>
        <v>7.9388459034449574E-4</v>
      </c>
      <c r="V559" s="53">
        <v>551</v>
      </c>
      <c r="W559" s="53">
        <f>V559/(T559*60)</f>
        <v>6.6403224867386443</v>
      </c>
      <c r="X559" s="53">
        <f>W559+P559</f>
        <v>47.252589448847132</v>
      </c>
      <c r="Y559" s="55">
        <f>U559*V559</f>
        <v>0.43743040927981713</v>
      </c>
      <c r="Z559" s="55">
        <f>IF(VLOOKUP(150,table_CIA_JCTS,25,FALSE)+VLOOKUP(149,table_CIA_JCTS,24,FALSE)&lt;VLOOKUP(149,table_CIA_JCTS,28,FALSE),VLOOKUP(149,table_CIA_JCTS,28,FALSE),VLOOKUP(150,table_CIA_JCTS,25,FALSE)+VLOOKUP(149,table_CIA_JCTS,24,FALSE))</f>
        <v>387.47</v>
      </c>
      <c r="AA559" s="55">
        <v>393.84</v>
      </c>
      <c r="AB559" s="55">
        <f>(AA559-0.5)-Z559</f>
        <v>5.8699999999999477</v>
      </c>
      <c r="AC559" s="57">
        <v>387.47</v>
      </c>
      <c r="AD559" t="s">
        <v>469</v>
      </c>
    </row>
    <row r="560" spans="2:30" x14ac:dyDescent="0.2">
      <c r="B560" s="216" t="s">
        <v>10</v>
      </c>
      <c r="C560" s="215">
        <v>182</v>
      </c>
      <c r="D560" s="54">
        <f>VLOOKUP(C560,table_DI,2)</f>
        <v>11.15</v>
      </c>
      <c r="E560" s="54" t="s">
        <v>10</v>
      </c>
      <c r="F560" s="55">
        <f>VLOOKUP(C560,table_DI,5)</f>
        <v>0.35</v>
      </c>
      <c r="G560" s="54">
        <f>VLOOKUP(C560,table_DI,3)</f>
        <v>3.5680000000000001</v>
      </c>
      <c r="H560" s="54" t="s">
        <v>10</v>
      </c>
      <c r="I560" s="54">
        <f>VLOOKUP(C560,table_DI,4)</f>
        <v>3.9024999999999999</v>
      </c>
      <c r="J560" s="54" t="s">
        <v>10</v>
      </c>
      <c r="K560" s="56">
        <f>VLOOKUP(C560,table_DI,9)</f>
        <v>5.5737704918033346E-3</v>
      </c>
      <c r="L560" s="53">
        <f>VLOOKUP(C560,table_DI,8)</f>
        <v>732</v>
      </c>
      <c r="M560" s="55">
        <f>(0.84*(K560^0.5)*(cell_GUTDEP^0.6666)/cell_NRD)</f>
        <v>2.1983246079278467</v>
      </c>
      <c r="N560" s="53">
        <f>VLOOKUP(C560,table_DI,10)</f>
        <v>25</v>
      </c>
      <c r="O560" s="53">
        <f>(L560/(M560*60))</f>
        <v>5.5496808596887739</v>
      </c>
      <c r="P560" s="53">
        <f>N560+O560</f>
        <v>30.549680859688774</v>
      </c>
      <c r="Q560" s="55">
        <f t="shared" si="36"/>
        <v>0.65116739105744514</v>
      </c>
      <c r="R560" s="54">
        <f>Q560*I560</f>
        <v>2.5411807436016796</v>
      </c>
      <c r="S560" s="53" t="s">
        <v>10</v>
      </c>
      <c r="T560" s="55" t="s">
        <v>10</v>
      </c>
      <c r="U560" s="56" t="s">
        <v>10</v>
      </c>
      <c r="V560" s="53" t="s">
        <v>10</v>
      </c>
      <c r="W560" s="53" t="s">
        <v>10</v>
      </c>
      <c r="X560" s="53" t="s">
        <v>10</v>
      </c>
      <c r="Y560" s="55" t="s">
        <v>10</v>
      </c>
      <c r="Z560" s="55" t="s">
        <v>10</v>
      </c>
      <c r="AA560" s="55" t="s">
        <v>10</v>
      </c>
      <c r="AB560" s="55" t="s">
        <v>10</v>
      </c>
      <c r="AC560" s="57" t="s">
        <v>10</v>
      </c>
      <c r="AD560" t="s">
        <v>10</v>
      </c>
    </row>
    <row r="561" spans="2:30" x14ac:dyDescent="0.2">
      <c r="B561" s="216">
        <v>150</v>
      </c>
      <c r="C561" s="217" t="s">
        <v>10</v>
      </c>
      <c r="D561" s="54" t="s">
        <v>10</v>
      </c>
      <c r="E561" s="54">
        <f>VLOOKUP(149,table_CIA_JCTS,4,FALSE)+VLOOKUP(182,table_CIA_INLETS,2,FALSE)</f>
        <v>20.05</v>
      </c>
      <c r="F561" s="55" t="s">
        <v>10</v>
      </c>
      <c r="G561" s="54" t="s">
        <v>10</v>
      </c>
      <c r="H561" s="54">
        <f>VLOOKUP(149,table_CIA_JCTS,7,FALSE)+VLOOKUP(182,table_CIA_INLETS,5,FALSE)</f>
        <v>6.4160000000000004</v>
      </c>
      <c r="I561" s="54" t="s">
        <v>10</v>
      </c>
      <c r="J561" s="54">
        <f>VLOOKUP(149,table_CIA_JCTS,9,FALSE)+VLOOKUP(182,table_CIA_INLETS,7,FALSE)</f>
        <v>7.0175000000000001</v>
      </c>
      <c r="K561" s="56" t="s">
        <v>10</v>
      </c>
      <c r="L561" s="53" t="s">
        <v>10</v>
      </c>
      <c r="M561" s="55" t="s">
        <v>10</v>
      </c>
      <c r="N561" s="53" t="s">
        <v>10</v>
      </c>
      <c r="O561" s="53" t="s">
        <v>10</v>
      </c>
      <c r="P561" s="53">
        <f>VLOOKUP(149,table_CIA_JCTS,23,FALSE)</f>
        <v>47.252589448847132</v>
      </c>
      <c r="Q561" s="55">
        <f t="shared" si="36"/>
        <v>0.49553976067586242</v>
      </c>
      <c r="R561" s="54">
        <f>J561*Q561</f>
        <v>3.4774502705428647</v>
      </c>
      <c r="S561" s="53">
        <v>18</v>
      </c>
      <c r="T561" s="55">
        <f>(4*R561)/(3.14159*(S561/12)^2)</f>
        <v>1.9678359729622346</v>
      </c>
      <c r="U561" s="56">
        <f>((R561/((0.463135/cell_NP)*((S561/12)^(8/3))))^2)*cell_FF</f>
        <v>1.2604853836671469E-3</v>
      </c>
      <c r="V561" s="53">
        <v>132</v>
      </c>
      <c r="W561" s="53">
        <f>V561/(T561*60)</f>
        <v>1.1179793591679712</v>
      </c>
      <c r="X561" s="53">
        <f>W561+P561</f>
        <v>48.370568808015101</v>
      </c>
      <c r="Y561" s="55">
        <f>U561*V561</f>
        <v>0.16638407064406338</v>
      </c>
      <c r="Z561" s="55">
        <f>IF(VLOOKUP(151,table_CIA_JCTS,25,FALSE)+VLOOKUP(150,table_CIA_JCTS,24,FALSE)&lt;VLOOKUP(150,table_CIA_JCTS,28,FALSE),VLOOKUP(150,table_CIA_JCTS,28,FALSE),VLOOKUP(151,table_CIA_JCTS,25,FALSE)+VLOOKUP(150,table_CIA_JCTS,24,FALSE))</f>
        <v>384.31213335676591</v>
      </c>
      <c r="AA561" s="55">
        <v>389.02</v>
      </c>
      <c r="AB561" s="55">
        <f>(AA561-0.5)-Z561</f>
        <v>4.2078666432340697</v>
      </c>
      <c r="AC561" s="57">
        <v>383.26</v>
      </c>
      <c r="AD561" t="s">
        <v>462</v>
      </c>
    </row>
    <row r="562" spans="2:30" x14ac:dyDescent="0.2">
      <c r="B562" s="216" t="s">
        <v>10</v>
      </c>
      <c r="C562" s="215">
        <v>183</v>
      </c>
      <c r="D562" s="54">
        <f>VLOOKUP(C562,table_DI,2)</f>
        <v>3.26</v>
      </c>
      <c r="E562" s="54" t="s">
        <v>10</v>
      </c>
      <c r="F562" s="55">
        <f>VLOOKUP(C562,table_DI,5)</f>
        <v>0.35000000000000003</v>
      </c>
      <c r="G562" s="54">
        <f>VLOOKUP(C562,table_DI,3)</f>
        <v>1.0431999999999999</v>
      </c>
      <c r="H562" s="54" t="s">
        <v>10</v>
      </c>
      <c r="I562" s="54">
        <f>VLOOKUP(C562,table_DI,4)</f>
        <v>1.141</v>
      </c>
      <c r="J562" s="54" t="s">
        <v>10</v>
      </c>
      <c r="K562" s="56">
        <f>VLOOKUP(C562,table_DI,9)</f>
        <v>3.682092555332017E-3</v>
      </c>
      <c r="L562" s="53">
        <f>VLOOKUP(C562,table_DI,8)</f>
        <v>994</v>
      </c>
      <c r="M562" s="55">
        <f>(0.84*(K562^0.5)*(cell_GUTDEP^0.6666)/cell_NRD)</f>
        <v>1.7867534563390204</v>
      </c>
      <c r="N562" s="53">
        <f>VLOOKUP(C562,table_DI,10)</f>
        <v>25</v>
      </c>
      <c r="O562" s="53">
        <f>(L562/(M562*60))</f>
        <v>9.2719376631911157</v>
      </c>
      <c r="P562" s="53">
        <f>N562+O562</f>
        <v>34.271937663191117</v>
      </c>
      <c r="Q562" s="55">
        <f t="shared" si="36"/>
        <v>0.60593388134253912</v>
      </c>
      <c r="R562" s="54">
        <f>Q562*I562</f>
        <v>0.69137055861183716</v>
      </c>
      <c r="S562" s="53" t="s">
        <v>10</v>
      </c>
      <c r="T562" s="55" t="s">
        <v>10</v>
      </c>
      <c r="U562" s="56" t="s">
        <v>10</v>
      </c>
      <c r="V562" s="53" t="s">
        <v>10</v>
      </c>
      <c r="W562" s="53" t="s">
        <v>10</v>
      </c>
      <c r="X562" s="53" t="s">
        <v>10</v>
      </c>
      <c r="Y562" s="55" t="s">
        <v>10</v>
      </c>
      <c r="Z562" s="55" t="s">
        <v>10</v>
      </c>
      <c r="AA562" s="55" t="s">
        <v>10</v>
      </c>
      <c r="AB562" s="55" t="s">
        <v>10</v>
      </c>
      <c r="AC562" s="57" t="s">
        <v>10</v>
      </c>
      <c r="AD562" t="s">
        <v>10</v>
      </c>
    </row>
    <row r="563" spans="2:30" x14ac:dyDescent="0.2">
      <c r="B563" s="216" t="s">
        <v>10</v>
      </c>
      <c r="C563" s="215">
        <v>184</v>
      </c>
      <c r="D563" s="54">
        <f>VLOOKUP(C563,table_DI,2)</f>
        <v>3.35</v>
      </c>
      <c r="E563" s="54" t="s">
        <v>10</v>
      </c>
      <c r="F563" s="55">
        <f>VLOOKUP(C563,table_DI,5)</f>
        <v>0.35000000000000003</v>
      </c>
      <c r="G563" s="54">
        <f>VLOOKUP(C563,table_DI,3)</f>
        <v>1.0720000000000001</v>
      </c>
      <c r="H563" s="54" t="s">
        <v>10</v>
      </c>
      <c r="I563" s="54">
        <f>VLOOKUP(C563,table_DI,4)</f>
        <v>1.1725000000000001</v>
      </c>
      <c r="J563" s="54" t="s">
        <v>10</v>
      </c>
      <c r="K563" s="56">
        <f>VLOOKUP(C563,table_DI,9)</f>
        <v>5.3846153846153913E-3</v>
      </c>
      <c r="L563" s="53">
        <f>VLOOKUP(C563,table_DI,8)</f>
        <v>962</v>
      </c>
      <c r="M563" s="55">
        <f>(0.84*(K563^0.5)*(cell_GUTDEP^0.6666)/cell_NRD)</f>
        <v>2.1607007577553872</v>
      </c>
      <c r="N563" s="53">
        <f>VLOOKUP(C563,table_DI,10)</f>
        <v>25</v>
      </c>
      <c r="O563" s="53">
        <f>(L563/(M563*60))</f>
        <v>7.420432133318327</v>
      </c>
      <c r="P563" s="53">
        <f>N563+O563</f>
        <v>32.420432133318329</v>
      </c>
      <c r="Q563" s="55">
        <f t="shared" si="36"/>
        <v>0.62737772268467051</v>
      </c>
      <c r="R563" s="54">
        <f>Q563*I563</f>
        <v>0.73560037984777626</v>
      </c>
      <c r="S563" s="53" t="s">
        <v>10</v>
      </c>
      <c r="T563" s="55" t="s">
        <v>10</v>
      </c>
      <c r="U563" s="56" t="s">
        <v>10</v>
      </c>
      <c r="V563" s="53" t="s">
        <v>10</v>
      </c>
      <c r="W563" s="53" t="s">
        <v>10</v>
      </c>
      <c r="X563" s="53" t="s">
        <v>10</v>
      </c>
      <c r="Y563" s="55" t="s">
        <v>10</v>
      </c>
      <c r="Z563" s="55" t="s">
        <v>10</v>
      </c>
      <c r="AA563" s="55" t="s">
        <v>10</v>
      </c>
      <c r="AB563" s="55" t="s">
        <v>10</v>
      </c>
      <c r="AC563" s="57" t="s">
        <v>10</v>
      </c>
      <c r="AD563" t="s">
        <v>10</v>
      </c>
    </row>
    <row r="564" spans="2:30" x14ac:dyDescent="0.2">
      <c r="B564" s="216">
        <v>151</v>
      </c>
      <c r="C564" s="217" t="s">
        <v>10</v>
      </c>
      <c r="D564" s="54" t="s">
        <v>10</v>
      </c>
      <c r="E564" s="54">
        <f>VLOOKUP(150,table_CIA_JCTS,4,FALSE)+VLOOKUP(183,table_CIA_INLETS,2,FALSE)+VLOOKUP(184,table_CIA_INLETS,2,FALSE)</f>
        <v>26.660000000000004</v>
      </c>
      <c r="F564" s="55" t="s">
        <v>10</v>
      </c>
      <c r="G564" s="54" t="s">
        <v>10</v>
      </c>
      <c r="H564" s="54">
        <f>VLOOKUP(150,table_CIA_JCTS,7,FALSE)+VLOOKUP(183,table_CIA_INLETS,5,FALSE)+VLOOKUP(184,table_CIA_INLETS,5,FALSE)</f>
        <v>8.5312000000000001</v>
      </c>
      <c r="I564" s="54" t="s">
        <v>10</v>
      </c>
      <c r="J564" s="54">
        <f>VLOOKUP(150,table_CIA_JCTS,9,FALSE)+VLOOKUP(183,table_CIA_INLETS,7,FALSE)+VLOOKUP(184,table_CIA_INLETS,7,FALSE)</f>
        <v>9.3309999999999995</v>
      </c>
      <c r="K564" s="56" t="s">
        <v>10</v>
      </c>
      <c r="L564" s="53" t="s">
        <v>10</v>
      </c>
      <c r="M564" s="55" t="s">
        <v>10</v>
      </c>
      <c r="N564" s="53" t="s">
        <v>10</v>
      </c>
      <c r="O564" s="53" t="s">
        <v>10</v>
      </c>
      <c r="P564" s="53">
        <f>VLOOKUP(150,table_CIA_JCTS,23,FALSE)</f>
        <v>48.370568808015101</v>
      </c>
      <c r="Q564" s="55">
        <f t="shared" si="36"/>
        <v>0.48833638235755072</v>
      </c>
      <c r="R564" s="54">
        <f>J564*Q564</f>
        <v>4.5566667837783053</v>
      </c>
      <c r="S564" s="53">
        <v>18</v>
      </c>
      <c r="T564" s="55">
        <f>(4*R564)/(3.14159*(S564/12)^2)</f>
        <v>2.5785481074676229</v>
      </c>
      <c r="U564" s="56">
        <f>((R564/((0.463135/cell_NP)*((S564/12)^(8/3))))^2)*cell_FF</f>
        <v>2.164265317766899E-3</v>
      </c>
      <c r="V564" s="53">
        <v>35</v>
      </c>
      <c r="W564" s="53">
        <f>V564/(T564*60)</f>
        <v>0.22622549939788467</v>
      </c>
      <c r="X564" s="53">
        <f>W564+P564</f>
        <v>48.596794307412985</v>
      </c>
      <c r="Y564" s="55">
        <f>U564*V564</f>
        <v>7.5749286121841466E-2</v>
      </c>
      <c r="Z564" s="55">
        <f>IF(VLOOKUP(153.1,table_CIA_JCTS,25,FALSE)+VLOOKUP(151,table_CIA_JCTS,24,FALSE)&lt;VLOOKUP(151,table_CIA_JCTS,28,FALSE),VLOOKUP(151,table_CIA_JCTS,28,FALSE),VLOOKUP(153.1,table_CIA_JCTS,25,FALSE)+VLOOKUP(151,table_CIA_JCTS,24,FALSE))</f>
        <v>384.14574928612183</v>
      </c>
      <c r="AA564" s="55">
        <v>387.92</v>
      </c>
      <c r="AB564" s="55">
        <f>(AA564-0.5)-Z564</f>
        <v>3.2742507138781889</v>
      </c>
      <c r="AC564" s="57">
        <v>382.09</v>
      </c>
      <c r="AD564" t="s">
        <v>462</v>
      </c>
    </row>
    <row r="565" spans="2:30" x14ac:dyDescent="0.2">
      <c r="B565" s="216" t="s">
        <v>10</v>
      </c>
      <c r="C565" s="217" t="s">
        <v>10</v>
      </c>
      <c r="D565" s="54" t="s">
        <v>10</v>
      </c>
      <c r="E565" s="54" t="s">
        <v>10</v>
      </c>
      <c r="F565" s="55" t="s">
        <v>10</v>
      </c>
      <c r="G565" s="54" t="s">
        <v>10</v>
      </c>
      <c r="H565" s="54" t="s">
        <v>10</v>
      </c>
      <c r="I565" s="54" t="s">
        <v>10</v>
      </c>
      <c r="J565" s="54" t="s">
        <v>10</v>
      </c>
      <c r="K565" s="56" t="s">
        <v>10</v>
      </c>
      <c r="L565" s="53" t="s">
        <v>10</v>
      </c>
      <c r="M565" s="55" t="s">
        <v>10</v>
      </c>
      <c r="N565" s="53" t="s">
        <v>10</v>
      </c>
      <c r="O565" s="53" t="s">
        <v>10</v>
      </c>
      <c r="P565" s="53" t="s">
        <v>10</v>
      </c>
      <c r="Q565" s="55" t="s">
        <v>10</v>
      </c>
      <c r="R565" s="54" t="s">
        <v>10</v>
      </c>
      <c r="S565" s="53" t="s">
        <v>10</v>
      </c>
      <c r="T565" s="55" t="s">
        <v>10</v>
      </c>
      <c r="U565" s="56" t="s">
        <v>10</v>
      </c>
      <c r="V565" s="53" t="s">
        <v>10</v>
      </c>
      <c r="W565" s="53" t="s">
        <v>10</v>
      </c>
      <c r="X565" s="53" t="s">
        <v>10</v>
      </c>
      <c r="Y565" s="55" t="s">
        <v>10</v>
      </c>
      <c r="Z565" s="55" t="s">
        <v>10</v>
      </c>
      <c r="AA565" s="55" t="s">
        <v>10</v>
      </c>
      <c r="AB565" s="55" t="s">
        <v>10</v>
      </c>
      <c r="AC565" s="57" t="s">
        <v>10</v>
      </c>
      <c r="AD565" t="s">
        <v>10</v>
      </c>
    </row>
    <row r="566" spans="2:30" x14ac:dyDescent="0.2">
      <c r="B566" s="216" t="s">
        <v>10</v>
      </c>
      <c r="C566" s="215">
        <v>185</v>
      </c>
      <c r="D566" s="54">
        <f>VLOOKUP(C566,table_DI,2)</f>
        <v>4.71</v>
      </c>
      <c r="E566" s="54" t="s">
        <v>10</v>
      </c>
      <c r="F566" s="55">
        <f>VLOOKUP(C566,table_DI,5)</f>
        <v>0.35000000000000003</v>
      </c>
      <c r="G566" s="54">
        <f>VLOOKUP(C566,table_DI,3)</f>
        <v>1.5072000000000001</v>
      </c>
      <c r="H566" s="54" t="s">
        <v>10</v>
      </c>
      <c r="I566" s="54">
        <f>VLOOKUP(C566,table_DI,4)</f>
        <v>1.6485000000000001</v>
      </c>
      <c r="J566" s="54" t="s">
        <v>10</v>
      </c>
      <c r="K566" s="56">
        <f>VLOOKUP(C566,table_DI,9)</f>
        <v>2.2981366459627612E-3</v>
      </c>
      <c r="L566" s="53">
        <f>VLOOKUP(C566,table_DI,8)</f>
        <v>805</v>
      </c>
      <c r="M566" s="55">
        <f>(0.84*(K566^0.5)*(cell_GUTDEP^0.6666)/cell_NRD)</f>
        <v>1.4115790508574302</v>
      </c>
      <c r="N566" s="53">
        <f>VLOOKUP(C566,table_DI,10)</f>
        <v>25</v>
      </c>
      <c r="O566" s="53">
        <f>(L566/(M566*60))</f>
        <v>9.5047221468163841</v>
      </c>
      <c r="P566" s="53">
        <f>N566+O566</f>
        <v>34.504722146816384</v>
      </c>
      <c r="Q566" s="55">
        <f t="shared" ref="Q566:Q580" si="37">cell_P*(P566^cell_E)</f>
        <v>0.60337079785141434</v>
      </c>
      <c r="R566" s="54">
        <f>Q566*I566</f>
        <v>0.9946567602580566</v>
      </c>
      <c r="S566" s="53" t="s">
        <v>10</v>
      </c>
      <c r="T566" s="55" t="s">
        <v>10</v>
      </c>
      <c r="U566" s="56" t="s">
        <v>10</v>
      </c>
      <c r="V566" s="53" t="s">
        <v>10</v>
      </c>
      <c r="W566" s="53" t="s">
        <v>10</v>
      </c>
      <c r="X566" s="53" t="s">
        <v>10</v>
      </c>
      <c r="Y566" s="55" t="s">
        <v>10</v>
      </c>
      <c r="Z566" s="55" t="s">
        <v>10</v>
      </c>
      <c r="AA566" s="55" t="s">
        <v>10</v>
      </c>
      <c r="AB566" s="55" t="s">
        <v>10</v>
      </c>
      <c r="AC566" s="57" t="s">
        <v>10</v>
      </c>
      <c r="AD566" t="s">
        <v>10</v>
      </c>
    </row>
    <row r="567" spans="2:30" x14ac:dyDescent="0.2">
      <c r="B567" s="216" t="s">
        <v>10</v>
      </c>
      <c r="C567" s="215">
        <v>186</v>
      </c>
      <c r="D567" s="54">
        <f>VLOOKUP(C567,table_DI,2)</f>
        <v>5.8</v>
      </c>
      <c r="E567" s="54" t="s">
        <v>10</v>
      </c>
      <c r="F567" s="55">
        <f>VLOOKUP(C567,table_DI,5)</f>
        <v>0.35</v>
      </c>
      <c r="G567" s="54">
        <f>VLOOKUP(C567,table_DI,3)</f>
        <v>1.8560000000000001</v>
      </c>
      <c r="H567" s="54" t="s">
        <v>10</v>
      </c>
      <c r="I567" s="54">
        <f>VLOOKUP(C567,table_DI,4)</f>
        <v>2.0299999999999998</v>
      </c>
      <c r="J567" s="54" t="s">
        <v>10</v>
      </c>
      <c r="K567" s="56">
        <f>VLOOKUP(C567,table_DI,9)</f>
        <v>2.3441860465116637E-3</v>
      </c>
      <c r="L567" s="53">
        <f>VLOOKUP(C567,table_DI,8)</f>
        <v>1075</v>
      </c>
      <c r="M567" s="55">
        <f>(0.84*(K567^0.5)*(cell_GUTDEP^0.6666)/cell_NRD)</f>
        <v>1.4256513138444258</v>
      </c>
      <c r="N567" s="53">
        <f>VLOOKUP(C567,table_DI,10)</f>
        <v>25</v>
      </c>
      <c r="O567" s="53">
        <f>(L567/(M567*60))</f>
        <v>12.567355350273134</v>
      </c>
      <c r="P567" s="53">
        <f>N567+O567</f>
        <v>37.567355350273132</v>
      </c>
      <c r="Q567" s="55">
        <f t="shared" si="37"/>
        <v>0.57208085421006727</v>
      </c>
      <c r="R567" s="54">
        <f>Q567*I567</f>
        <v>1.1613241340464364</v>
      </c>
      <c r="S567" s="53" t="s">
        <v>10</v>
      </c>
      <c r="T567" s="55" t="s">
        <v>10</v>
      </c>
      <c r="U567" s="56" t="s">
        <v>10</v>
      </c>
      <c r="V567" s="53" t="s">
        <v>10</v>
      </c>
      <c r="W567" s="53" t="s">
        <v>10</v>
      </c>
      <c r="X567" s="53" t="s">
        <v>10</v>
      </c>
      <c r="Y567" s="55" t="s">
        <v>10</v>
      </c>
      <c r="Z567" s="55" t="s">
        <v>10</v>
      </c>
      <c r="AA567" s="55" t="s">
        <v>10</v>
      </c>
      <c r="AB567" s="55" t="s">
        <v>10</v>
      </c>
      <c r="AC567" s="57" t="s">
        <v>10</v>
      </c>
      <c r="AD567" t="s">
        <v>10</v>
      </c>
    </row>
    <row r="568" spans="2:30" x14ac:dyDescent="0.2">
      <c r="B568" s="216" t="s">
        <v>10</v>
      </c>
      <c r="C568" s="215">
        <v>187</v>
      </c>
      <c r="D568" s="54">
        <f>VLOOKUP(C568,table_DI,2)</f>
        <v>7.03</v>
      </c>
      <c r="E568" s="54" t="s">
        <v>10</v>
      </c>
      <c r="F568" s="55">
        <f>VLOOKUP(C568,table_DI,5)</f>
        <v>0.35000000000000003</v>
      </c>
      <c r="G568" s="54">
        <f>VLOOKUP(C568,table_DI,3)</f>
        <v>2.2496</v>
      </c>
      <c r="H568" s="54" t="s">
        <v>10</v>
      </c>
      <c r="I568" s="54">
        <f>VLOOKUP(C568,table_DI,4)</f>
        <v>2.4605000000000001</v>
      </c>
      <c r="J568" s="54" t="s">
        <v>10</v>
      </c>
      <c r="K568" s="56">
        <f>VLOOKUP(C568,table_DI,9)</f>
        <v>1.8639053254438157E-3</v>
      </c>
      <c r="L568" s="53">
        <f>VLOOKUP(C568,table_DI,8)</f>
        <v>1352</v>
      </c>
      <c r="M568" s="55">
        <f>(0.84*(K568^0.5)*(cell_GUTDEP^0.6666)/cell_NRD)</f>
        <v>1.2712448454034053</v>
      </c>
      <c r="N568" s="53">
        <f>VLOOKUP(C568,table_DI,10)</f>
        <v>25</v>
      </c>
      <c r="O568" s="53">
        <f>(L568/(M568*60))</f>
        <v>17.725407827461286</v>
      </c>
      <c r="P568" s="53">
        <f>N568+O568</f>
        <v>42.725407827461282</v>
      </c>
      <c r="Q568" s="55">
        <f t="shared" si="37"/>
        <v>0.52779845735321851</v>
      </c>
      <c r="R568" s="54">
        <f>Q568*I568</f>
        <v>1.2986481043175941</v>
      </c>
      <c r="S568" s="53" t="s">
        <v>10</v>
      </c>
      <c r="T568" s="55" t="s">
        <v>10</v>
      </c>
      <c r="U568" s="56" t="s">
        <v>10</v>
      </c>
      <c r="V568" s="53" t="s">
        <v>10</v>
      </c>
      <c r="W568" s="53" t="s">
        <v>10</v>
      </c>
      <c r="X568" s="53" t="s">
        <v>10</v>
      </c>
      <c r="Y568" s="55" t="s">
        <v>10</v>
      </c>
      <c r="Z568" s="55" t="s">
        <v>10</v>
      </c>
      <c r="AA568" s="55" t="s">
        <v>10</v>
      </c>
      <c r="AB568" s="55" t="s">
        <v>10</v>
      </c>
      <c r="AC568" s="57" t="s">
        <v>10</v>
      </c>
      <c r="AD568" t="s">
        <v>10</v>
      </c>
    </row>
    <row r="569" spans="2:30" x14ac:dyDescent="0.2">
      <c r="B569" s="216">
        <v>152</v>
      </c>
      <c r="C569" s="217" t="s">
        <v>10</v>
      </c>
      <c r="D569" s="54" t="s">
        <v>10</v>
      </c>
      <c r="E569" s="54">
        <f>VLOOKUP(185,table_CIA_INLETS,2,FALSE)+VLOOKUP(186,table_CIA_INLETS,2,FALSE)+VLOOKUP(187,table_CIA_INLETS,2,FALSE)</f>
        <v>17.54</v>
      </c>
      <c r="F569" s="55" t="s">
        <v>10</v>
      </c>
      <c r="G569" s="54" t="s">
        <v>10</v>
      </c>
      <c r="H569" s="54">
        <f>VLOOKUP(185,table_CIA_INLETS,5,FALSE)+VLOOKUP(186,table_CIA_INLETS,5,FALSE)+VLOOKUP(187,table_CIA_INLETS,5,FALSE)</f>
        <v>5.6128</v>
      </c>
      <c r="I569" s="54" t="s">
        <v>10</v>
      </c>
      <c r="J569" s="54">
        <f>VLOOKUP(185,table_CIA_INLETS,7,FALSE)+VLOOKUP(186,table_CIA_INLETS,7,FALSE)+VLOOKUP(187,table_CIA_INLETS,7,FALSE)</f>
        <v>6.1389999999999993</v>
      </c>
      <c r="K569" s="56" t="s">
        <v>10</v>
      </c>
      <c r="L569" s="53" t="s">
        <v>10</v>
      </c>
      <c r="M569" s="55" t="s">
        <v>10</v>
      </c>
      <c r="N569" s="53" t="s">
        <v>10</v>
      </c>
      <c r="O569" s="53" t="s">
        <v>10</v>
      </c>
      <c r="P569" s="53">
        <f>VLOOKUP(187,table_CIA_INLETS,14,FALSE)</f>
        <v>42.725407827461282</v>
      </c>
      <c r="Q569" s="55">
        <f t="shared" si="37"/>
        <v>0.52779845735321851</v>
      </c>
      <c r="R569" s="54">
        <f>J569*Q569</f>
        <v>3.2401547296914082</v>
      </c>
      <c r="S569" s="53">
        <v>24</v>
      </c>
      <c r="T569" s="55">
        <f>(4*R569)/(3.14159*(S569/12)^2)</f>
        <v>1.0313741543904227</v>
      </c>
      <c r="U569" s="56">
        <f>((R569/((0.463135/cell_NP)*((S569/12)^(8/3))))^2)*cell_FF</f>
        <v>2.3594323471846454E-4</v>
      </c>
      <c r="V569" s="53">
        <v>328</v>
      </c>
      <c r="W569" s="53">
        <f>V569/(T569*60)</f>
        <v>5.3003719779051996</v>
      </c>
      <c r="X569" s="53">
        <f>W569+P569</f>
        <v>48.025779805366483</v>
      </c>
      <c r="Y569" s="55">
        <f>U569*V569</f>
        <v>7.7389380987656367E-2</v>
      </c>
      <c r="Z569" s="55">
        <f>IF(VLOOKUP(153,table_CIA_JCTS,25,FALSE)+VLOOKUP(152,table_CIA_JCTS,24,FALSE)&lt;VLOOKUP(152,table_CIA_JCTS,28,FALSE),VLOOKUP(152,table_CIA_JCTS,28,FALSE),VLOOKUP(153,table_CIA_JCTS,25,FALSE)+VLOOKUP(152,table_CIA_JCTS,24,FALSE))</f>
        <v>384.34047253234826</v>
      </c>
      <c r="AA569" s="55">
        <v>387.15</v>
      </c>
      <c r="AB569" s="55">
        <f>(AA569-0.5)-Z569</f>
        <v>2.3095274676517192</v>
      </c>
      <c r="AC569" s="57">
        <v>382.76</v>
      </c>
      <c r="AD569" t="s">
        <v>470</v>
      </c>
    </row>
    <row r="570" spans="2:30" x14ac:dyDescent="0.2">
      <c r="B570" s="216" t="s">
        <v>10</v>
      </c>
      <c r="C570" s="215">
        <v>188</v>
      </c>
      <c r="D570" s="54">
        <f>VLOOKUP(C570,table_DI,2)</f>
        <v>6.39</v>
      </c>
      <c r="E570" s="54" t="s">
        <v>10</v>
      </c>
      <c r="F570" s="55">
        <f>VLOOKUP(C570,table_DI,5)</f>
        <v>0.35000000000000003</v>
      </c>
      <c r="G570" s="54">
        <f>VLOOKUP(C570,table_DI,3)</f>
        <v>2.0448</v>
      </c>
      <c r="H570" s="54" t="s">
        <v>10</v>
      </c>
      <c r="I570" s="54">
        <f>VLOOKUP(C570,table_DI,4)</f>
        <v>2.2364999999999999</v>
      </c>
      <c r="J570" s="54" t="s">
        <v>10</v>
      </c>
      <c r="K570" s="56">
        <f>VLOOKUP(C570,table_DI,9)</f>
        <v>6.070336391437307E-3</v>
      </c>
      <c r="L570" s="53">
        <f>VLOOKUP(C570,table_DI,8)</f>
        <v>1308</v>
      </c>
      <c r="M570" s="55">
        <f>(0.84*(K570^0.5)*(cell_GUTDEP^0.6666)/cell_NRD)</f>
        <v>2.2941597690815203</v>
      </c>
      <c r="N570" s="53">
        <f>VLOOKUP(C570,table_DI,10)</f>
        <v>25</v>
      </c>
      <c r="O570" s="53">
        <f>(L570/(M570*60))</f>
        <v>9.5023896303123436</v>
      </c>
      <c r="P570" s="53">
        <f>N570+O570</f>
        <v>34.502389630312344</v>
      </c>
      <c r="Q570" s="55">
        <f t="shared" si="37"/>
        <v>0.60339634058732916</v>
      </c>
      <c r="R570" s="54">
        <f>Q570*I570</f>
        <v>1.3494959157235615</v>
      </c>
      <c r="S570" s="53" t="s">
        <v>10</v>
      </c>
      <c r="T570" s="55" t="s">
        <v>10</v>
      </c>
      <c r="U570" s="56" t="s">
        <v>10</v>
      </c>
      <c r="V570" s="53" t="s">
        <v>10</v>
      </c>
      <c r="W570" s="53" t="s">
        <v>10</v>
      </c>
      <c r="X570" s="53" t="s">
        <v>10</v>
      </c>
      <c r="Y570" s="55" t="s">
        <v>10</v>
      </c>
      <c r="Z570" s="55" t="s">
        <v>10</v>
      </c>
      <c r="AA570" s="55" t="s">
        <v>10</v>
      </c>
      <c r="AB570" s="55" t="s">
        <v>10</v>
      </c>
      <c r="AC570" s="57" t="s">
        <v>10</v>
      </c>
      <c r="AD570" t="s">
        <v>10</v>
      </c>
    </row>
    <row r="571" spans="2:30" x14ac:dyDescent="0.2">
      <c r="B571" s="216">
        <v>153</v>
      </c>
      <c r="C571" s="217" t="s">
        <v>10</v>
      </c>
      <c r="D571" s="54" t="s">
        <v>10</v>
      </c>
      <c r="E571" s="54">
        <f>VLOOKUP(152,table_CIA_JCTS,4,FALSE)+VLOOKUP(188,table_CIA_INLETS,2,FALSE)</f>
        <v>23.93</v>
      </c>
      <c r="F571" s="55" t="s">
        <v>10</v>
      </c>
      <c r="G571" s="54" t="s">
        <v>10</v>
      </c>
      <c r="H571" s="54">
        <f>VLOOKUP(152,table_CIA_JCTS,7,FALSE)+VLOOKUP(188,table_CIA_INLETS,5,FALSE)</f>
        <v>7.6576000000000004</v>
      </c>
      <c r="I571" s="54" t="s">
        <v>10</v>
      </c>
      <c r="J571" s="54">
        <f>VLOOKUP(152,table_CIA_JCTS,9,FALSE)+VLOOKUP(188,table_CIA_INLETS,7,FALSE)</f>
        <v>8.3754999999999988</v>
      </c>
      <c r="K571" s="56" t="s">
        <v>10</v>
      </c>
      <c r="L571" s="53" t="s">
        <v>10</v>
      </c>
      <c r="M571" s="55" t="s">
        <v>10</v>
      </c>
      <c r="N571" s="53" t="s">
        <v>10</v>
      </c>
      <c r="O571" s="53" t="s">
        <v>10</v>
      </c>
      <c r="P571" s="53">
        <f>VLOOKUP(152,table_CIA_JCTS,23,FALSE)</f>
        <v>48.025779805366483</v>
      </c>
      <c r="Q571" s="55">
        <f t="shared" si="37"/>
        <v>0.49052883341170372</v>
      </c>
      <c r="R571" s="54">
        <f>J571*Q571</f>
        <v>4.1084242442397239</v>
      </c>
      <c r="S571" s="53">
        <v>24</v>
      </c>
      <c r="T571" s="55">
        <f>(4*R571)/(3.14159*(S571/12)^2)</f>
        <v>1.30775315819051</v>
      </c>
      <c r="U571" s="56">
        <f>((R571/((0.463135/cell_NP)*((S571/12)^(8/3))))^2)*cell_FF</f>
        <v>3.7933821485387471E-4</v>
      </c>
      <c r="V571" s="53">
        <v>509</v>
      </c>
      <c r="W571" s="53">
        <f>V571/(T571*60)</f>
        <v>6.4869530463007337</v>
      </c>
      <c r="X571" s="53">
        <f>W571+P571</f>
        <v>54.512732851667216</v>
      </c>
      <c r="Y571" s="55">
        <f>U571*V571</f>
        <v>0.19308315136062223</v>
      </c>
      <c r="Z571" s="55">
        <f>IF(VLOOKUP(153.1,table_CIA_JCTS,25,FALSE)+VLOOKUP(153,table_CIA_JCTS,24,FALSE)&lt;VLOOKUP(153,table_CIA_JCTS,28,FALSE),VLOOKUP(153,table_CIA_JCTS,28,FALSE),VLOOKUP(153.1,table_CIA_JCTS,25,FALSE)+VLOOKUP(153,table_CIA_JCTS,24,FALSE))</f>
        <v>384.2630831513606</v>
      </c>
      <c r="AA571" s="55">
        <v>388.17</v>
      </c>
      <c r="AB571" s="55">
        <f>(AA571-0.5)-Z571</f>
        <v>3.4069168486394119</v>
      </c>
      <c r="AC571" s="57">
        <v>382.49</v>
      </c>
      <c r="AD571" t="s">
        <v>445</v>
      </c>
    </row>
    <row r="572" spans="2:30" x14ac:dyDescent="0.2">
      <c r="B572" s="216">
        <v>153.1</v>
      </c>
      <c r="C572" s="217" t="s">
        <v>10</v>
      </c>
      <c r="D572" s="54" t="s">
        <v>10</v>
      </c>
      <c r="E572" s="54">
        <f>VLOOKUP(145,table_CIA_JCTS,4,FALSE)+VLOOKUP(151,table_CIA_JCTS,4,FALSE)+VLOOKUP(153,table_CIA_JCTS,4,FALSE)</f>
        <v>166.97</v>
      </c>
      <c r="F572" s="55" t="s">
        <v>10</v>
      </c>
      <c r="G572" s="54" t="s">
        <v>10</v>
      </c>
      <c r="H572" s="54">
        <f>VLOOKUP(145,table_CIA_JCTS,7,FALSE)+VLOOKUP(151,table_CIA_JCTS,7,FALSE)+VLOOKUP(153,table_CIA_JCTS,7,FALSE)</f>
        <v>64.843199999999996</v>
      </c>
      <c r="I572" s="54" t="s">
        <v>10</v>
      </c>
      <c r="J572" s="54">
        <f>VLOOKUP(145,table_CIA_JCTS,9,FALSE)+VLOOKUP(151,table_CIA_JCTS,9,FALSE)+VLOOKUP(153,table_CIA_JCTS,9,FALSE)</f>
        <v>68.801500000000004</v>
      </c>
      <c r="K572" s="56" t="s">
        <v>10</v>
      </c>
      <c r="L572" s="53" t="s">
        <v>10</v>
      </c>
      <c r="M572" s="55" t="s">
        <v>10</v>
      </c>
      <c r="N572" s="53" t="s">
        <v>10</v>
      </c>
      <c r="O572" s="53" t="s">
        <v>10</v>
      </c>
      <c r="P572" s="53">
        <f>VLOOKUP(145,table_CIA_JCTS,23,FALSE)</f>
        <v>59.086286671965404</v>
      </c>
      <c r="Q572" s="55">
        <f t="shared" si="37"/>
        <v>0.43082297536731079</v>
      </c>
      <c r="R572" s="54">
        <f>J572*Q572</f>
        <v>29.641266939734034</v>
      </c>
      <c r="S572" s="53">
        <v>42</v>
      </c>
      <c r="T572" s="55">
        <f>(4*R572)/(3.14159*(S572/12)^2)</f>
        <v>3.0808542940185726</v>
      </c>
      <c r="U572" s="56">
        <f>((R572/((0.463135/cell_NP)*((S572/12)^(8/3))))^2)*cell_FF</f>
        <v>9.9831277362793331E-4</v>
      </c>
      <c r="V572" s="53">
        <v>279</v>
      </c>
      <c r="W572" s="53">
        <f>V572/(T572*60)</f>
        <v>1.5093216219371028</v>
      </c>
      <c r="X572" s="53">
        <f>W572+P572</f>
        <v>60.595608293902508</v>
      </c>
      <c r="Y572" s="55">
        <f>U572*V572</f>
        <v>0.2785292638421934</v>
      </c>
      <c r="Z572" s="55">
        <f>IF(VLOOKUP(154,table_CIA_JCTS,25,FALSE)+VLOOKUP(153.1,table_CIA_JCTS,24,FALSE)&lt;VLOOKUP(153.1,table_CIA_JCTS,28,FALSE),VLOOKUP(153.1,table_CIA_JCTS,28,FALSE),VLOOKUP(154,table_CIA_JCTS,25,FALSE)+VLOOKUP(153.1,table_CIA_JCTS,24,FALSE))</f>
        <v>384.07</v>
      </c>
      <c r="AA572" s="55">
        <v>387.92</v>
      </c>
      <c r="AB572" s="55">
        <f>(AA572-0.5)-Z572</f>
        <v>3.3500000000000227</v>
      </c>
      <c r="AC572" s="57">
        <v>384.07</v>
      </c>
      <c r="AD572" t="s">
        <v>453</v>
      </c>
    </row>
    <row r="573" spans="2:30" x14ac:dyDescent="0.2">
      <c r="B573" s="216" t="s">
        <v>10</v>
      </c>
      <c r="C573" s="215">
        <v>189</v>
      </c>
      <c r="D573" s="54">
        <f>VLOOKUP(C573,table_DI,2)</f>
        <v>4.26</v>
      </c>
      <c r="E573" s="54" t="s">
        <v>10</v>
      </c>
      <c r="F573" s="55">
        <f>VLOOKUP(C573,table_DI,5)</f>
        <v>0.35000000000000003</v>
      </c>
      <c r="G573" s="54">
        <f>VLOOKUP(C573,table_DI,3)</f>
        <v>1.3632</v>
      </c>
      <c r="H573" s="54" t="s">
        <v>10</v>
      </c>
      <c r="I573" s="54">
        <f>VLOOKUP(C573,table_DI,4)</f>
        <v>1.4910000000000001</v>
      </c>
      <c r="J573" s="54" t="s">
        <v>10</v>
      </c>
      <c r="K573" s="56">
        <f>VLOOKUP(C573,table_DI,9)</f>
        <v>2.0116279069767652E-3</v>
      </c>
      <c r="L573" s="53">
        <f>VLOOKUP(C573,table_DI,8)</f>
        <v>860</v>
      </c>
      <c r="M573" s="55">
        <f>(0.84*(K573^0.5)*(cell_GUTDEP^0.6666)/cell_NRD)</f>
        <v>1.3206602498117788</v>
      </c>
      <c r="N573" s="53">
        <f>VLOOKUP(C573,table_DI,10)</f>
        <v>25</v>
      </c>
      <c r="O573" s="53">
        <f>(L573/(M573*60))</f>
        <v>10.853157225998229</v>
      </c>
      <c r="P573" s="53">
        <f>N573+O573</f>
        <v>35.853157225998231</v>
      </c>
      <c r="Q573" s="55">
        <f t="shared" si="37"/>
        <v>0.58905895708016909</v>
      </c>
      <c r="R573" s="54">
        <f>Q573*I573</f>
        <v>0.87828690500653217</v>
      </c>
      <c r="S573" s="53" t="s">
        <v>10</v>
      </c>
      <c r="T573" s="55" t="s">
        <v>10</v>
      </c>
      <c r="U573" s="56" t="s">
        <v>10</v>
      </c>
      <c r="V573" s="53" t="s">
        <v>10</v>
      </c>
      <c r="W573" s="53" t="s">
        <v>10</v>
      </c>
      <c r="X573" s="53" t="s">
        <v>10</v>
      </c>
      <c r="Y573" s="55" t="s">
        <v>10</v>
      </c>
      <c r="Z573" s="55" t="s">
        <v>10</v>
      </c>
      <c r="AA573" s="55" t="s">
        <v>10</v>
      </c>
      <c r="AB573" s="55" t="s">
        <v>10</v>
      </c>
      <c r="AC573" s="57" t="s">
        <v>10</v>
      </c>
      <c r="AD573" t="s">
        <v>10</v>
      </c>
    </row>
    <row r="574" spans="2:30" x14ac:dyDescent="0.2">
      <c r="B574" s="216" t="s">
        <v>10</v>
      </c>
      <c r="C574" s="215">
        <v>190</v>
      </c>
      <c r="D574" s="54">
        <f>VLOOKUP(C574,table_DI,2)</f>
        <v>3.35</v>
      </c>
      <c r="E574" s="54" t="s">
        <v>10</v>
      </c>
      <c r="F574" s="55">
        <f>VLOOKUP(C574,table_DI,5)</f>
        <v>0.35000000000000003</v>
      </c>
      <c r="G574" s="54">
        <f>VLOOKUP(C574,table_DI,3)</f>
        <v>1.0720000000000001</v>
      </c>
      <c r="H574" s="54" t="s">
        <v>10</v>
      </c>
      <c r="I574" s="54">
        <f>VLOOKUP(C574,table_DI,4)</f>
        <v>1.1725000000000001</v>
      </c>
      <c r="J574" s="54" t="s">
        <v>10</v>
      </c>
      <c r="K574" s="56">
        <f>VLOOKUP(C574,table_DI,9)</f>
        <v>1.9089316987740367E-3</v>
      </c>
      <c r="L574" s="53">
        <f>VLOOKUP(C574,table_DI,8)</f>
        <v>571</v>
      </c>
      <c r="M574" s="55">
        <f>(0.84*(K574^0.5)*(cell_GUTDEP^0.6666)/cell_NRD)</f>
        <v>1.2865079528053764</v>
      </c>
      <c r="N574" s="53">
        <f>VLOOKUP(C574,table_DI,10)</f>
        <v>25</v>
      </c>
      <c r="O574" s="53">
        <f>(L574/(M574*60))</f>
        <v>7.3972855324481248</v>
      </c>
      <c r="P574" s="53">
        <f>N574+O574</f>
        <v>32.397285532448123</v>
      </c>
      <c r="Q574" s="55">
        <f t="shared" si="37"/>
        <v>0.62765837121910129</v>
      </c>
      <c r="R574" s="54">
        <f>Q574*I574</f>
        <v>0.73592944025439633</v>
      </c>
      <c r="S574" s="53" t="s">
        <v>10</v>
      </c>
      <c r="T574" s="55" t="s">
        <v>10</v>
      </c>
      <c r="U574" s="56" t="s">
        <v>10</v>
      </c>
      <c r="V574" s="53" t="s">
        <v>10</v>
      </c>
      <c r="W574" s="53" t="s">
        <v>10</v>
      </c>
      <c r="X574" s="53" t="s">
        <v>10</v>
      </c>
      <c r="Y574" s="55" t="s">
        <v>10</v>
      </c>
      <c r="Z574" s="55" t="s">
        <v>10</v>
      </c>
      <c r="AA574" s="55" t="s">
        <v>10</v>
      </c>
      <c r="AB574" s="55" t="s">
        <v>10</v>
      </c>
      <c r="AC574" s="57" t="s">
        <v>10</v>
      </c>
      <c r="AD574" t="s">
        <v>10</v>
      </c>
    </row>
    <row r="575" spans="2:30" x14ac:dyDescent="0.2">
      <c r="B575" s="216">
        <v>154</v>
      </c>
      <c r="C575" s="217" t="s">
        <v>10</v>
      </c>
      <c r="D575" s="54" t="s">
        <v>10</v>
      </c>
      <c r="E575" s="54">
        <f>VLOOKUP(153.1,table_CIA_JCTS,4,FALSE)+VLOOKUP(189,table_CIA_INLETS,2,FALSE)+VLOOKUP(190,table_CIA_INLETS,2,FALSE)</f>
        <v>174.57999999999998</v>
      </c>
      <c r="F575" s="55" t="s">
        <v>10</v>
      </c>
      <c r="G575" s="54" t="s">
        <v>10</v>
      </c>
      <c r="H575" s="54">
        <f>VLOOKUP(153.1,table_CIA_JCTS,7,FALSE)+VLOOKUP(189,table_CIA_INLETS,5,FALSE)+VLOOKUP(190,table_CIA_INLETS,5,FALSE)</f>
        <v>67.278400000000005</v>
      </c>
      <c r="I575" s="54" t="s">
        <v>10</v>
      </c>
      <c r="J575" s="54">
        <f>VLOOKUP(153.1,table_CIA_JCTS,9,FALSE)+VLOOKUP(189,table_CIA_INLETS,7,FALSE)+VLOOKUP(190,table_CIA_INLETS,7,FALSE)</f>
        <v>71.465000000000003</v>
      </c>
      <c r="K575" s="56" t="s">
        <v>10</v>
      </c>
      <c r="L575" s="53" t="s">
        <v>10</v>
      </c>
      <c r="M575" s="55" t="s">
        <v>10</v>
      </c>
      <c r="N575" s="53" t="s">
        <v>10</v>
      </c>
      <c r="O575" s="53" t="s">
        <v>10</v>
      </c>
      <c r="P575" s="53">
        <f>VLOOKUP(153.1,table_CIA_JCTS,23,FALSE)</f>
        <v>60.595608293902508</v>
      </c>
      <c r="Q575" s="55">
        <f t="shared" si="37"/>
        <v>0.42407158916393711</v>
      </c>
      <c r="R575" s="54">
        <f>J575*Q575</f>
        <v>30.306276119600767</v>
      </c>
      <c r="S575" s="53">
        <v>42</v>
      </c>
      <c r="T575" s="55">
        <f>(4*R575)/(3.14159*(S575/12)^2)</f>
        <v>3.1499740246805503</v>
      </c>
      <c r="U575" s="56">
        <f>((R575/((0.463135/cell_NP)*((S575/12)^(8/3))))^2)*cell_FF</f>
        <v>1.04361005439454E-3</v>
      </c>
      <c r="V575" s="53">
        <v>63</v>
      </c>
      <c r="W575" s="53">
        <f>V575/(T575*60)</f>
        <v>0.33333608206705267</v>
      </c>
      <c r="X575" s="53">
        <f>W575+P575</f>
        <v>60.928944375969557</v>
      </c>
      <c r="Y575" s="55">
        <f>U575*V575</f>
        <v>6.5747433426856017E-2</v>
      </c>
      <c r="Z575" s="55">
        <f>IF(VLOOKUP(155,table_CIA_JCTS,25,FALSE)+VLOOKUP(154,table_CIA_JCTS,24,FALSE)&lt;VLOOKUP(154,table_CIA_JCTS,28,FALSE),VLOOKUP(154,table_CIA_JCTS,28,FALSE),VLOOKUP(155,table_CIA_JCTS,25,FALSE)+VLOOKUP(154,table_CIA_JCTS,24,FALSE))</f>
        <v>383.65445268294388</v>
      </c>
      <c r="AA575" s="55">
        <v>387.56</v>
      </c>
      <c r="AB575" s="55">
        <f>(AA575-0.5)-Z575</f>
        <v>3.4055473170561186</v>
      </c>
      <c r="AC575" s="57">
        <v>383.52</v>
      </c>
      <c r="AD575" t="s">
        <v>453</v>
      </c>
    </row>
    <row r="576" spans="2:30" x14ac:dyDescent="0.2">
      <c r="B576" s="216" t="s">
        <v>10</v>
      </c>
      <c r="C576" s="215">
        <v>191</v>
      </c>
      <c r="D576" s="54">
        <f>VLOOKUP(C576,table_DI,2)</f>
        <v>3.4</v>
      </c>
      <c r="E576" s="54" t="s">
        <v>10</v>
      </c>
      <c r="F576" s="55">
        <f>VLOOKUP(C576,table_DI,5)</f>
        <v>0.35</v>
      </c>
      <c r="G576" s="54">
        <f>VLOOKUP(C576,table_DI,3)</f>
        <v>1.0464</v>
      </c>
      <c r="H576" s="54" t="s">
        <v>10</v>
      </c>
      <c r="I576" s="54">
        <f>VLOOKUP(C576,table_DI,4)</f>
        <v>1.19</v>
      </c>
      <c r="J576" s="54" t="s">
        <v>10</v>
      </c>
      <c r="K576" s="56">
        <f>VLOOKUP(C576,table_DI,9)</f>
        <v>7.8853046594985071E-4</v>
      </c>
      <c r="L576" s="53">
        <f>VLOOKUP(C576,table_DI,8)</f>
        <v>837</v>
      </c>
      <c r="M576" s="55">
        <f>(0.84*(K576^0.5)*(cell_GUTDEP^0.6666)/cell_NRD)</f>
        <v>0.82684959718026774</v>
      </c>
      <c r="N576" s="53">
        <f>VLOOKUP(C576,table_DI,10)</f>
        <v>25</v>
      </c>
      <c r="O576" s="53">
        <f>(L576/(M576*60))</f>
        <v>16.871266609516958</v>
      </c>
      <c r="P576" s="53">
        <f>N576+O576</f>
        <v>41.871266609516958</v>
      </c>
      <c r="Q576" s="55">
        <f t="shared" si="37"/>
        <v>0.53451508295364758</v>
      </c>
      <c r="R576" s="54">
        <f>Q576*I576</f>
        <v>0.63607294871484055</v>
      </c>
      <c r="S576" s="53" t="s">
        <v>10</v>
      </c>
      <c r="T576" s="55" t="s">
        <v>10</v>
      </c>
      <c r="U576" s="56" t="s">
        <v>10</v>
      </c>
      <c r="V576" s="53" t="s">
        <v>10</v>
      </c>
      <c r="W576" s="53" t="s">
        <v>10</v>
      </c>
      <c r="X576" s="53" t="s">
        <v>10</v>
      </c>
      <c r="Y576" s="55" t="s">
        <v>10</v>
      </c>
      <c r="Z576" s="55" t="s">
        <v>10</v>
      </c>
      <c r="AA576" s="55" t="s">
        <v>10</v>
      </c>
      <c r="AB576" s="55" t="s">
        <v>10</v>
      </c>
      <c r="AC576" s="57" t="s">
        <v>10</v>
      </c>
      <c r="AD576" t="s">
        <v>10</v>
      </c>
    </row>
    <row r="577" spans="2:30" x14ac:dyDescent="0.2">
      <c r="B577" s="216">
        <v>155</v>
      </c>
      <c r="C577" s="217" t="s">
        <v>10</v>
      </c>
      <c r="D577" s="54" t="s">
        <v>10</v>
      </c>
      <c r="E577" s="54">
        <f>VLOOKUP(154,table_CIA_JCTS,4,FALSE)+VLOOKUP(191,table_CIA_INLETS,2,FALSE)</f>
        <v>177.98</v>
      </c>
      <c r="F577" s="55" t="s">
        <v>10</v>
      </c>
      <c r="G577" s="54" t="s">
        <v>10</v>
      </c>
      <c r="H577" s="54">
        <f>VLOOKUP(154,table_CIA_JCTS,7,FALSE)+VLOOKUP(191,table_CIA_INLETS,5,FALSE)</f>
        <v>68.32480000000001</v>
      </c>
      <c r="I577" s="54" t="s">
        <v>10</v>
      </c>
      <c r="J577" s="54">
        <f>VLOOKUP(154,table_CIA_JCTS,9,FALSE)+VLOOKUP(191,table_CIA_INLETS,7,FALSE)</f>
        <v>72.655000000000001</v>
      </c>
      <c r="K577" s="56" t="s">
        <v>10</v>
      </c>
      <c r="L577" s="53" t="s">
        <v>10</v>
      </c>
      <c r="M577" s="55" t="s">
        <v>10</v>
      </c>
      <c r="N577" s="53" t="s">
        <v>10</v>
      </c>
      <c r="O577" s="53" t="s">
        <v>10</v>
      </c>
      <c r="P577" s="53">
        <f>VLOOKUP(154,table_CIA_JCTS,23,FALSE)</f>
        <v>60.928944375969557</v>
      </c>
      <c r="Q577" s="55">
        <f t="shared" si="37"/>
        <v>0.42261728290662554</v>
      </c>
      <c r="R577" s="54">
        <f>J577*Q577</f>
        <v>30.70525868958088</v>
      </c>
      <c r="S577" s="53">
        <v>42</v>
      </c>
      <c r="T577" s="55">
        <f>(4*R577)/(3.14159*(S577/12)^2)</f>
        <v>3.1914434789539117</v>
      </c>
      <c r="U577" s="56">
        <f>((R577/((0.463135/cell_NP)*((S577/12)^(8/3))))^2)*cell_FF</f>
        <v>1.0712692137669975E-3</v>
      </c>
      <c r="V577" s="53">
        <v>1084</v>
      </c>
      <c r="W577" s="53">
        <f>V577/(T577*60)</f>
        <v>5.6609702743626666</v>
      </c>
      <c r="X577" s="53">
        <f>W577+P577</f>
        <v>66.589914650332219</v>
      </c>
      <c r="Y577" s="55">
        <f>U577*V577</f>
        <v>1.1612558277234253</v>
      </c>
      <c r="Z577" s="55">
        <f>IF(VLOOKUP(156,table_CIA_JCTS,25,FALSE)+VLOOKUP(155,table_CIA_JCTS,24,FALSE)&lt;VLOOKUP(155,table_CIA_JCTS,28,FALSE),VLOOKUP(155,table_CIA_JCTS,28,FALSE),VLOOKUP(156,table_CIA_JCTS,25,FALSE)+VLOOKUP(155,table_CIA_JCTS,24,FALSE))</f>
        <v>383.58870524951703</v>
      </c>
      <c r="AA577" s="55">
        <v>387.63</v>
      </c>
      <c r="AB577" s="55">
        <f>(AA577-0.5)-Z577</f>
        <v>3.5412947504829617</v>
      </c>
      <c r="AC577" s="57">
        <v>383.46</v>
      </c>
      <c r="AD577" t="s">
        <v>471</v>
      </c>
    </row>
    <row r="578" spans="2:30" x14ac:dyDescent="0.2">
      <c r="B578" s="216" t="s">
        <v>10</v>
      </c>
      <c r="C578" s="215">
        <v>192</v>
      </c>
      <c r="D578" s="54">
        <f>VLOOKUP(C578,table_DI,2)</f>
        <v>3.27</v>
      </c>
      <c r="E578" s="54" t="s">
        <v>10</v>
      </c>
      <c r="F578" s="55">
        <f>VLOOKUP(C578,table_DI,5)</f>
        <v>0.35000000000000003</v>
      </c>
      <c r="G578" s="54">
        <f>VLOOKUP(C578,table_DI,3)</f>
        <v>1.0464</v>
      </c>
      <c r="H578" s="54" t="s">
        <v>10</v>
      </c>
      <c r="I578" s="54">
        <f>VLOOKUP(C578,table_DI,4)</f>
        <v>1.1445000000000001</v>
      </c>
      <c r="J578" s="54" t="s">
        <v>10</v>
      </c>
      <c r="K578" s="56">
        <f>VLOOKUP(C578,table_DI,9)</f>
        <v>2.2870662460567643E-3</v>
      </c>
      <c r="L578" s="53">
        <f>VLOOKUP(C578,table_DI,8)</f>
        <v>634</v>
      </c>
      <c r="M578" s="55">
        <f>(0.84*(K578^0.5)*(cell_GUTDEP^0.6666)/cell_NRD)</f>
        <v>1.4081750737573782</v>
      </c>
      <c r="N578" s="53">
        <f>VLOOKUP(C578,table_DI,10)</f>
        <v>25</v>
      </c>
      <c r="O578" s="53">
        <f>(L578/(M578*60))</f>
        <v>7.5038018095804278</v>
      </c>
      <c r="P578" s="53">
        <f>N578+O578</f>
        <v>32.50380180958043</v>
      </c>
      <c r="Q578" s="55">
        <f t="shared" si="37"/>
        <v>0.62636957420587491</v>
      </c>
      <c r="R578" s="54">
        <f>Q578*I578</f>
        <v>0.71687997767862388</v>
      </c>
      <c r="S578" s="53" t="s">
        <v>10</v>
      </c>
      <c r="T578" s="55" t="s">
        <v>10</v>
      </c>
      <c r="U578" s="56" t="s">
        <v>10</v>
      </c>
      <c r="V578" s="53" t="s">
        <v>10</v>
      </c>
      <c r="W578" s="53" t="s">
        <v>10</v>
      </c>
      <c r="X578" s="53" t="s">
        <v>10</v>
      </c>
      <c r="Y578" s="55" t="s">
        <v>10</v>
      </c>
      <c r="Z578" s="55" t="s">
        <v>10</v>
      </c>
      <c r="AA578" s="55" t="s">
        <v>10</v>
      </c>
      <c r="AB578" s="55" t="s">
        <v>10</v>
      </c>
      <c r="AC578" s="57" t="s">
        <v>10</v>
      </c>
      <c r="AD578" t="s">
        <v>10</v>
      </c>
    </row>
    <row r="579" spans="2:30" x14ac:dyDescent="0.2">
      <c r="B579" s="216" t="s">
        <v>10</v>
      </c>
      <c r="C579" s="215">
        <v>193</v>
      </c>
      <c r="D579" s="54">
        <f>VLOOKUP(C579,table_DI,2)</f>
        <v>7.01</v>
      </c>
      <c r="E579" s="54" t="s">
        <v>10</v>
      </c>
      <c r="F579" s="55">
        <f>VLOOKUP(C579,table_DI,5)</f>
        <v>0.35000000000000003</v>
      </c>
      <c r="G579" s="54">
        <f>VLOOKUP(C579,table_DI,3)</f>
        <v>2.2431999999999999</v>
      </c>
      <c r="H579" s="54" t="s">
        <v>10</v>
      </c>
      <c r="I579" s="54">
        <f>VLOOKUP(C579,table_DI,4)</f>
        <v>2.4535</v>
      </c>
      <c r="J579" s="54" t="s">
        <v>10</v>
      </c>
      <c r="K579" s="56">
        <f>VLOOKUP(C579,table_DI,9)</f>
        <v>1.6601562499999889E-3</v>
      </c>
      <c r="L579" s="53">
        <f>VLOOKUP(C579,table_DI,8)</f>
        <v>1024</v>
      </c>
      <c r="M579" s="55">
        <f>(0.84*(K579^0.5)*(cell_GUTDEP^0.6666)/cell_NRD)</f>
        <v>1.1997527739940681</v>
      </c>
      <c r="N579" s="53">
        <f>VLOOKUP(C579,table_DI,10)</f>
        <v>25</v>
      </c>
      <c r="O579" s="53">
        <f>(L579/(M579*60))</f>
        <v>14.225152912004059</v>
      </c>
      <c r="P579" s="53">
        <f>N579+O579</f>
        <v>39.225152912004063</v>
      </c>
      <c r="Q579" s="55">
        <f t="shared" si="37"/>
        <v>0.55681848542017331</v>
      </c>
      <c r="R579" s="54">
        <f>Q579*I579</f>
        <v>1.3661541539783952</v>
      </c>
      <c r="S579" s="53" t="s">
        <v>10</v>
      </c>
      <c r="T579" s="55" t="s">
        <v>10</v>
      </c>
      <c r="U579" s="56" t="s">
        <v>10</v>
      </c>
      <c r="V579" s="53" t="s">
        <v>10</v>
      </c>
      <c r="W579" s="53" t="s">
        <v>10</v>
      </c>
      <c r="X579" s="53" t="s">
        <v>10</v>
      </c>
      <c r="Y579" s="55" t="s">
        <v>10</v>
      </c>
      <c r="Z579" s="55" t="s">
        <v>10</v>
      </c>
      <c r="AA579" s="55" t="s">
        <v>10</v>
      </c>
      <c r="AB579" s="55" t="s">
        <v>10</v>
      </c>
      <c r="AC579" s="57" t="s">
        <v>10</v>
      </c>
      <c r="AD579" t="s">
        <v>10</v>
      </c>
    </row>
    <row r="580" spans="2:30" x14ac:dyDescent="0.2">
      <c r="B580" s="216">
        <v>156</v>
      </c>
      <c r="C580" s="217" t="s">
        <v>10</v>
      </c>
      <c r="D580" s="54" t="s">
        <v>10</v>
      </c>
      <c r="E580" s="54">
        <f>VLOOKUP(155,table_CIA_JCTS,4,FALSE)+VLOOKUP(192,table_CIA_INLETS,2,FALSE)+VLOOKUP(193,table_CIA_INLETS,2,FALSE)</f>
        <v>188.26</v>
      </c>
      <c r="F580" s="55" t="s">
        <v>10</v>
      </c>
      <c r="G580" s="54" t="s">
        <v>10</v>
      </c>
      <c r="H580" s="54">
        <f>VLOOKUP(155,table_CIA_JCTS,7,FALSE)+VLOOKUP(192,table_CIA_INLETS,5,FALSE)+VLOOKUP(193,table_CIA_INLETS,5,FALSE)</f>
        <v>71.614400000000018</v>
      </c>
      <c r="I580" s="54" t="s">
        <v>10</v>
      </c>
      <c r="J580" s="54">
        <f>VLOOKUP(155,table_CIA_JCTS,9,FALSE)+VLOOKUP(192,table_CIA_INLETS,7,FALSE)+VLOOKUP(193,table_CIA_INLETS,7,FALSE)</f>
        <v>76.253</v>
      </c>
      <c r="K580" s="56" t="s">
        <v>10</v>
      </c>
      <c r="L580" s="53" t="s">
        <v>10</v>
      </c>
      <c r="M580" s="55" t="s">
        <v>10</v>
      </c>
      <c r="N580" s="53" t="s">
        <v>10</v>
      </c>
      <c r="O580" s="53" t="s">
        <v>10</v>
      </c>
      <c r="P580" s="53">
        <f>VLOOKUP(155,table_CIA_JCTS,23,FALSE)</f>
        <v>66.589914650332219</v>
      </c>
      <c r="Q580" s="55">
        <f t="shared" si="37"/>
        <v>0.39974721707278205</v>
      </c>
      <c r="R580" s="54">
        <f>J580*Q580</f>
        <v>30.481924543450848</v>
      </c>
      <c r="S580" s="53">
        <v>48</v>
      </c>
      <c r="T580" s="55">
        <f>(4*R580)/(3.14159*(S580/12)^2)</f>
        <v>2.4256765319034987</v>
      </c>
      <c r="U580" s="56">
        <f>((R580/((0.463135/cell_NP)*((S580/12)^(8/3))))^2)*cell_FF</f>
        <v>5.179257295843449E-4</v>
      </c>
      <c r="V580" s="53">
        <v>304</v>
      </c>
      <c r="W580" s="53">
        <f>V580/(T580*60)</f>
        <v>2.0887643509049023</v>
      </c>
      <c r="X580" s="53">
        <f>W580+P580</f>
        <v>68.678679001237114</v>
      </c>
      <c r="Y580" s="55">
        <f>U580*V580</f>
        <v>0.15744942179364085</v>
      </c>
      <c r="Z580" s="55">
        <f>IF(VLOOKUP(cell_BASIN,table_CIA_JCTS,25,FALSE)+VLOOKUP(156,table_CIA_JCTS,24,FALSE)&lt;VLOOKUP(156,table_CIA_JCTS,28,FALSE),VLOOKUP(156,table_CIA_JCTS,28,FALSE),VLOOKUP(cell_BASIN,table_CIA_JCTS,25,FALSE)+VLOOKUP(156,table_CIA_JCTS,24,FALSE))</f>
        <v>382.4274494217936</v>
      </c>
      <c r="AA580" s="55">
        <v>387.19</v>
      </c>
      <c r="AB580" s="55">
        <f>(AA580-0.5)-Z580</f>
        <v>4.262550578206401</v>
      </c>
      <c r="AC580" s="57">
        <v>382.18</v>
      </c>
      <c r="AD580" t="s">
        <v>455</v>
      </c>
    </row>
    <row r="581" spans="2:30" x14ac:dyDescent="0.2">
      <c r="B581" s="216" t="s">
        <v>10</v>
      </c>
      <c r="C581" s="217" t="s">
        <v>10</v>
      </c>
      <c r="D581" s="54" t="s">
        <v>10</v>
      </c>
      <c r="E581" s="54" t="s">
        <v>10</v>
      </c>
      <c r="F581" s="55" t="s">
        <v>10</v>
      </c>
      <c r="G581" s="54" t="s">
        <v>10</v>
      </c>
      <c r="H581" s="54" t="s">
        <v>10</v>
      </c>
      <c r="I581" s="54" t="s">
        <v>10</v>
      </c>
      <c r="J581" s="54" t="s">
        <v>10</v>
      </c>
      <c r="K581" s="56" t="s">
        <v>10</v>
      </c>
      <c r="L581" s="53" t="s">
        <v>10</v>
      </c>
      <c r="M581" s="55" t="s">
        <v>10</v>
      </c>
      <c r="N581" s="53" t="s">
        <v>10</v>
      </c>
      <c r="O581" s="53" t="s">
        <v>10</v>
      </c>
      <c r="P581" s="53" t="s">
        <v>10</v>
      </c>
      <c r="Q581" s="55" t="s">
        <v>10</v>
      </c>
      <c r="R581" s="54" t="s">
        <v>10</v>
      </c>
      <c r="S581" s="53" t="s">
        <v>10</v>
      </c>
      <c r="T581" s="55" t="s">
        <v>10</v>
      </c>
      <c r="U581" s="56" t="s">
        <v>10</v>
      </c>
      <c r="V581" s="53" t="s">
        <v>10</v>
      </c>
      <c r="W581" s="53" t="s">
        <v>10</v>
      </c>
      <c r="X581" s="53" t="s">
        <v>10</v>
      </c>
      <c r="Y581" s="55" t="s">
        <v>10</v>
      </c>
      <c r="Z581" s="55" t="s">
        <v>10</v>
      </c>
      <c r="AA581" s="55" t="s">
        <v>10</v>
      </c>
      <c r="AB581" s="55" t="s">
        <v>10</v>
      </c>
      <c r="AC581" s="57" t="s">
        <v>10</v>
      </c>
      <c r="AD581" t="s">
        <v>10</v>
      </c>
    </row>
    <row r="582" spans="2:30" x14ac:dyDescent="0.2">
      <c r="B582" s="216" t="s">
        <v>260</v>
      </c>
      <c r="C582" s="217" t="s">
        <v>10</v>
      </c>
      <c r="D582" s="54" t="s">
        <v>10</v>
      </c>
      <c r="E582" s="54" t="s">
        <v>10</v>
      </c>
      <c r="F582" s="55" t="s">
        <v>10</v>
      </c>
      <c r="G582" s="54" t="s">
        <v>10</v>
      </c>
      <c r="H582" s="54" t="s">
        <v>10</v>
      </c>
      <c r="I582" s="54" t="s">
        <v>10</v>
      </c>
      <c r="J582" s="54" t="s">
        <v>10</v>
      </c>
      <c r="K582" s="56" t="s">
        <v>10</v>
      </c>
      <c r="L582" s="53" t="s">
        <v>10</v>
      </c>
      <c r="M582" s="55" t="s">
        <v>10</v>
      </c>
      <c r="N582" s="53" t="s">
        <v>10</v>
      </c>
      <c r="O582" s="53" t="s">
        <v>10</v>
      </c>
      <c r="P582" s="53" t="s">
        <v>10</v>
      </c>
      <c r="Q582" s="55" t="s">
        <v>10</v>
      </c>
      <c r="R582" s="54" t="s">
        <v>10</v>
      </c>
      <c r="S582" s="53" t="s">
        <v>10</v>
      </c>
      <c r="T582" s="55" t="s">
        <v>10</v>
      </c>
      <c r="U582" s="56" t="s">
        <v>10</v>
      </c>
      <c r="V582" s="53" t="s">
        <v>10</v>
      </c>
      <c r="W582" s="53" t="s">
        <v>10</v>
      </c>
      <c r="X582" s="53" t="s">
        <v>10</v>
      </c>
      <c r="Y582" s="55" t="s">
        <v>10</v>
      </c>
      <c r="Z582" s="55">
        <f>(cell_HGL)</f>
        <v>382.27</v>
      </c>
      <c r="AA582" s="55" t="s">
        <v>10</v>
      </c>
      <c r="AB582" s="55" t="s">
        <v>10</v>
      </c>
      <c r="AC582" s="57" t="s">
        <v>10</v>
      </c>
      <c r="AD582" t="s">
        <v>10</v>
      </c>
    </row>
    <row r="583" spans="2:30" x14ac:dyDescent="0.2">
      <c r="B583" s="216" t="s">
        <v>10</v>
      </c>
      <c r="C583" s="217" t="s">
        <v>10</v>
      </c>
      <c r="D583" s="54" t="s">
        <v>10</v>
      </c>
      <c r="E583" s="54" t="s">
        <v>10</v>
      </c>
      <c r="F583" s="55" t="s">
        <v>10</v>
      </c>
      <c r="G583" s="54" t="s">
        <v>10</v>
      </c>
      <c r="H583" s="54" t="s">
        <v>10</v>
      </c>
      <c r="I583" s="54" t="s">
        <v>10</v>
      </c>
      <c r="J583" s="54" t="s">
        <v>10</v>
      </c>
      <c r="K583" s="56" t="s">
        <v>10</v>
      </c>
      <c r="L583" s="53" t="s">
        <v>10</v>
      </c>
      <c r="M583" s="55" t="s">
        <v>10</v>
      </c>
      <c r="N583" s="53" t="s">
        <v>10</v>
      </c>
      <c r="O583" s="53" t="s">
        <v>10</v>
      </c>
      <c r="P583" s="53" t="s">
        <v>10</v>
      </c>
      <c r="Q583" s="55" t="s">
        <v>10</v>
      </c>
      <c r="R583" s="54" t="s">
        <v>10</v>
      </c>
      <c r="S583" s="53" t="s">
        <v>10</v>
      </c>
      <c r="T583" s="55" t="s">
        <v>10</v>
      </c>
      <c r="U583" s="56" t="s">
        <v>10</v>
      </c>
      <c r="V583" s="53" t="s">
        <v>10</v>
      </c>
      <c r="W583" s="53" t="s">
        <v>10</v>
      </c>
      <c r="X583" s="53" t="s">
        <v>10</v>
      </c>
      <c r="Y583" s="55" t="s">
        <v>10</v>
      </c>
      <c r="Z583" s="55" t="s">
        <v>10</v>
      </c>
      <c r="AA583" s="55" t="s">
        <v>10</v>
      </c>
      <c r="AB583" s="55" t="s">
        <v>10</v>
      </c>
      <c r="AC583" s="57" t="s">
        <v>10</v>
      </c>
      <c r="AD583" t="s">
        <v>10</v>
      </c>
    </row>
    <row r="584" spans="2:30" x14ac:dyDescent="0.2">
      <c r="B584" s="216" t="s">
        <v>10</v>
      </c>
      <c r="C584" s="215">
        <v>194</v>
      </c>
      <c r="D584" s="54">
        <f>VLOOKUP(C584,table_DI,2)</f>
        <v>5.32</v>
      </c>
      <c r="E584" s="54" t="s">
        <v>10</v>
      </c>
      <c r="F584" s="55">
        <f>VLOOKUP(C584,table_DI,5)</f>
        <v>0.71499999999999997</v>
      </c>
      <c r="G584" s="54">
        <f>VLOOKUP(C584,table_DI,3)</f>
        <v>3.4580000000000002</v>
      </c>
      <c r="H584" s="54" t="s">
        <v>10</v>
      </c>
      <c r="I584" s="54">
        <f>VLOOKUP(C584,table_DI,4)</f>
        <v>3.8037999999999998</v>
      </c>
      <c r="J584" s="54" t="s">
        <v>10</v>
      </c>
      <c r="K584" s="56">
        <f>VLOOKUP(C584,table_DI,9)</f>
        <v>5.5769230769230332E-3</v>
      </c>
      <c r="L584" s="53">
        <f>VLOOKUP(C584,table_DI,8)</f>
        <v>520</v>
      </c>
      <c r="M584" s="55">
        <f>(0.84*(K584^0.5)*(cell_GUTDEP^0.6666)/cell_NRD)</f>
        <v>2.1989462181786013</v>
      </c>
      <c r="N584" s="53">
        <f>VLOOKUP(C584,table_DI,10)</f>
        <v>15</v>
      </c>
      <c r="O584" s="53">
        <f>(L584/(M584*60))</f>
        <v>3.9412817808001286</v>
      </c>
      <c r="P584" s="53">
        <f>N584+O584</f>
        <v>18.941281780800129</v>
      </c>
      <c r="Q584" s="55">
        <f t="shared" ref="Q584:Q589" si="38">cell_P*(P584^cell_E)</f>
        <v>0.87839545752817594</v>
      </c>
      <c r="R584" s="54">
        <f>Q584*I584</f>
        <v>3.3412406413456757</v>
      </c>
      <c r="S584" s="53" t="s">
        <v>10</v>
      </c>
      <c r="T584" s="55" t="s">
        <v>10</v>
      </c>
      <c r="U584" s="56" t="s">
        <v>10</v>
      </c>
      <c r="V584" s="53" t="s">
        <v>10</v>
      </c>
      <c r="W584" s="53" t="s">
        <v>10</v>
      </c>
      <c r="X584" s="53" t="s">
        <v>10</v>
      </c>
      <c r="Y584" s="55" t="s">
        <v>10</v>
      </c>
      <c r="Z584" s="55" t="s">
        <v>10</v>
      </c>
      <c r="AA584" s="55" t="s">
        <v>10</v>
      </c>
      <c r="AB584" s="55" t="s">
        <v>10</v>
      </c>
      <c r="AC584" s="57" t="s">
        <v>10</v>
      </c>
      <c r="AD584" t="s">
        <v>10</v>
      </c>
    </row>
    <row r="585" spans="2:30" x14ac:dyDescent="0.2">
      <c r="B585" s="216">
        <v>157</v>
      </c>
      <c r="C585" s="217" t="s">
        <v>10</v>
      </c>
      <c r="D585" s="54" t="s">
        <v>10</v>
      </c>
      <c r="E585" s="54">
        <f>VLOOKUP(194,table_CIA_INLETS,2,FALSE)</f>
        <v>5.32</v>
      </c>
      <c r="F585" s="55" t="s">
        <v>10</v>
      </c>
      <c r="G585" s="54" t="s">
        <v>10</v>
      </c>
      <c r="H585" s="54">
        <f>VLOOKUP(194,table_CIA_INLETS,5,FALSE)</f>
        <v>3.4580000000000002</v>
      </c>
      <c r="I585" s="54" t="s">
        <v>10</v>
      </c>
      <c r="J585" s="54">
        <f>VLOOKUP(194,table_CIA_INLETS,7,FALSE)</f>
        <v>3.8037999999999998</v>
      </c>
      <c r="K585" s="56" t="s">
        <v>10</v>
      </c>
      <c r="L585" s="53" t="s">
        <v>10</v>
      </c>
      <c r="M585" s="55" t="s">
        <v>10</v>
      </c>
      <c r="N585" s="53" t="s">
        <v>10</v>
      </c>
      <c r="O585" s="53" t="s">
        <v>10</v>
      </c>
      <c r="P585" s="53">
        <f>VLOOKUP(194,table_CIA_INLETS,14,FALSE)</f>
        <v>18.941281780800129</v>
      </c>
      <c r="Q585" s="55">
        <f t="shared" si="38"/>
        <v>0.87839545752817594</v>
      </c>
      <c r="R585" s="54">
        <f>J585*Q585</f>
        <v>3.3412406413456757</v>
      </c>
      <c r="S585" s="320">
        <v>24</v>
      </c>
      <c r="T585" s="55">
        <f>(4*R585)/(3.14159*(S585/12)^2)</f>
        <v>1.0635508266023497</v>
      </c>
      <c r="U585" s="56">
        <f>((R585/((0.463135/cell_NP)*((S585/12)^(8/3))))^2)*cell_FF</f>
        <v>2.5089473051052765E-4</v>
      </c>
      <c r="V585" s="53">
        <v>99</v>
      </c>
      <c r="W585" s="53">
        <f>V585/(T585*60)</f>
        <v>1.5514068145394968</v>
      </c>
      <c r="X585" s="53">
        <f>W585+P585</f>
        <v>20.492688595339626</v>
      </c>
      <c r="Y585" s="55">
        <f>U585*V585</f>
        <v>2.4838578320542239E-2</v>
      </c>
      <c r="Z585" s="55">
        <f>IF(VLOOKUP(158,table_CIA_JCTS,25,FALSE)+VLOOKUP(157,table_CIA_JCTS,24,FALSE)&lt;VLOOKUP(157,table_CIA_JCTS,28,FALSE),VLOOKUP(157,table_CIA_JCTS,28,FALSE),VLOOKUP(158,table_CIA_JCTS,25,FALSE)+VLOOKUP(157,table_CIA_JCTS,24,FALSE))</f>
        <v>388.92026691627996</v>
      </c>
      <c r="AA585" s="55">
        <v>392</v>
      </c>
      <c r="AB585" s="55">
        <f>(AA585-0.5)-Z585</f>
        <v>2.5797330837200434</v>
      </c>
      <c r="AC585" s="57" t="s">
        <v>10</v>
      </c>
      <c r="AD585" t="s">
        <v>10</v>
      </c>
    </row>
    <row r="586" spans="2:30" x14ac:dyDescent="0.2">
      <c r="B586" s="216" t="s">
        <v>10</v>
      </c>
      <c r="C586" s="215">
        <v>195</v>
      </c>
      <c r="D586" s="54">
        <f>VLOOKUP(C586,table_DI,2)</f>
        <v>15.95</v>
      </c>
      <c r="E586" s="54" t="s">
        <v>10</v>
      </c>
      <c r="F586" s="55">
        <f>VLOOKUP(C586,table_DI,5)</f>
        <v>0.71500313479623823</v>
      </c>
      <c r="G586" s="54">
        <f>VLOOKUP(C586,table_DI,3)</f>
        <v>10.36</v>
      </c>
      <c r="H586" s="54" t="s">
        <v>10</v>
      </c>
      <c r="I586" s="54">
        <f>VLOOKUP(C586,table_DI,4)</f>
        <v>11.404299999999999</v>
      </c>
      <c r="J586" s="54" t="s">
        <v>10</v>
      </c>
      <c r="K586" s="56">
        <f>VLOOKUP(C586,table_DI,9)</f>
        <v>1.6428571428571104E-3</v>
      </c>
      <c r="L586" s="53">
        <f>VLOOKUP(C586,table_DI,8)</f>
        <v>700</v>
      </c>
      <c r="M586" s="55">
        <f>(0.84*(K586^0.5)*(cell_GUTDEP^0.6666)/cell_NRD)</f>
        <v>1.1934855921964145</v>
      </c>
      <c r="N586" s="53">
        <f>VLOOKUP(C586,table_DI,10)</f>
        <v>15</v>
      </c>
      <c r="O586" s="53">
        <f>(L586/(M586*60))</f>
        <v>9.7752890717315495</v>
      </c>
      <c r="P586" s="53">
        <f>N586+O586</f>
        <v>24.775289071731549</v>
      </c>
      <c r="Q586" s="55">
        <f t="shared" si="38"/>
        <v>0.74245356438212851</v>
      </c>
      <c r="R586" s="54">
        <f>Q586*I586</f>
        <v>8.4671631842831072</v>
      </c>
      <c r="S586" s="53" t="s">
        <v>10</v>
      </c>
      <c r="T586" s="55" t="s">
        <v>10</v>
      </c>
      <c r="U586" s="56" t="s">
        <v>10</v>
      </c>
      <c r="V586" s="53" t="s">
        <v>10</v>
      </c>
      <c r="W586" s="53" t="s">
        <v>10</v>
      </c>
      <c r="X586" s="53" t="s">
        <v>10</v>
      </c>
      <c r="Y586" s="55" t="s">
        <v>10</v>
      </c>
      <c r="Z586" s="55" t="s">
        <v>10</v>
      </c>
      <c r="AA586" s="55" t="s">
        <v>10</v>
      </c>
      <c r="AB586" s="55" t="s">
        <v>10</v>
      </c>
      <c r="AC586" s="57" t="s">
        <v>10</v>
      </c>
      <c r="AD586" t="s">
        <v>10</v>
      </c>
    </row>
    <row r="587" spans="2:30" x14ac:dyDescent="0.2">
      <c r="B587" s="216">
        <v>158</v>
      </c>
      <c r="C587" s="217" t="s">
        <v>10</v>
      </c>
      <c r="D587" s="54" t="s">
        <v>10</v>
      </c>
      <c r="E587" s="54">
        <f>VLOOKUP(157,table_CIA_JCTS,4,FALSE)+VLOOKUP(195,table_CIA_INLETS,2,FALSE)</f>
        <v>21.27</v>
      </c>
      <c r="F587" s="55" t="s">
        <v>10</v>
      </c>
      <c r="G587" s="54" t="s">
        <v>10</v>
      </c>
      <c r="H587" s="54">
        <f>VLOOKUP(157,table_CIA_JCTS,7,FALSE)+VLOOKUP(195,table_CIA_INLETS,5,FALSE)</f>
        <v>13.818</v>
      </c>
      <c r="I587" s="54" t="s">
        <v>10</v>
      </c>
      <c r="J587" s="54">
        <f>VLOOKUP(157,table_CIA_JCTS,9,FALSE)+VLOOKUP(195,table_CIA_INLETS,7,FALSE)</f>
        <v>15.208099999999998</v>
      </c>
      <c r="K587" s="56" t="s">
        <v>10</v>
      </c>
      <c r="L587" s="53" t="s">
        <v>10</v>
      </c>
      <c r="M587" s="55" t="s">
        <v>10</v>
      </c>
      <c r="N587" s="53" t="s">
        <v>10</v>
      </c>
      <c r="O587" s="53" t="s">
        <v>10</v>
      </c>
      <c r="P587" s="53">
        <f>+P586</f>
        <v>24.775289071731549</v>
      </c>
      <c r="Q587" s="55">
        <f t="shared" si="38"/>
        <v>0.74245356438212851</v>
      </c>
      <c r="R587" s="54">
        <f>J587*Q587</f>
        <v>11.291308052479847</v>
      </c>
      <c r="S587" s="320">
        <v>30</v>
      </c>
      <c r="T587" s="55">
        <f>(4*R587)/(3.14159*(S587/12)^2)</f>
        <v>2.3002483308092723</v>
      </c>
      <c r="U587" s="56">
        <f>((R587/((0.463135/cell_NP)*((S587/12)^(8/3))))^2)*cell_FF</f>
        <v>8.7158779247187279E-4</v>
      </c>
      <c r="V587" s="53">
        <v>577</v>
      </c>
      <c r="W587" s="53">
        <f>V587/(T587*60)</f>
        <v>4.1807080295905861</v>
      </c>
      <c r="X587" s="53">
        <f>W587+P587</f>
        <v>28.955997101322136</v>
      </c>
      <c r="Y587" s="55">
        <f>U587*V587</f>
        <v>0.50290615625627055</v>
      </c>
      <c r="Z587" s="55">
        <f>IF(VLOOKUP(159,table_CIA_JCTS,25,FALSE)+VLOOKUP(158,table_CIA_JCTS,24,FALSE)&lt;VLOOKUP(158,table_CIA_JCTS,28,FALSE),VLOOKUP(158,table_CIA_JCTS,28,FALSE),VLOOKUP(159,table_CIA_JCTS,25,FALSE)+VLOOKUP(158,table_CIA_JCTS,24,FALSE))</f>
        <v>388.8954283379594</v>
      </c>
      <c r="AA587" s="55">
        <v>392</v>
      </c>
      <c r="AB587" s="55">
        <f>(AA587-0.5)-Z587</f>
        <v>2.6045716620405983</v>
      </c>
      <c r="AC587" s="57" t="s">
        <v>10</v>
      </c>
      <c r="AD587" t="s">
        <v>10</v>
      </c>
    </row>
    <row r="588" spans="2:30" x14ac:dyDescent="0.2">
      <c r="B588" s="216" t="s">
        <v>10</v>
      </c>
      <c r="C588" s="215">
        <v>196</v>
      </c>
      <c r="D588" s="54">
        <f>VLOOKUP(C588,table_DI,2)</f>
        <v>14.48</v>
      </c>
      <c r="E588" s="54" t="s">
        <v>10</v>
      </c>
      <c r="F588" s="55">
        <f>VLOOKUP(C588,table_DI,5)</f>
        <v>0.71499999999999997</v>
      </c>
      <c r="G588" s="54">
        <f>VLOOKUP(C588,table_DI,3)</f>
        <v>9.4120000000000008</v>
      </c>
      <c r="H588" s="54" t="s">
        <v>10</v>
      </c>
      <c r="I588" s="54">
        <f>VLOOKUP(C588,table_DI,4)</f>
        <v>10.353199999999999</v>
      </c>
      <c r="J588" s="54" t="s">
        <v>10</v>
      </c>
      <c r="K588" s="56">
        <f>VLOOKUP(C588,table_DI,9)</f>
        <v>5.7692307692307696E-3</v>
      </c>
      <c r="L588" s="53">
        <f>VLOOKUP(C588,table_DI,8)</f>
        <v>780</v>
      </c>
      <c r="M588" s="55">
        <f>(0.84*(K588^0.5)*(cell_GUTDEP^0.6666)/cell_NRD)</f>
        <v>2.2365377654578791</v>
      </c>
      <c r="N588" s="53">
        <f>VLOOKUP(C588,table_DI,10)</f>
        <v>15</v>
      </c>
      <c r="O588" s="53">
        <f>(L588/(M588*60))</f>
        <v>5.8125555493754666</v>
      </c>
      <c r="P588" s="53">
        <f>N588+O588</f>
        <v>20.812555549375467</v>
      </c>
      <c r="Q588" s="55">
        <f t="shared" si="38"/>
        <v>0.82807267483588831</v>
      </c>
      <c r="R588" s="54">
        <f>Q588*I588</f>
        <v>8.5732020171109191</v>
      </c>
      <c r="S588" s="53" t="s">
        <v>10</v>
      </c>
      <c r="T588" s="55" t="s">
        <v>10</v>
      </c>
      <c r="U588" s="56" t="s">
        <v>10</v>
      </c>
      <c r="V588" s="53" t="s">
        <v>10</v>
      </c>
      <c r="W588" s="53" t="s">
        <v>10</v>
      </c>
      <c r="X588" s="53" t="s">
        <v>10</v>
      </c>
      <c r="Y588" s="55" t="s">
        <v>10</v>
      </c>
      <c r="Z588" s="55" t="s">
        <v>10</v>
      </c>
      <c r="AA588" s="55" t="s">
        <v>10</v>
      </c>
      <c r="AB588" s="55" t="s">
        <v>10</v>
      </c>
      <c r="AC588" s="57" t="s">
        <v>10</v>
      </c>
      <c r="AD588" t="s">
        <v>10</v>
      </c>
    </row>
    <row r="589" spans="2:30" x14ac:dyDescent="0.2">
      <c r="B589" s="216">
        <v>159</v>
      </c>
      <c r="C589" s="217" t="s">
        <v>10</v>
      </c>
      <c r="D589" s="54" t="s">
        <v>10</v>
      </c>
      <c r="E589" s="54">
        <f>VLOOKUP(158,table_CIA_JCTS,4,FALSE)+VLOOKUP(196,table_CIA_INLETS,2,FALSE)</f>
        <v>35.75</v>
      </c>
      <c r="F589" s="55" t="s">
        <v>10</v>
      </c>
      <c r="G589" s="54" t="s">
        <v>10</v>
      </c>
      <c r="H589" s="54">
        <f>VLOOKUP(158,table_CIA_JCTS,7,FALSE)+VLOOKUP(196,table_CIA_INLETS,5,FALSE)</f>
        <v>23.23</v>
      </c>
      <c r="I589" s="54" t="s">
        <v>10</v>
      </c>
      <c r="J589" s="54">
        <f>VLOOKUP(158,table_CIA_JCTS,9,FALSE)+VLOOKUP(196,table_CIA_INLETS,7,FALSE)</f>
        <v>25.561299999999996</v>
      </c>
      <c r="K589" s="56" t="s">
        <v>10</v>
      </c>
      <c r="L589" s="53" t="s">
        <v>10</v>
      </c>
      <c r="M589" s="55" t="s">
        <v>10</v>
      </c>
      <c r="N589" s="53" t="s">
        <v>10</v>
      </c>
      <c r="O589" s="53" t="s">
        <v>10</v>
      </c>
      <c r="P589" s="53">
        <f>VLOOKUP(158,table_CIA_JCTS,23,FALSE)</f>
        <v>28.955997101322136</v>
      </c>
      <c r="Q589" s="55">
        <f t="shared" si="38"/>
        <v>0.67338457126981599</v>
      </c>
      <c r="R589" s="54">
        <f>J589*Q589</f>
        <v>17.212585041599144</v>
      </c>
      <c r="S589" s="53">
        <v>30</v>
      </c>
      <c r="T589" s="55">
        <f>(4*R589)/(3.14159*(S589/12)^2)</f>
        <v>3.5065219925653737</v>
      </c>
      <c r="U589" s="56">
        <f>((R589/((0.463135/cell_NP)*((S589/12)^(8/3))))^2)*cell_FF</f>
        <v>2.0254187430930998E-3</v>
      </c>
      <c r="V589" s="53">
        <v>665</v>
      </c>
      <c r="W589" s="53">
        <f>V589/(T589*60)</f>
        <v>3.1607767915993477</v>
      </c>
      <c r="X589" s="53">
        <f>W589+P589</f>
        <v>32.116773892921486</v>
      </c>
      <c r="Y589" s="55">
        <f>U589*V589</f>
        <v>1.3469034641569113</v>
      </c>
      <c r="Z589" s="55">
        <f>+Z592+Y589</f>
        <v>388.39252218170316</v>
      </c>
      <c r="AA589" s="55">
        <v>392.5</v>
      </c>
      <c r="AB589" s="55">
        <f>(AA589-0.5)-Z589</f>
        <v>3.607477818296843</v>
      </c>
      <c r="AC589" s="57" t="s">
        <v>10</v>
      </c>
      <c r="AD589"/>
    </row>
    <row r="590" spans="2:30" x14ac:dyDescent="0.2">
      <c r="B590" s="216" t="s">
        <v>10</v>
      </c>
      <c r="C590" s="215">
        <v>197</v>
      </c>
      <c r="D590" s="54">
        <f>VLOOKUP(C590,table_DI,2)</f>
        <v>4.99</v>
      </c>
      <c r="E590" s="54" t="s">
        <v>10</v>
      </c>
      <c r="F590" s="55">
        <f>VLOOKUP(C590,table_DI,5)</f>
        <v>0.71501002004008007</v>
      </c>
      <c r="G590" s="54">
        <f>VLOOKUP(C590,table_DI,3)</f>
        <v>3.2435</v>
      </c>
      <c r="H590" s="54" t="s">
        <v>10</v>
      </c>
      <c r="I590" s="54">
        <f>VLOOKUP(C590,table_DI,4)</f>
        <v>3.5678999999999998</v>
      </c>
      <c r="J590" s="54" t="s">
        <v>10</v>
      </c>
      <c r="K590" s="56">
        <f>VLOOKUP(C590,table_DI,9)</f>
        <v>3.4848484848485021E-3</v>
      </c>
      <c r="L590" s="53">
        <f>VLOOKUP(C590,table_DI,8)</f>
        <v>660</v>
      </c>
      <c r="M590" s="55">
        <f>(0.84*(K590^0.5)*(cell_GUTDEP^0.6666)/cell_NRD)</f>
        <v>1.7382379628793401</v>
      </c>
      <c r="N590" s="53">
        <f>VLOOKUP(C590,table_DI,10)</f>
        <v>15</v>
      </c>
      <c r="O590" s="53">
        <f>(L590/(M590*60))</f>
        <v>6.3282474752644466</v>
      </c>
      <c r="P590" s="53">
        <f>N590+O590</f>
        <v>21.328247475264448</v>
      </c>
      <c r="Q590" s="55">
        <f t="shared" ref="Q590:Q599" si="39">cell_P*(P590^cell_E)</f>
        <v>0.81547771490121201</v>
      </c>
      <c r="R590" s="54">
        <f>Q590*I590</f>
        <v>2.9095429389960343</v>
      </c>
      <c r="S590" s="53" t="s">
        <v>10</v>
      </c>
      <c r="T590" s="55" t="s">
        <v>10</v>
      </c>
      <c r="U590" s="56" t="s">
        <v>10</v>
      </c>
      <c r="V590" s="53" t="s">
        <v>10</v>
      </c>
      <c r="W590" s="53" t="s">
        <v>10</v>
      </c>
      <c r="X590" s="53" t="s">
        <v>10</v>
      </c>
      <c r="Y590" s="55" t="s">
        <v>10</v>
      </c>
      <c r="Z590" s="55" t="s">
        <v>10</v>
      </c>
      <c r="AA590" s="55" t="s">
        <v>10</v>
      </c>
      <c r="AB590" s="55" t="s">
        <v>10</v>
      </c>
      <c r="AC590" s="57" t="s">
        <v>10</v>
      </c>
      <c r="AD590" t="s">
        <v>10</v>
      </c>
    </row>
    <row r="591" spans="2:30" x14ac:dyDescent="0.2">
      <c r="B591" s="216">
        <v>159.1</v>
      </c>
      <c r="C591" s="217" t="s">
        <v>10</v>
      </c>
      <c r="D591" s="54" t="s">
        <v>10</v>
      </c>
      <c r="E591" s="54">
        <f>VLOOKUP(159,table_CIA_JCTS,4,FALSE)+VLOOKUP(197,table_CIA_INLETS,2,FALSE)</f>
        <v>40.74</v>
      </c>
      <c r="F591" s="55" t="s">
        <v>10</v>
      </c>
      <c r="G591" s="54" t="s">
        <v>10</v>
      </c>
      <c r="H591" s="54">
        <f>VLOOKUP(159,table_CIA_JCTS,7,FALSE)+VLOOKUP(197,table_CIA_INLETS,5,FALSE)</f>
        <v>26.473500000000001</v>
      </c>
      <c r="I591" s="54" t="s">
        <v>10</v>
      </c>
      <c r="J591" s="54">
        <f>VLOOKUP(159,table_CIA_JCTS,9,FALSE)+VLOOKUP(197,table_CIA_INLETS,7,FALSE)</f>
        <v>29.129199999999997</v>
      </c>
      <c r="K591" s="56" t="s">
        <v>10</v>
      </c>
      <c r="L591" s="53" t="s">
        <v>10</v>
      </c>
      <c r="M591" s="55" t="s">
        <v>10</v>
      </c>
      <c r="N591" s="53" t="s">
        <v>10</v>
      </c>
      <c r="O591" s="53" t="s">
        <v>10</v>
      </c>
      <c r="P591" s="53">
        <f>VLOOKUP(159,table_CIA_JCTS,23,FALSE)</f>
        <v>32.116773892921486</v>
      </c>
      <c r="Q591" s="55">
        <f t="shared" si="39"/>
        <v>0.63108564392437527</v>
      </c>
      <c r="R591" s="54">
        <f>J591*Q591</f>
        <v>18.383019939001912</v>
      </c>
      <c r="S591" s="53"/>
      <c r="T591" s="55"/>
      <c r="U591" s="56"/>
      <c r="V591" s="53"/>
      <c r="W591" s="53"/>
      <c r="X591" s="53"/>
      <c r="Y591" s="55"/>
      <c r="Z591" s="55"/>
      <c r="AA591" s="55"/>
      <c r="AB591" s="55"/>
      <c r="AC591" s="57" t="s">
        <v>10</v>
      </c>
      <c r="AD591" s="322" t="s">
        <v>474</v>
      </c>
    </row>
    <row r="592" spans="2:30" x14ac:dyDescent="0.2">
      <c r="B592" s="216">
        <v>159.1</v>
      </c>
      <c r="C592" s="319" t="s">
        <v>472</v>
      </c>
      <c r="D592" s="54" t="s">
        <v>10</v>
      </c>
      <c r="E592" s="54">
        <f>(E591*AD592)</f>
        <v>37.541910000000001</v>
      </c>
      <c r="F592" s="55" t="s">
        <v>10</v>
      </c>
      <c r="G592" s="54" t="s">
        <v>10</v>
      </c>
      <c r="H592" s="54">
        <f>(H591*AD592)</f>
        <v>24.395330250000001</v>
      </c>
      <c r="I592" s="54" t="s">
        <v>10</v>
      </c>
      <c r="J592" s="54">
        <f>(J591*AD592)</f>
        <v>26.842557799999998</v>
      </c>
      <c r="K592" s="56" t="s">
        <v>10</v>
      </c>
      <c r="L592" s="53" t="s">
        <v>10</v>
      </c>
      <c r="M592" s="55" t="s">
        <v>10</v>
      </c>
      <c r="N592" s="53" t="s">
        <v>10</v>
      </c>
      <c r="O592" s="53" t="s">
        <v>10</v>
      </c>
      <c r="P592" s="53">
        <f>VLOOKUP(159,table_CIA_JCTS,23,FALSE)</f>
        <v>32.116773892921486</v>
      </c>
      <c r="Q592" s="55">
        <f t="shared" si="39"/>
        <v>0.63108564392437527</v>
      </c>
      <c r="R592" s="54">
        <f>J592*Q592</f>
        <v>16.939952873790261</v>
      </c>
      <c r="S592" s="53">
        <v>30</v>
      </c>
      <c r="T592" s="55">
        <f>(4*R592)/(3.14159*(S592/12)^2)</f>
        <v>3.4509817764971773</v>
      </c>
      <c r="U592" s="56">
        <f>((R592/((0.463135/cell_NP)*((S592/12)^(8/3))))^2)*cell_FF</f>
        <v>1.9617651819422493E-3</v>
      </c>
      <c r="V592" s="53">
        <v>207</v>
      </c>
      <c r="W592" s="53">
        <f>V592/(T592*60)</f>
        <v>0.99971550806096299</v>
      </c>
      <c r="X592" s="53">
        <f>W592+P592</f>
        <v>33.116489400982452</v>
      </c>
      <c r="Y592" s="55">
        <f>U592*V592</f>
        <v>0.40608539266204563</v>
      </c>
      <c r="Z592" s="55">
        <f>IF(VLOOKUP(160,table_CIA_JCTS,25,FALSE)+VLOOKUP(159.1,table_CIA_JCTS,24,FALSE)&lt;VLOOKUP(159.1,table_CIA_JCTS,28,FALSE),VLOOKUP(159.1,table_CIA_JCTS,28,FALSE),VLOOKUP(160,table_CIA_JCTS,25,FALSE)+VLOOKUP(159.1,table_CIA_JCTS,24,FALSE))</f>
        <v>387.04561871754623</v>
      </c>
      <c r="AA592" s="55">
        <v>391.7</v>
      </c>
      <c r="AB592" s="55">
        <f>(AA592-0.5)-Z592</f>
        <v>4.1543812824537554</v>
      </c>
      <c r="AC592" s="57" t="s">
        <v>10</v>
      </c>
      <c r="AD592" s="322">
        <v>0.92149999999999999</v>
      </c>
    </row>
    <row r="593" spans="2:30" ht="15.75" x14ac:dyDescent="0.25">
      <c r="B593" s="216">
        <v>159.19999999999999</v>
      </c>
      <c r="C593" s="319" t="s">
        <v>473</v>
      </c>
      <c r="D593" s="54" t="s">
        <v>10</v>
      </c>
      <c r="E593" s="54">
        <f>(E591*AD593)</f>
        <v>3.1980900000000005</v>
      </c>
      <c r="F593" s="55" t="s">
        <v>10</v>
      </c>
      <c r="G593" s="54" t="s">
        <v>10</v>
      </c>
      <c r="H593" s="54">
        <f>(H591*AD593)</f>
        <v>2.0781697500000007</v>
      </c>
      <c r="I593" s="54" t="s">
        <v>10</v>
      </c>
      <c r="J593" s="54">
        <f>(J591*AD593)</f>
        <v>2.2866422000000002</v>
      </c>
      <c r="K593" s="56" t="s">
        <v>10</v>
      </c>
      <c r="L593" s="53" t="s">
        <v>10</v>
      </c>
      <c r="M593" s="55" t="s">
        <v>10</v>
      </c>
      <c r="N593" s="53" t="s">
        <v>10</v>
      </c>
      <c r="O593" s="53" t="s">
        <v>10</v>
      </c>
      <c r="P593" s="53">
        <f>VLOOKUP(159,table_CIA_JCTS,23,FALSE)</f>
        <v>32.116773892921486</v>
      </c>
      <c r="Q593" s="55">
        <f t="shared" si="39"/>
        <v>0.63108564392437527</v>
      </c>
      <c r="R593" s="54">
        <f>J593*Q593</f>
        <v>1.4430670652116502</v>
      </c>
      <c r="S593" s="320">
        <v>24</v>
      </c>
      <c r="T593" s="55">
        <f>(4*R593)/(3.14159*(S593/12)^2)</f>
        <v>0.45934290127344762</v>
      </c>
      <c r="U593" s="56">
        <f>((R593/((0.463135/cell_NP)*((S593/12)^(8/3))))^2)*cell_FF</f>
        <v>4.6800345513159112E-5</v>
      </c>
      <c r="V593" s="53">
        <v>711</v>
      </c>
      <c r="W593" s="53">
        <f>V593/(T593*60)</f>
        <v>25.797720977396086</v>
      </c>
      <c r="X593" s="53">
        <f>W593+P593</f>
        <v>57.914494870317569</v>
      </c>
      <c r="Y593" s="55">
        <f>U593*V593</f>
        <v>3.3275045659856131E-2</v>
      </c>
      <c r="Z593" s="353">
        <f>IF(VLOOKUP(174,table_CIA_JCTS,25,FALSE)+VLOOKUP(159.1,table_CIA_JCTS,24,FALSE)&lt;VLOOKUP(159.1,table_CIA_JCTS,28,FALSE),VLOOKUP(159.1,table_CIA_JCTS,28,FALSE),VLOOKUP(174,table_CIA_JCTS,25,FALSE)+VLOOKUP(159.1,table_CIA_JCTS,24,FALSE))</f>
        <v>386.98582262291222</v>
      </c>
      <c r="AA593" s="55">
        <v>391.7</v>
      </c>
      <c r="AB593" s="55">
        <f>(AA593-0.5)-Z593</f>
        <v>4.2141773770877649</v>
      </c>
      <c r="AC593" s="57" t="s">
        <v>10</v>
      </c>
      <c r="AD593" s="322">
        <f>1-AD592</f>
        <v>7.8500000000000014E-2</v>
      </c>
    </row>
    <row r="594" spans="2:30" x14ac:dyDescent="0.2">
      <c r="B594" s="216" t="s">
        <v>10</v>
      </c>
      <c r="C594" s="215">
        <v>198</v>
      </c>
      <c r="D594" s="54">
        <f>VLOOKUP(C594,table_DI,2)</f>
        <v>2.88</v>
      </c>
      <c r="E594" s="54" t="s">
        <v>10</v>
      </c>
      <c r="F594" s="55">
        <f>VLOOKUP(C594,table_DI,5)</f>
        <v>0.35000000000000003</v>
      </c>
      <c r="G594" s="54">
        <f>VLOOKUP(C594,table_DI,3)</f>
        <v>0.92159999999999997</v>
      </c>
      <c r="H594" s="54" t="s">
        <v>10</v>
      </c>
      <c r="I594" s="54">
        <f>VLOOKUP(C594,table_DI,4)</f>
        <v>1.008</v>
      </c>
      <c r="J594" s="54" t="s">
        <v>10</v>
      </c>
      <c r="K594" s="56">
        <f>VLOOKUP(C594,table_DI,9)</f>
        <v>2.3210831721470898E-3</v>
      </c>
      <c r="L594" s="53">
        <f>VLOOKUP(C594,table_DI,8)</f>
        <v>517</v>
      </c>
      <c r="M594" s="55">
        <f>(0.84*(K594^0.5)*(cell_GUTDEP^0.6666)/cell_NRD)</f>
        <v>1.4186087421814149</v>
      </c>
      <c r="N594" s="53">
        <f>VLOOKUP(C594,table_DI,10)</f>
        <v>25</v>
      </c>
      <c r="O594" s="53">
        <f>(L594/(M594*60))</f>
        <v>6.0740261993710094</v>
      </c>
      <c r="P594" s="53">
        <f>N594+O594</f>
        <v>31.074026199371009</v>
      </c>
      <c r="Q594" s="55">
        <f t="shared" si="39"/>
        <v>0.64426493331974555</v>
      </c>
      <c r="R594" s="54">
        <f>Q594*I594</f>
        <v>0.64941905278630352</v>
      </c>
      <c r="S594" s="53" t="s">
        <v>10</v>
      </c>
      <c r="T594" s="55" t="s">
        <v>10</v>
      </c>
      <c r="U594" s="56" t="s">
        <v>10</v>
      </c>
      <c r="V594" s="53" t="s">
        <v>10</v>
      </c>
      <c r="W594" s="53" t="s">
        <v>10</v>
      </c>
      <c r="X594" s="53" t="s">
        <v>10</v>
      </c>
      <c r="Y594" s="55" t="s">
        <v>10</v>
      </c>
      <c r="Z594" s="55" t="s">
        <v>10</v>
      </c>
      <c r="AA594" s="55" t="s">
        <v>10</v>
      </c>
      <c r="AB594" s="55" t="s">
        <v>10</v>
      </c>
      <c r="AC594" s="57" t="s">
        <v>10</v>
      </c>
      <c r="AD594" t="s">
        <v>10</v>
      </c>
    </row>
    <row r="595" spans="2:30" x14ac:dyDescent="0.2">
      <c r="B595" s="216" t="s">
        <v>10</v>
      </c>
      <c r="C595" s="215">
        <v>199</v>
      </c>
      <c r="D595" s="54">
        <f>VLOOKUP(C595,table_DI,2)</f>
        <v>6.15</v>
      </c>
      <c r="E595" s="54" t="s">
        <v>10</v>
      </c>
      <c r="F595" s="55">
        <f>VLOOKUP(C595,table_DI,5)</f>
        <v>0.35</v>
      </c>
      <c r="G595" s="54">
        <f>VLOOKUP(C595,table_DI,3)</f>
        <v>1.968</v>
      </c>
      <c r="H595" s="54" t="s">
        <v>10</v>
      </c>
      <c r="I595" s="54">
        <f>VLOOKUP(C595,table_DI,4)</f>
        <v>2.1524999999999999</v>
      </c>
      <c r="J595" s="54" t="s">
        <v>10</v>
      </c>
      <c r="K595" s="56">
        <f>VLOOKUP(C595,table_DI,9)</f>
        <v>2.73371104815865E-3</v>
      </c>
      <c r="L595" s="53">
        <f>VLOOKUP(C595,table_DI,8)</f>
        <v>706</v>
      </c>
      <c r="M595" s="55">
        <f>(0.84*(K595^0.5)*(cell_GUTDEP^0.6666)/cell_NRD)</f>
        <v>1.5395492424570232</v>
      </c>
      <c r="N595" s="53">
        <f>VLOOKUP(C595,table_DI,10)</f>
        <v>25</v>
      </c>
      <c r="O595" s="53">
        <f>(L595/(M595*60))</f>
        <v>7.642929723954663</v>
      </c>
      <c r="P595" s="53">
        <f>N595+O595</f>
        <v>32.642929723954666</v>
      </c>
      <c r="Q595" s="55">
        <f t="shared" si="39"/>
        <v>0.62469649941767258</v>
      </c>
      <c r="R595" s="54">
        <f>Q595*I595</f>
        <v>1.3446592149965402</v>
      </c>
      <c r="S595" s="53" t="s">
        <v>10</v>
      </c>
      <c r="T595" s="55" t="s">
        <v>10</v>
      </c>
      <c r="U595" s="56" t="s">
        <v>10</v>
      </c>
      <c r="V595" s="53" t="s">
        <v>10</v>
      </c>
      <c r="W595" s="53" t="s">
        <v>10</v>
      </c>
      <c r="X595" s="53" t="s">
        <v>10</v>
      </c>
      <c r="Y595" s="55" t="s">
        <v>10</v>
      </c>
      <c r="Z595" s="55" t="s">
        <v>10</v>
      </c>
      <c r="AA595" s="55" t="s">
        <v>10</v>
      </c>
      <c r="AB595" s="55" t="s">
        <v>10</v>
      </c>
      <c r="AC595" s="57" t="s">
        <v>10</v>
      </c>
      <c r="AD595" t="s">
        <v>10</v>
      </c>
    </row>
    <row r="596" spans="2:30" x14ac:dyDescent="0.2">
      <c r="B596" s="216">
        <v>160</v>
      </c>
      <c r="C596" s="217" t="s">
        <v>10</v>
      </c>
      <c r="D596" s="54" t="s">
        <v>10</v>
      </c>
      <c r="E596" s="54">
        <f>+E592+D594+D595</f>
        <v>46.571910000000003</v>
      </c>
      <c r="F596" s="55" t="s">
        <v>10</v>
      </c>
      <c r="G596" s="54" t="s">
        <v>10</v>
      </c>
      <c r="H596" s="54">
        <f>+H592+G594+G595</f>
        <v>27.284930250000002</v>
      </c>
      <c r="I596" s="54" t="s">
        <v>10</v>
      </c>
      <c r="J596" s="54">
        <f>+J592+I594+I595</f>
        <v>30.003057799999997</v>
      </c>
      <c r="K596" s="56" t="s">
        <v>10</v>
      </c>
      <c r="L596" s="53" t="s">
        <v>10</v>
      </c>
      <c r="M596" s="55" t="s">
        <v>10</v>
      </c>
      <c r="N596" s="53" t="s">
        <v>10</v>
      </c>
      <c r="O596" s="53" t="s">
        <v>10</v>
      </c>
      <c r="P596" s="53">
        <f>+X592</f>
        <v>33.116489400982452</v>
      </c>
      <c r="Q596" s="55">
        <f t="shared" si="39"/>
        <v>0.61908757784940804</v>
      </c>
      <c r="R596" s="54">
        <f>J596*Q596</f>
        <v>18.574520381477786</v>
      </c>
      <c r="S596" s="53">
        <v>30</v>
      </c>
      <c r="T596" s="55">
        <f>(4*R596)/(3.14159*(S596/12)^2)</f>
        <v>3.7839734160554954</v>
      </c>
      <c r="U596" s="56">
        <f>((R596/((0.463135/cell_NP)*((S596/12)^(8/3))))^2)*cell_FF</f>
        <v>2.3586192769272374E-3</v>
      </c>
      <c r="V596" s="53">
        <v>937</v>
      </c>
      <c r="W596" s="53">
        <f>V596/(T596*60)</f>
        <v>4.1270550687287475</v>
      </c>
      <c r="X596" s="53">
        <f>W596+P596</f>
        <v>37.243544469711196</v>
      </c>
      <c r="Y596" s="55">
        <f>U596*V596</f>
        <v>2.2100262624808216</v>
      </c>
      <c r="Z596" s="55">
        <f>IF(VLOOKUP(161,table_CIA_JCTS,25,FALSE)+VLOOKUP(160,table_CIA_JCTS,24,FALSE)&lt;VLOOKUP(160,table_CIA_JCTS,28,FALSE),VLOOKUP(160,table_CIA_JCTS,28,FALSE),VLOOKUP(161,table_CIA_JCTS,25,FALSE)+VLOOKUP(160,table_CIA_JCTS,24,FALSE))</f>
        <v>387.04561871754623</v>
      </c>
      <c r="AA596" s="55">
        <v>390.8</v>
      </c>
      <c r="AB596" s="55">
        <f>(AA596-0.5)-Z596</f>
        <v>3.2543812824537781</v>
      </c>
      <c r="AC596" s="57">
        <v>384.75</v>
      </c>
      <c r="AD596" t="s">
        <v>447</v>
      </c>
    </row>
    <row r="597" spans="2:30" x14ac:dyDescent="0.2">
      <c r="B597" s="216" t="s">
        <v>10</v>
      </c>
      <c r="C597" s="215">
        <v>200</v>
      </c>
      <c r="D597" s="54">
        <f>VLOOKUP(C597,table_DI,2)</f>
        <v>8.65</v>
      </c>
      <c r="E597" s="54" t="s">
        <v>10</v>
      </c>
      <c r="F597" s="55">
        <f>VLOOKUP(C597,table_DI,5)</f>
        <v>0.35</v>
      </c>
      <c r="G597" s="54">
        <f>VLOOKUP(C597,table_DI,3)</f>
        <v>2.7679999999999998</v>
      </c>
      <c r="H597" s="54" t="s">
        <v>10</v>
      </c>
      <c r="I597" s="54">
        <f>VLOOKUP(C597,table_DI,4)</f>
        <v>3.0274999999999999</v>
      </c>
      <c r="J597" s="54" t="s">
        <v>10</v>
      </c>
      <c r="K597" s="56">
        <f>VLOOKUP(C597,table_DI,9)</f>
        <v>2.9302325581395138E-3</v>
      </c>
      <c r="L597" s="53">
        <f>VLOOKUP(C597,table_DI,8)</f>
        <v>1075</v>
      </c>
      <c r="M597" s="55">
        <f>(0.84*(K597^0.5)*(cell_GUTDEP^0.6666)/cell_NRD)</f>
        <v>1.5939266249839938</v>
      </c>
      <c r="N597" s="53">
        <f>VLOOKUP(C597,table_DI,10)</f>
        <v>25</v>
      </c>
      <c r="O597" s="53">
        <f>(L597/(M597*60))</f>
        <v>11.240584344242688</v>
      </c>
      <c r="P597" s="53">
        <f>N597+O597</f>
        <v>36.240584344242691</v>
      </c>
      <c r="Q597" s="55">
        <f t="shared" si="39"/>
        <v>0.5851076772231536</v>
      </c>
      <c r="R597" s="54">
        <f>Q597*I597</f>
        <v>1.7714134927930973</v>
      </c>
      <c r="S597" s="53" t="s">
        <v>10</v>
      </c>
      <c r="T597" s="55" t="s">
        <v>10</v>
      </c>
      <c r="U597" s="56" t="s">
        <v>10</v>
      </c>
      <c r="V597" s="53" t="s">
        <v>10</v>
      </c>
      <c r="W597" s="53" t="s">
        <v>10</v>
      </c>
      <c r="X597" s="53" t="s">
        <v>10</v>
      </c>
      <c r="Y597" s="55" t="s">
        <v>10</v>
      </c>
      <c r="Z597" s="55" t="s">
        <v>10</v>
      </c>
      <c r="AA597" s="55" t="s">
        <v>10</v>
      </c>
      <c r="AB597" s="55" t="s">
        <v>10</v>
      </c>
      <c r="AC597" s="57" t="s">
        <v>10</v>
      </c>
      <c r="AD597" t="s">
        <v>10</v>
      </c>
    </row>
    <row r="598" spans="2:30" x14ac:dyDescent="0.2">
      <c r="B598" s="216" t="s">
        <v>10</v>
      </c>
      <c r="C598" s="215">
        <v>201</v>
      </c>
      <c r="D598" s="54">
        <f>VLOOKUP(C598,table_DI,2)</f>
        <v>3.23</v>
      </c>
      <c r="E598" s="54" t="s">
        <v>10</v>
      </c>
      <c r="F598" s="55">
        <f>VLOOKUP(C598,table_DI,5)</f>
        <v>0.35000000000000003</v>
      </c>
      <c r="G598" s="54">
        <f>VLOOKUP(C598,table_DI,3)</f>
        <v>1.0336000000000001</v>
      </c>
      <c r="H598" s="54" t="s">
        <v>10</v>
      </c>
      <c r="I598" s="54">
        <f>VLOOKUP(C598,table_DI,4)</f>
        <v>1.1305000000000001</v>
      </c>
      <c r="J598" s="54" t="s">
        <v>10</v>
      </c>
      <c r="K598" s="56">
        <f>VLOOKUP(C598,table_DI,9)</f>
        <v>4.0948275862068475E-3</v>
      </c>
      <c r="L598" s="53">
        <f>VLOOKUP(C598,table_DI,8)</f>
        <v>464</v>
      </c>
      <c r="M598" s="55">
        <f>(0.84*(K598^0.5)*(cell_GUTDEP^0.6666)/cell_NRD)</f>
        <v>1.8842351039268639</v>
      </c>
      <c r="N598" s="53">
        <f>VLOOKUP(C598,table_DI,10)</f>
        <v>25</v>
      </c>
      <c r="O598" s="53">
        <f>(L598/(M598*60))</f>
        <v>4.1042295185014765</v>
      </c>
      <c r="P598" s="53">
        <f>N598+O598</f>
        <v>29.104229518501477</v>
      </c>
      <c r="Q598" s="55">
        <f t="shared" si="39"/>
        <v>0.67123487309335628</v>
      </c>
      <c r="R598" s="54">
        <f>Q598*I598</f>
        <v>0.75883102403203928</v>
      </c>
      <c r="S598" s="53" t="s">
        <v>10</v>
      </c>
      <c r="T598" s="55" t="s">
        <v>10</v>
      </c>
      <c r="U598" s="56" t="s">
        <v>10</v>
      </c>
      <c r="V598" s="53" t="s">
        <v>10</v>
      </c>
      <c r="W598" s="53" t="s">
        <v>10</v>
      </c>
      <c r="X598" s="53" t="s">
        <v>10</v>
      </c>
      <c r="Y598" s="55" t="s">
        <v>10</v>
      </c>
      <c r="Z598" s="55" t="s">
        <v>10</v>
      </c>
      <c r="AA598" s="55" t="s">
        <v>10</v>
      </c>
      <c r="AB598" s="55" t="s">
        <v>10</v>
      </c>
      <c r="AC598" s="57" t="s">
        <v>10</v>
      </c>
      <c r="AD598" t="s">
        <v>10</v>
      </c>
    </row>
    <row r="599" spans="2:30" x14ac:dyDescent="0.2">
      <c r="B599" s="216">
        <v>161</v>
      </c>
      <c r="C599" s="217" t="s">
        <v>10</v>
      </c>
      <c r="D599" s="54" t="s">
        <v>10</v>
      </c>
      <c r="E599" s="54">
        <f>VLOOKUP(160,table_CIA_JCTS,4,FALSE)+VLOOKUP(200,table_CIA_INLETS,2,FALSE)+VLOOKUP(201,table_CIA_INLETS,2,FALSE)</f>
        <v>58.451909999999998</v>
      </c>
      <c r="F599" s="55" t="s">
        <v>10</v>
      </c>
      <c r="G599" s="54" t="s">
        <v>10</v>
      </c>
      <c r="H599" s="54">
        <f>VLOOKUP(160,table_CIA_JCTS,7,FALSE)+VLOOKUP(200,table_CIA_INLETS,5,FALSE)+VLOOKUP(201,table_CIA_INLETS,5,FALSE)</f>
        <v>31.086530250000003</v>
      </c>
      <c r="I599" s="54" t="s">
        <v>10</v>
      </c>
      <c r="J599" s="54">
        <f>VLOOKUP(160,table_CIA_JCTS,9,FALSE)+VLOOKUP(200,table_CIA_INLETS,7,FALSE)+VLOOKUP(201,table_CIA_INLETS,7,FALSE)</f>
        <v>34.161057799999995</v>
      </c>
      <c r="K599" s="56" t="s">
        <v>10</v>
      </c>
      <c r="L599" s="53" t="s">
        <v>10</v>
      </c>
      <c r="M599" s="55" t="s">
        <v>10</v>
      </c>
      <c r="N599" s="53" t="s">
        <v>10</v>
      </c>
      <c r="O599" s="53" t="s">
        <v>10</v>
      </c>
      <c r="P599" s="53">
        <f>VLOOKUP(160,table_CIA_JCTS,23,FALSE)</f>
        <v>37.243544469711196</v>
      </c>
      <c r="Q599" s="55">
        <f t="shared" si="39"/>
        <v>0.57519047485992902</v>
      </c>
      <c r="R599" s="54">
        <f>J599*Q599</f>
        <v>19.649115057699479</v>
      </c>
      <c r="S599" s="53">
        <v>36</v>
      </c>
      <c r="T599" s="55">
        <f>(4*R599)/(3.14159*(S599/12)^2)</f>
        <v>2.7797834935953492</v>
      </c>
      <c r="U599" s="56">
        <f>((R599/((0.463135/cell_NP)*((S599/12)^(8/3))))^2)*cell_FF</f>
        <v>9.9817948349066577E-4</v>
      </c>
      <c r="V599" s="53">
        <v>434</v>
      </c>
      <c r="W599" s="53">
        <f>V599/(T599*60)</f>
        <v>2.6021211184248738</v>
      </c>
      <c r="X599" s="53">
        <f>W599+P599</f>
        <v>39.845665588136072</v>
      </c>
      <c r="Y599" s="55">
        <f>U599*V599</f>
        <v>0.43320989583494895</v>
      </c>
      <c r="Z599" s="55">
        <f>IF(VLOOKUP(162,table_CIA_JCTS,25,FALSE)+VLOOKUP(161,table_CIA_JCTS,24,FALSE)&lt;VLOOKUP(161,table_CIA_JCTS,28,FALSE),VLOOKUP(161,table_CIA_JCTS,28,FALSE),VLOOKUP(162,table_CIA_JCTS,25,FALSE)+VLOOKUP(161,table_CIA_JCTS,24,FALSE))</f>
        <v>384.83559245506541</v>
      </c>
      <c r="AA599" s="55">
        <v>390.6</v>
      </c>
      <c r="AB599" s="55">
        <f>(AA599-0.5)-Z599</f>
        <v>5.2644075449346133</v>
      </c>
      <c r="AC599" s="57">
        <v>383.98</v>
      </c>
      <c r="AD599" t="s">
        <v>459</v>
      </c>
    </row>
    <row r="600" spans="2:30" x14ac:dyDescent="0.2">
      <c r="B600" s="216" t="s">
        <v>10</v>
      </c>
      <c r="C600" s="215">
        <v>202</v>
      </c>
      <c r="D600" s="54">
        <f>VLOOKUP(C600,table_DI,2)</f>
        <v>0.74</v>
      </c>
      <c r="E600" s="54" t="s">
        <v>10</v>
      </c>
      <c r="F600" s="55">
        <f>VLOOKUP(C600,table_DI,5)</f>
        <v>0.9</v>
      </c>
      <c r="G600" s="54">
        <f>VLOOKUP(C600,table_DI,3)</f>
        <v>0.66600000000000004</v>
      </c>
      <c r="H600" s="54" t="s">
        <v>10</v>
      </c>
      <c r="I600" s="54">
        <f>VLOOKUP(C600,table_DI,4)</f>
        <v>0.66600000000000004</v>
      </c>
      <c r="J600" s="54" t="s">
        <v>10</v>
      </c>
      <c r="K600" s="56">
        <f>VLOOKUP(C600,table_DI,9)</f>
        <v>2.4999999999999124E-3</v>
      </c>
      <c r="L600" s="53">
        <f>VLOOKUP(C600,table_DI,8)</f>
        <v>364</v>
      </c>
      <c r="M600" s="55">
        <f>(0.84*(K600^0.5)*(cell_GUTDEP^0.6666)/cell_NRD)</f>
        <v>1.4722693966815188</v>
      </c>
      <c r="N600" s="53">
        <f>VLOOKUP(C600,table_DI,10)</f>
        <v>5</v>
      </c>
      <c r="O600" s="53">
        <f>(L600/(M600*60))</f>
        <v>4.1206226797492871</v>
      </c>
      <c r="P600" s="53">
        <f>N600+O600</f>
        <v>9.1206226797492871</v>
      </c>
      <c r="Q600" s="55">
        <f>cell_P*(P600^cell_E)</f>
        <v>1.3881502969540804</v>
      </c>
      <c r="R600" s="54">
        <f>Q600*I600</f>
        <v>0.92450809777141763</v>
      </c>
      <c r="S600" s="53" t="s">
        <v>10</v>
      </c>
      <c r="T600" s="55" t="s">
        <v>10</v>
      </c>
      <c r="U600" s="56" t="s">
        <v>10</v>
      </c>
      <c r="V600" s="53" t="s">
        <v>10</v>
      </c>
      <c r="W600" s="53" t="s">
        <v>10</v>
      </c>
      <c r="X600" s="53" t="s">
        <v>10</v>
      </c>
      <c r="Y600" s="55" t="s">
        <v>10</v>
      </c>
      <c r="Z600" s="55" t="s">
        <v>10</v>
      </c>
      <c r="AA600" s="55" t="s">
        <v>10</v>
      </c>
      <c r="AB600" s="55" t="s">
        <v>10</v>
      </c>
      <c r="AC600" s="57" t="s">
        <v>10</v>
      </c>
      <c r="AD600" t="s">
        <v>10</v>
      </c>
    </row>
    <row r="601" spans="2:30" x14ac:dyDescent="0.2">
      <c r="B601" s="216" t="s">
        <v>10</v>
      </c>
      <c r="C601" s="215">
        <v>203</v>
      </c>
      <c r="D601" s="54">
        <f>VLOOKUP(C601,table_DI,2)</f>
        <v>2.82</v>
      </c>
      <c r="E601" s="54" t="s">
        <v>10</v>
      </c>
      <c r="F601" s="55">
        <f>VLOOKUP(C601,table_DI,5)</f>
        <v>0.78014184397163133</v>
      </c>
      <c r="G601" s="54">
        <f>VLOOKUP(C601,table_DI,3)</f>
        <v>1.9</v>
      </c>
      <c r="H601" s="54" t="s">
        <v>10</v>
      </c>
      <c r="I601" s="54">
        <f>VLOOKUP(C601,table_DI,4)</f>
        <v>2.2000000000000002</v>
      </c>
      <c r="J601" s="54" t="s">
        <v>10</v>
      </c>
      <c r="K601" s="56">
        <f>VLOOKUP(C601,table_DI,9)</f>
        <v>1.8956043956043893E-3</v>
      </c>
      <c r="L601" s="53">
        <f>VLOOKUP(C601,table_DI,8)</f>
        <v>364</v>
      </c>
      <c r="M601" s="55">
        <f>(0.84*(K601^0.5)*(cell_GUTDEP^0.6666)/cell_NRD)</f>
        <v>1.2820091767854307</v>
      </c>
      <c r="N601" s="53">
        <f>VLOOKUP(C601,table_DI,10)</f>
        <v>15</v>
      </c>
      <c r="O601" s="53">
        <f>(L601/(M601*60))</f>
        <v>4.7321554139561686</v>
      </c>
      <c r="P601" s="53">
        <f>N601+O601</f>
        <v>19.732155413956168</v>
      </c>
      <c r="Q601" s="55">
        <f>cell_P*(P601^cell_E)</f>
        <v>0.85618090255550106</v>
      </c>
      <c r="R601" s="54">
        <f>Q601*I601</f>
        <v>1.8835979856221026</v>
      </c>
      <c r="S601" s="53" t="s">
        <v>10</v>
      </c>
      <c r="T601" s="55" t="s">
        <v>10</v>
      </c>
      <c r="U601" s="56" t="s">
        <v>10</v>
      </c>
      <c r="V601" s="53" t="s">
        <v>10</v>
      </c>
      <c r="W601" s="53" t="s">
        <v>10</v>
      </c>
      <c r="X601" s="53" t="s">
        <v>10</v>
      </c>
      <c r="Y601" s="55" t="s">
        <v>10</v>
      </c>
      <c r="Z601" s="55" t="s">
        <v>10</v>
      </c>
      <c r="AA601" s="55" t="s">
        <v>10</v>
      </c>
      <c r="AB601" s="55" t="s">
        <v>10</v>
      </c>
      <c r="AC601" s="57" t="s">
        <v>10</v>
      </c>
      <c r="AD601" t="s">
        <v>10</v>
      </c>
    </row>
    <row r="602" spans="2:30" x14ac:dyDescent="0.2">
      <c r="B602" s="216">
        <v>162</v>
      </c>
      <c r="C602" s="217" t="s">
        <v>10</v>
      </c>
      <c r="D602" s="54" t="s">
        <v>10</v>
      </c>
      <c r="E602" s="54">
        <f>VLOOKUP(161,table_CIA_JCTS,4,FALSE)+VLOOKUP(202,table_CIA_INLETS,2,FALSE)+VLOOKUP(203,table_CIA_INLETS,2,FALSE)</f>
        <v>62.01191</v>
      </c>
      <c r="F602" s="55" t="s">
        <v>10</v>
      </c>
      <c r="G602" s="54" t="s">
        <v>10</v>
      </c>
      <c r="H602" s="54">
        <f>VLOOKUP(161,table_CIA_JCTS,7,FALSE)+VLOOKUP(202,table_CIA_INLETS,5,FALSE)+VLOOKUP(203,table_CIA_INLETS,5,FALSE)</f>
        <v>33.652530250000005</v>
      </c>
      <c r="I602" s="54" t="s">
        <v>10</v>
      </c>
      <c r="J602" s="54">
        <f>VLOOKUP(161,table_CIA_JCTS,9,FALSE)+VLOOKUP(202,table_CIA_INLETS,7,FALSE)+VLOOKUP(203,table_CIA_INLETS,7,FALSE)</f>
        <v>37.027057799999994</v>
      </c>
      <c r="K602" s="56" t="s">
        <v>10</v>
      </c>
      <c r="L602" s="53" t="s">
        <v>10</v>
      </c>
      <c r="M602" s="55" t="s">
        <v>10</v>
      </c>
      <c r="N602" s="53" t="s">
        <v>10</v>
      </c>
      <c r="O602" s="53" t="s">
        <v>10</v>
      </c>
      <c r="P602" s="53">
        <f>VLOOKUP(161,table_CIA_JCTS,23,FALSE)</f>
        <v>39.845665588136072</v>
      </c>
      <c r="Q602" s="55">
        <f>cell_P*(P602^cell_E)</f>
        <v>0.55137261174459662</v>
      </c>
      <c r="R602" s="54">
        <f>J602*Q602</f>
        <v>20.415705564404135</v>
      </c>
      <c r="S602" s="53">
        <v>36</v>
      </c>
      <c r="T602" s="55">
        <f>(4*R602)/(3.14159*(S602/12)^2)</f>
        <v>2.8882339571723072</v>
      </c>
      <c r="U602" s="56">
        <f>((R602/((0.463135/cell_NP)*((S602/12)^(8/3))))^2)*cell_FF</f>
        <v>1.0775847462356186E-3</v>
      </c>
      <c r="V602" s="53">
        <v>396</v>
      </c>
      <c r="W602" s="53">
        <f>V602/(T602*60)</f>
        <v>2.28513344066547</v>
      </c>
      <c r="X602" s="53">
        <f>W602+P602</f>
        <v>42.13079902880154</v>
      </c>
      <c r="Y602" s="55">
        <f>U602*V602</f>
        <v>0.42672355950930496</v>
      </c>
      <c r="Z602" s="55">
        <f>IF(VLOOKUP(165,table_CIA_JCTS,25,FALSE)+VLOOKUP(162,table_CIA_JCTS,24,FALSE)&lt;VLOOKUP(162,table_CIA_JCTS,28,FALSE),VLOOKUP(162,table_CIA_JCTS,28,FALSE),VLOOKUP(165,table_CIA_JCTS,25,FALSE)+VLOOKUP(162,table_CIA_JCTS,24,FALSE))</f>
        <v>384.40238255923049</v>
      </c>
      <c r="AA602" s="55">
        <v>391.55</v>
      </c>
      <c r="AB602" s="55">
        <f>(AA602-0.5)-Z602</f>
        <v>6.6476174407695225</v>
      </c>
      <c r="AC602" s="57">
        <v>383.12</v>
      </c>
      <c r="AD602" t="s">
        <v>452</v>
      </c>
    </row>
    <row r="603" spans="2:30" x14ac:dyDescent="0.2">
      <c r="B603" s="216" t="s">
        <v>10</v>
      </c>
      <c r="C603" s="217" t="s">
        <v>10</v>
      </c>
      <c r="D603" s="54" t="s">
        <v>10</v>
      </c>
      <c r="E603" s="54" t="s">
        <v>10</v>
      </c>
      <c r="F603" s="55" t="s">
        <v>10</v>
      </c>
      <c r="G603" s="54" t="s">
        <v>10</v>
      </c>
      <c r="H603" s="54" t="s">
        <v>10</v>
      </c>
      <c r="I603" s="54" t="s">
        <v>10</v>
      </c>
      <c r="J603" s="54" t="s">
        <v>10</v>
      </c>
      <c r="K603" s="56" t="s">
        <v>10</v>
      </c>
      <c r="L603" s="53" t="s">
        <v>10</v>
      </c>
      <c r="M603" s="55" t="s">
        <v>10</v>
      </c>
      <c r="N603" s="53" t="s">
        <v>10</v>
      </c>
      <c r="O603" s="53" t="s">
        <v>10</v>
      </c>
      <c r="P603" s="53" t="s">
        <v>10</v>
      </c>
      <c r="Q603" s="55" t="s">
        <v>10</v>
      </c>
      <c r="R603" s="54" t="s">
        <v>10</v>
      </c>
      <c r="S603" s="53" t="s">
        <v>10</v>
      </c>
      <c r="T603" s="55" t="s">
        <v>10</v>
      </c>
      <c r="U603" s="56" t="s">
        <v>10</v>
      </c>
      <c r="V603" s="53" t="s">
        <v>10</v>
      </c>
      <c r="W603" s="53" t="s">
        <v>10</v>
      </c>
      <c r="X603" s="53" t="s">
        <v>10</v>
      </c>
      <c r="Y603" s="55" t="s">
        <v>10</v>
      </c>
      <c r="Z603" s="55" t="s">
        <v>10</v>
      </c>
      <c r="AA603" s="55" t="s">
        <v>10</v>
      </c>
      <c r="AB603" s="55" t="s">
        <v>10</v>
      </c>
      <c r="AC603" s="57" t="s">
        <v>10</v>
      </c>
      <c r="AD603" t="s">
        <v>10</v>
      </c>
    </row>
    <row r="604" spans="2:30" x14ac:dyDescent="0.2">
      <c r="B604" s="216" t="s">
        <v>10</v>
      </c>
      <c r="C604" s="215">
        <v>204</v>
      </c>
      <c r="D604" s="54">
        <f>VLOOKUP(C604,table_DI,2)</f>
        <v>7.85</v>
      </c>
      <c r="E604" s="54" t="s">
        <v>10</v>
      </c>
      <c r="F604" s="55">
        <f>VLOOKUP(C604,table_DI,5)</f>
        <v>0.38400000000000006</v>
      </c>
      <c r="G604" s="54">
        <f>VLOOKUP(C604,table_DI,3)</f>
        <v>2.512</v>
      </c>
      <c r="H604" s="54" t="s">
        <v>10</v>
      </c>
      <c r="I604" s="54">
        <f>VLOOKUP(C604,table_DI,4)</f>
        <v>3.0144000000000002</v>
      </c>
      <c r="J604" s="54" t="s">
        <v>10</v>
      </c>
      <c r="K604" s="56">
        <f>VLOOKUP(C604,table_DI,9)</f>
        <v>3.0685920577617123E-3</v>
      </c>
      <c r="L604" s="53">
        <f>VLOOKUP(C604,table_DI,8)</f>
        <v>1108</v>
      </c>
      <c r="M604" s="55">
        <f>(0.84*(K604^0.5)*(cell_GUTDEP^0.6666)/cell_NRD)</f>
        <v>1.6311235524143548</v>
      </c>
      <c r="N604" s="53">
        <f>VLOOKUP(C604,table_DI,10)</f>
        <v>20</v>
      </c>
      <c r="O604" s="53">
        <f>(L604/(M604*60))</f>
        <v>11.321439531256043</v>
      </c>
      <c r="P604" s="53">
        <f>N604+O604</f>
        <v>31.321439531256043</v>
      </c>
      <c r="Q604" s="55">
        <f>cell_P*(P604^cell_E)</f>
        <v>0.6410733810050202</v>
      </c>
      <c r="R604" s="54">
        <f>Q604*I604</f>
        <v>1.932451599701533</v>
      </c>
      <c r="S604" s="53" t="s">
        <v>10</v>
      </c>
      <c r="T604" s="55" t="s">
        <v>10</v>
      </c>
      <c r="U604" s="56" t="s">
        <v>10</v>
      </c>
      <c r="V604" s="53" t="s">
        <v>10</v>
      </c>
      <c r="W604" s="53" t="s">
        <v>10</v>
      </c>
      <c r="X604" s="53" t="s">
        <v>10</v>
      </c>
      <c r="Y604" s="55" t="s">
        <v>10</v>
      </c>
      <c r="Z604" s="55" t="s">
        <v>10</v>
      </c>
      <c r="AA604" s="55" t="s">
        <v>10</v>
      </c>
      <c r="AB604" s="55" t="s">
        <v>10</v>
      </c>
      <c r="AC604" s="57" t="s">
        <v>10</v>
      </c>
      <c r="AD604" t="s">
        <v>10</v>
      </c>
    </row>
    <row r="605" spans="2:30" x14ac:dyDescent="0.2">
      <c r="B605" s="216">
        <v>163</v>
      </c>
      <c r="C605" s="217" t="s">
        <v>10</v>
      </c>
      <c r="D605" s="54" t="s">
        <v>10</v>
      </c>
      <c r="E605" s="54">
        <f>VLOOKUP(204,table_CIA_INLETS,2,FALSE)</f>
        <v>7.85</v>
      </c>
      <c r="F605" s="55" t="s">
        <v>10</v>
      </c>
      <c r="G605" s="54" t="s">
        <v>10</v>
      </c>
      <c r="H605" s="54">
        <f>VLOOKUP(204,table_CIA_INLETS,5,FALSE)</f>
        <v>2.512</v>
      </c>
      <c r="I605" s="54" t="s">
        <v>10</v>
      </c>
      <c r="J605" s="54">
        <f>VLOOKUP(204,table_CIA_INLETS,7,FALSE)</f>
        <v>3.0144000000000002</v>
      </c>
      <c r="K605" s="56" t="s">
        <v>10</v>
      </c>
      <c r="L605" s="53" t="s">
        <v>10</v>
      </c>
      <c r="M605" s="55" t="s">
        <v>10</v>
      </c>
      <c r="N605" s="53" t="s">
        <v>10</v>
      </c>
      <c r="O605" s="53" t="s">
        <v>10</v>
      </c>
      <c r="P605" s="53">
        <f>VLOOKUP(204,table_CIA_INLETS,14,FALSE)</f>
        <v>31.321439531256043</v>
      </c>
      <c r="Q605" s="55">
        <f>cell_P*(P605^cell_E)</f>
        <v>0.6410733810050202</v>
      </c>
      <c r="R605" s="54">
        <f>J605*Q605</f>
        <v>1.932451599701533</v>
      </c>
      <c r="S605" s="53">
        <v>18</v>
      </c>
      <c r="T605" s="55">
        <f>(4*R605)/(3.14159*(S605/12)^2)</f>
        <v>1.0935448325785679</v>
      </c>
      <c r="U605" s="56">
        <f>((R605/((0.463135/cell_NP)*((S605/12)^(8/3))))^2)*cell_FF</f>
        <v>3.8925411163761903E-4</v>
      </c>
      <c r="V605" s="53">
        <v>280</v>
      </c>
      <c r="W605" s="53">
        <f>V605/(T605*60)</f>
        <v>4.2674671651666198</v>
      </c>
      <c r="X605" s="53">
        <f>W605+P605</f>
        <v>35.588906696422661</v>
      </c>
      <c r="Y605" s="55">
        <f>U605*V605</f>
        <v>0.10899115125853333</v>
      </c>
      <c r="Z605" s="55">
        <f>IF(VLOOKUP(164,table_CIA_JCTS,25,FALSE)+VLOOKUP(163,table_CIA_JCTS,24,FALSE)&lt;VLOOKUP(163,table_CIA_JCTS,28,FALSE),VLOOKUP(163,table_CIA_JCTS,28,FALSE),VLOOKUP(164,table_CIA_JCTS,25,FALSE)+VLOOKUP(163,table_CIA_JCTS,24,FALSE))</f>
        <v>384.09587894051617</v>
      </c>
      <c r="AA605" s="55">
        <v>391.1</v>
      </c>
      <c r="AB605" s="55">
        <f>(AA605-0.5)-Z605</f>
        <v>6.5041210594838503</v>
      </c>
      <c r="AC605" s="57" t="s">
        <v>10</v>
      </c>
      <c r="AD605" t="s">
        <v>10</v>
      </c>
    </row>
    <row r="606" spans="2:30" x14ac:dyDescent="0.2">
      <c r="B606" s="216" t="s">
        <v>10</v>
      </c>
      <c r="C606" s="215">
        <v>205</v>
      </c>
      <c r="D606" s="54">
        <f>VLOOKUP(C606,table_DI,2)</f>
        <v>1.74</v>
      </c>
      <c r="E606" s="54" t="s">
        <v>10</v>
      </c>
      <c r="F606" s="55">
        <f>VLOOKUP(C606,table_DI,5)</f>
        <v>0.9</v>
      </c>
      <c r="G606" s="54">
        <f>VLOOKUP(C606,table_DI,3)</f>
        <v>1.5660000000000001</v>
      </c>
      <c r="H606" s="54" t="s">
        <v>10</v>
      </c>
      <c r="I606" s="54">
        <f>VLOOKUP(C606,table_DI,4)</f>
        <v>1.5660000000000001</v>
      </c>
      <c r="J606" s="54" t="s">
        <v>10</v>
      </c>
      <c r="K606" s="56">
        <f>VLOOKUP(C606,table_DI,9)</f>
        <v>2.018502943650107E-3</v>
      </c>
      <c r="L606" s="53">
        <f>VLOOKUP(C606,table_DI,8)</f>
        <v>1189</v>
      </c>
      <c r="M606" s="55">
        <f>(0.84*(K606^0.5)*(cell_GUTDEP^0.6666)/cell_NRD)</f>
        <v>1.3229151010041966</v>
      </c>
      <c r="N606" s="53">
        <f>VLOOKUP(C606,table_DI,10)</f>
        <v>5</v>
      </c>
      <c r="O606" s="53">
        <f>(L606/(M606*60))</f>
        <v>14.979545287240471</v>
      </c>
      <c r="P606" s="53">
        <f>N606+O606</f>
        <v>19.97954528724047</v>
      </c>
      <c r="Q606" s="55">
        <f>cell_P*(P606^cell_E)</f>
        <v>0.8495268758451876</v>
      </c>
      <c r="R606" s="54">
        <f>Q606*I606</f>
        <v>1.3303590875735638</v>
      </c>
      <c r="S606" s="53" t="s">
        <v>10</v>
      </c>
      <c r="T606" s="55" t="s">
        <v>10</v>
      </c>
      <c r="U606" s="56" t="s">
        <v>10</v>
      </c>
      <c r="V606" s="53" t="s">
        <v>10</v>
      </c>
      <c r="W606" s="53" t="s">
        <v>10</v>
      </c>
      <c r="X606" s="53" t="s">
        <v>10</v>
      </c>
      <c r="Y606" s="55" t="s">
        <v>10</v>
      </c>
      <c r="Z606" s="55" t="s">
        <v>10</v>
      </c>
      <c r="AA606" s="55" t="s">
        <v>10</v>
      </c>
      <c r="AB606" s="55" t="s">
        <v>10</v>
      </c>
      <c r="AC606" s="57" t="s">
        <v>10</v>
      </c>
      <c r="AD606" t="s">
        <v>10</v>
      </c>
    </row>
    <row r="607" spans="2:30" x14ac:dyDescent="0.2">
      <c r="B607" s="216">
        <v>164</v>
      </c>
      <c r="C607" s="217" t="s">
        <v>10</v>
      </c>
      <c r="D607" s="54" t="s">
        <v>10</v>
      </c>
      <c r="E607" s="54">
        <f>VLOOKUP(163,table_CIA_JCTS,4,FALSE)+VLOOKUP(205,table_CIA_INLETS,2,FALSE)</f>
        <v>9.59</v>
      </c>
      <c r="F607" s="55" t="s">
        <v>10</v>
      </c>
      <c r="G607" s="54" t="s">
        <v>10</v>
      </c>
      <c r="H607" s="54">
        <f>VLOOKUP(163,table_CIA_JCTS,7,FALSE)+VLOOKUP(205,table_CIA_INLETS,5,FALSE)</f>
        <v>4.0780000000000003</v>
      </c>
      <c r="I607" s="54" t="s">
        <v>10</v>
      </c>
      <c r="J607" s="54">
        <f>VLOOKUP(163,table_CIA_JCTS,9,FALSE)+VLOOKUP(205,table_CIA_INLETS,7,FALSE)</f>
        <v>4.5804</v>
      </c>
      <c r="K607" s="56" t="s">
        <v>10</v>
      </c>
      <c r="L607" s="53" t="s">
        <v>10</v>
      </c>
      <c r="M607" s="55" t="s">
        <v>10</v>
      </c>
      <c r="N607" s="53" t="s">
        <v>10</v>
      </c>
      <c r="O607" s="53" t="s">
        <v>10</v>
      </c>
      <c r="P607" s="53">
        <f>VLOOKUP(163,table_CIA_JCTS,23,FALSE)</f>
        <v>35.588906696422661</v>
      </c>
      <c r="Q607" s="55">
        <f>cell_P*(P607^cell_E)</f>
        <v>0.59179404934062463</v>
      </c>
      <c r="R607" s="54">
        <f>J607*Q607</f>
        <v>2.710653463599797</v>
      </c>
      <c r="S607" s="53">
        <v>24</v>
      </c>
      <c r="T607" s="55">
        <f>(4*R607)/(3.14159*(S607/12)^2)</f>
        <v>0.86282852428222556</v>
      </c>
      <c r="U607" s="56">
        <f>((R607/((0.463135/cell_NP)*((S607/12)^(8/3))))^2)*cell_FF</f>
        <v>1.6512925788918152E-4</v>
      </c>
      <c r="V607" s="53">
        <v>68</v>
      </c>
      <c r="W607" s="53">
        <f>V607/(T607*60)</f>
        <v>1.3135093491214105</v>
      </c>
      <c r="X607" s="53">
        <f>W607+P607</f>
        <v>36.902416045544072</v>
      </c>
      <c r="Y607" s="55">
        <f>U607*V607</f>
        <v>1.1228789536464343E-2</v>
      </c>
      <c r="Z607" s="55">
        <f>IF(VLOOKUP(165,table_CIA_JCTS,25,FALSE)+VLOOKUP(164,table_CIA_JCTS,24,FALSE)&lt;VLOOKUP(164,table_CIA_JCTS,28,FALSE),VLOOKUP(164,table_CIA_JCTS,28,FALSE),VLOOKUP(165,table_CIA_JCTS,25,FALSE)+VLOOKUP(164,table_CIA_JCTS,24,FALSE))</f>
        <v>383.98688778925765</v>
      </c>
      <c r="AA607" s="55">
        <v>392.1</v>
      </c>
      <c r="AB607" s="55">
        <f>(AA607-0.5)-Z607</f>
        <v>7.6131122107423721</v>
      </c>
      <c r="AC607" s="57">
        <v>383.63</v>
      </c>
      <c r="AD607" t="s">
        <v>445</v>
      </c>
    </row>
    <row r="608" spans="2:30" x14ac:dyDescent="0.2">
      <c r="B608" s="216">
        <v>165</v>
      </c>
      <c r="C608" s="217" t="s">
        <v>10</v>
      </c>
      <c r="D608" s="54" t="s">
        <v>10</v>
      </c>
      <c r="E608" s="54">
        <f>VLOOKUP(162,table_CIA_JCTS,4,FALSE)+VLOOKUP(164,table_CIA_JCTS,4,FALSE)</f>
        <v>71.601910000000004</v>
      </c>
      <c r="F608" s="55" t="s">
        <v>10</v>
      </c>
      <c r="G608" s="54" t="s">
        <v>10</v>
      </c>
      <c r="H608" s="54">
        <f>VLOOKUP(162,table_CIA_JCTS,7,FALSE)+VLOOKUP(164,table_CIA_JCTS,7,FALSE)</f>
        <v>37.730530250000008</v>
      </c>
      <c r="I608" s="54" t="s">
        <v>10</v>
      </c>
      <c r="J608" s="54">
        <f>VLOOKUP(162,table_CIA_JCTS,9,FALSE)+VLOOKUP(164,table_CIA_JCTS,9,FALSE)</f>
        <v>41.607457799999992</v>
      </c>
      <c r="K608" s="56" t="s">
        <v>10</v>
      </c>
      <c r="L608" s="53" t="s">
        <v>10</v>
      </c>
      <c r="M608" s="55" t="s">
        <v>10</v>
      </c>
      <c r="N608" s="53" t="s">
        <v>10</v>
      </c>
      <c r="O608" s="53" t="s">
        <v>10</v>
      </c>
      <c r="P608" s="53">
        <f>VLOOKUP(162,table_CIA_JCTS,23,FALSE)</f>
        <v>42.13079902880154</v>
      </c>
      <c r="Q608" s="55">
        <f>cell_P*(P608^cell_E)</f>
        <v>0.53245081489975499</v>
      </c>
      <c r="R608" s="54">
        <f>J608*Q608</f>
        <v>22.153924811517161</v>
      </c>
      <c r="S608" s="53">
        <v>42</v>
      </c>
      <c r="T608" s="55">
        <f>(4*R608)/(3.14159*(S608/12)^2)</f>
        <v>2.3026348544310795</v>
      </c>
      <c r="U608" s="56">
        <f>((R608/((0.463135/cell_NP)*((S608/12)^(8/3))))^2)*cell_FF</f>
        <v>5.5766637342219893E-4</v>
      </c>
      <c r="V608" s="53">
        <v>77</v>
      </c>
      <c r="W608" s="53">
        <f>V608/(T608*60)</f>
        <v>0.55733254053014458</v>
      </c>
      <c r="X608" s="53">
        <f>W608+P608</f>
        <v>42.688131569331688</v>
      </c>
      <c r="Y608" s="55">
        <f>U608*V608</f>
        <v>4.294031075350932E-2</v>
      </c>
      <c r="Z608" s="55">
        <f>IF(VLOOKUP(180.1,table_CIA_JCTS,25,FALSE)+VLOOKUP(165,table_CIA_JCTS,24,FALSE)&lt;VLOOKUP(165,table_CIA_JCTS,28,FALSE),VLOOKUP(165,table_CIA_JCTS,28,FALSE),VLOOKUP(180.1,table_CIA_JCTS,25,FALSE)+VLOOKUP(165,table_CIA_JCTS,24,FALSE))</f>
        <v>383.97565899972119</v>
      </c>
      <c r="AA608" s="55">
        <v>392.1</v>
      </c>
      <c r="AB608" s="55">
        <f>(AA608-0.5)-Z608</f>
        <v>7.6243410002788323</v>
      </c>
      <c r="AC608" s="57">
        <v>383</v>
      </c>
      <c r="AD608" t="s">
        <v>475</v>
      </c>
    </row>
    <row r="609" spans="2:30" x14ac:dyDescent="0.2">
      <c r="B609" s="216" t="s">
        <v>10</v>
      </c>
      <c r="C609" s="217" t="s">
        <v>10</v>
      </c>
      <c r="D609" s="54" t="s">
        <v>10</v>
      </c>
      <c r="E609" s="54" t="s">
        <v>10</v>
      </c>
      <c r="F609" s="55" t="s">
        <v>10</v>
      </c>
      <c r="G609" s="54" t="s">
        <v>10</v>
      </c>
      <c r="H609" s="54" t="s">
        <v>10</v>
      </c>
      <c r="I609" s="54" t="s">
        <v>10</v>
      </c>
      <c r="J609" s="54" t="s">
        <v>10</v>
      </c>
      <c r="K609" s="56" t="s">
        <v>10</v>
      </c>
      <c r="L609" s="53" t="s">
        <v>10</v>
      </c>
      <c r="M609" s="55" t="s">
        <v>10</v>
      </c>
      <c r="N609" s="53" t="s">
        <v>10</v>
      </c>
      <c r="O609" s="53" t="s">
        <v>10</v>
      </c>
      <c r="P609" s="53" t="s">
        <v>10</v>
      </c>
      <c r="Q609" s="55" t="s">
        <v>10</v>
      </c>
      <c r="R609" s="54" t="s">
        <v>10</v>
      </c>
      <c r="S609" s="53" t="s">
        <v>10</v>
      </c>
      <c r="T609" s="55" t="s">
        <v>10</v>
      </c>
      <c r="U609" s="56" t="s">
        <v>10</v>
      </c>
      <c r="V609" s="53" t="s">
        <v>10</v>
      </c>
      <c r="W609" s="53" t="s">
        <v>10</v>
      </c>
      <c r="X609" s="53" t="s">
        <v>10</v>
      </c>
      <c r="Y609" s="55" t="s">
        <v>10</v>
      </c>
      <c r="Z609" s="55" t="s">
        <v>10</v>
      </c>
      <c r="AA609" s="55" t="s">
        <v>10</v>
      </c>
      <c r="AB609" s="55" t="s">
        <v>10</v>
      </c>
      <c r="AC609" s="57" t="s">
        <v>10</v>
      </c>
      <c r="AD609" t="s">
        <v>10</v>
      </c>
    </row>
    <row r="610" spans="2:30" x14ac:dyDescent="0.2">
      <c r="B610" s="216" t="s">
        <v>10</v>
      </c>
      <c r="C610" s="215">
        <v>206</v>
      </c>
      <c r="D610" s="54">
        <f>VLOOKUP(C610,table_DI,2)</f>
        <v>5.17</v>
      </c>
      <c r="E610" s="54" t="s">
        <v>10</v>
      </c>
      <c r="F610" s="55">
        <f>VLOOKUP(C610,table_DI,5)</f>
        <v>0.38400386847195361</v>
      </c>
      <c r="G610" s="54">
        <f>VLOOKUP(C610,table_DI,3)</f>
        <v>1.6544000000000001</v>
      </c>
      <c r="H610" s="54" t="s">
        <v>10</v>
      </c>
      <c r="I610" s="54">
        <f>VLOOKUP(C610,table_DI,4)</f>
        <v>1.9853000000000001</v>
      </c>
      <c r="J610" s="54" t="s">
        <v>10</v>
      </c>
      <c r="K610" s="56">
        <f>VLOOKUP(C610,table_DI,9)</f>
        <v>1.8838304552590088E-3</v>
      </c>
      <c r="L610" s="53">
        <f>VLOOKUP(C610,table_DI,8)</f>
        <v>637</v>
      </c>
      <c r="M610" s="55">
        <f>(0.84*(K610^0.5)*(cell_GUTDEP^0.6666)/cell_NRD)</f>
        <v>1.278021580261639</v>
      </c>
      <c r="N610" s="53">
        <f>VLOOKUP(C610,table_DI,10)</f>
        <v>20</v>
      </c>
      <c r="O610" s="53">
        <f>(L610/(M610*60))</f>
        <v>8.3071106393158107</v>
      </c>
      <c r="P610" s="53">
        <f>N610+O610</f>
        <v>28.307110639315809</v>
      </c>
      <c r="Q610" s="55">
        <f>cell_P*(P610^cell_E)</f>
        <v>0.68300964560319222</v>
      </c>
      <c r="R610" s="54">
        <f>Q610*I610</f>
        <v>1.3559790494160175</v>
      </c>
      <c r="S610" s="53" t="s">
        <v>10</v>
      </c>
      <c r="T610" s="55" t="s">
        <v>10</v>
      </c>
      <c r="U610" s="56" t="s">
        <v>10</v>
      </c>
      <c r="V610" s="53" t="s">
        <v>10</v>
      </c>
      <c r="W610" s="53" t="s">
        <v>10</v>
      </c>
      <c r="X610" s="53" t="s">
        <v>10</v>
      </c>
      <c r="Y610" s="55" t="s">
        <v>10</v>
      </c>
      <c r="Z610" s="55" t="s">
        <v>10</v>
      </c>
      <c r="AA610" s="55" t="s">
        <v>10</v>
      </c>
      <c r="AB610" s="55" t="s">
        <v>10</v>
      </c>
      <c r="AC610" s="57" t="s">
        <v>10</v>
      </c>
      <c r="AD610" t="s">
        <v>10</v>
      </c>
    </row>
    <row r="611" spans="2:30" x14ac:dyDescent="0.2">
      <c r="B611" s="216" t="s">
        <v>10</v>
      </c>
      <c r="C611" s="215">
        <v>207</v>
      </c>
      <c r="D611" s="54">
        <f>VLOOKUP(C611,table_DI,2)</f>
        <v>3.64</v>
      </c>
      <c r="E611" s="54" t="s">
        <v>10</v>
      </c>
      <c r="F611" s="55">
        <f>VLOOKUP(C611,table_DI,5)</f>
        <v>0.38401098901098896</v>
      </c>
      <c r="G611" s="54">
        <f>VLOOKUP(C611,table_DI,3)</f>
        <v>1.1648000000000001</v>
      </c>
      <c r="H611" s="54" t="s">
        <v>10</v>
      </c>
      <c r="I611" s="54">
        <f>VLOOKUP(C611,table_DI,4)</f>
        <v>1.3977999999999999</v>
      </c>
      <c r="J611" s="54" t="s">
        <v>10</v>
      </c>
      <c r="K611" s="56">
        <f>VLOOKUP(C611,table_DI,9)</f>
        <v>1.8968133535660092E-3</v>
      </c>
      <c r="L611" s="53">
        <f>VLOOKUP(C611,table_DI,8)</f>
        <v>659</v>
      </c>
      <c r="M611" s="55">
        <f>(0.84*(K611^0.5)*(cell_GUTDEP^0.6666)/cell_NRD)</f>
        <v>1.2824179245612537</v>
      </c>
      <c r="N611" s="53">
        <f>VLOOKUP(C611,table_DI,10)</f>
        <v>20</v>
      </c>
      <c r="O611" s="53">
        <f>(L611/(M611*60))</f>
        <v>8.5645506998750029</v>
      </c>
      <c r="P611" s="53">
        <f>N611+O611</f>
        <v>28.564550699875003</v>
      </c>
      <c r="Q611" s="55">
        <f>cell_P*(P611^cell_E)</f>
        <v>0.6791484429680914</v>
      </c>
      <c r="R611" s="54">
        <f>Q611*I611</f>
        <v>0.94931369358079809</v>
      </c>
      <c r="S611" s="53" t="s">
        <v>10</v>
      </c>
      <c r="T611" s="55" t="s">
        <v>10</v>
      </c>
      <c r="U611" s="56" t="s">
        <v>10</v>
      </c>
      <c r="V611" s="53" t="s">
        <v>10</v>
      </c>
      <c r="W611" s="53" t="s">
        <v>10</v>
      </c>
      <c r="X611" s="53" t="s">
        <v>10</v>
      </c>
      <c r="Y611" s="55" t="s">
        <v>10</v>
      </c>
      <c r="Z611" s="55" t="s">
        <v>10</v>
      </c>
      <c r="AA611" s="55" t="s">
        <v>10</v>
      </c>
      <c r="AB611" s="55" t="s">
        <v>10</v>
      </c>
      <c r="AC611" s="57" t="s">
        <v>10</v>
      </c>
      <c r="AD611" t="s">
        <v>10</v>
      </c>
    </row>
    <row r="612" spans="2:30" x14ac:dyDescent="0.2">
      <c r="B612" s="216">
        <v>166</v>
      </c>
      <c r="C612" s="217" t="s">
        <v>10</v>
      </c>
      <c r="D612" s="54" t="s">
        <v>10</v>
      </c>
      <c r="E612" s="54">
        <f>VLOOKUP(206,table_CIA_INLETS,2,FALSE)+VLOOKUP(207,table_CIA_INLETS,2,FALSE)</f>
        <v>8.81</v>
      </c>
      <c r="F612" s="55" t="s">
        <v>10</v>
      </c>
      <c r="G612" s="54" t="s">
        <v>10</v>
      </c>
      <c r="H612" s="54">
        <f>VLOOKUP(206,table_CIA_INLETS,5,FALSE)+VLOOKUP(207,table_CIA_INLETS,5,FALSE)</f>
        <v>2.8192000000000004</v>
      </c>
      <c r="I612" s="54" t="s">
        <v>10</v>
      </c>
      <c r="J612" s="54">
        <f>VLOOKUP(206,table_CIA_INLETS,7,FALSE)+VLOOKUP(207,table_CIA_INLETS,7,FALSE)</f>
        <v>3.3830999999999998</v>
      </c>
      <c r="K612" s="56" t="s">
        <v>10</v>
      </c>
      <c r="L612" s="53" t="s">
        <v>10</v>
      </c>
      <c r="M612" s="55" t="s">
        <v>10</v>
      </c>
      <c r="N612" s="53" t="s">
        <v>10</v>
      </c>
      <c r="O612" s="53" t="s">
        <v>10</v>
      </c>
      <c r="P612" s="53">
        <f>VLOOKUP(206,table_CIA_INLETS,14,FALSE)</f>
        <v>28.307110639315809</v>
      </c>
      <c r="Q612" s="55">
        <f>cell_P*(P612^cell_E)</f>
        <v>0.68300964560319222</v>
      </c>
      <c r="R612" s="54">
        <f>J612*Q612</f>
        <v>2.3106899320401593</v>
      </c>
      <c r="S612" s="53">
        <v>18</v>
      </c>
      <c r="T612" s="55">
        <f>(4*R612)/(3.14159*(S612/12)^2)</f>
        <v>1.3075841254001441</v>
      </c>
      <c r="U612" s="56">
        <f>((R612/((0.463135/cell_NP)*((S612/12)^(8/3))))^2)*cell_FF</f>
        <v>5.5654373988545808E-4</v>
      </c>
      <c r="V612" s="53">
        <v>249</v>
      </c>
      <c r="W612" s="53">
        <f>V612/(T612*60)</f>
        <v>3.1737919720691208</v>
      </c>
      <c r="X612" s="53">
        <f>W612+P612</f>
        <v>31.480902611384931</v>
      </c>
      <c r="Y612" s="55">
        <f>U612*V612</f>
        <v>0.13857939123147905</v>
      </c>
      <c r="Z612" s="55">
        <f>IF(VLOOKUP(168,table_CIA_JCTS,25,FALSE)+VLOOKUP(166,table_CIA_JCTS,24,FALSE)&lt;VLOOKUP(166,table_CIA_JCTS,28,FALSE),VLOOKUP(166,table_CIA_JCTS,28,FALSE),VLOOKUP(168,table_CIA_JCTS,25,FALSE)+VLOOKUP(166,table_CIA_JCTS,24,FALSE))</f>
        <v>394.22824641395152</v>
      </c>
      <c r="AA612" s="55">
        <v>400.13</v>
      </c>
      <c r="AB612" s="55">
        <f>(AA612-0.5)-Z612</f>
        <v>5.4017535860484713</v>
      </c>
      <c r="AC612" s="57">
        <v>392.85</v>
      </c>
      <c r="AD612" t="s">
        <v>464</v>
      </c>
    </row>
    <row r="613" spans="2:30" x14ac:dyDescent="0.2">
      <c r="B613" s="216" t="s">
        <v>10</v>
      </c>
      <c r="C613" s="217" t="s">
        <v>10</v>
      </c>
      <c r="D613" s="54" t="s">
        <v>10</v>
      </c>
      <c r="E613" s="54" t="s">
        <v>10</v>
      </c>
      <c r="F613" s="55" t="s">
        <v>10</v>
      </c>
      <c r="G613" s="54" t="s">
        <v>10</v>
      </c>
      <c r="H613" s="54" t="s">
        <v>10</v>
      </c>
      <c r="I613" s="54" t="s">
        <v>10</v>
      </c>
      <c r="J613" s="54" t="s">
        <v>10</v>
      </c>
      <c r="K613" s="56" t="s">
        <v>10</v>
      </c>
      <c r="L613" s="53" t="s">
        <v>10</v>
      </c>
      <c r="M613" s="55" t="s">
        <v>10</v>
      </c>
      <c r="N613" s="53" t="s">
        <v>10</v>
      </c>
      <c r="O613" s="53" t="s">
        <v>10</v>
      </c>
      <c r="P613" s="53" t="s">
        <v>10</v>
      </c>
      <c r="Q613" s="55" t="s">
        <v>10</v>
      </c>
      <c r="R613" s="54" t="s">
        <v>10</v>
      </c>
      <c r="S613" s="53" t="s">
        <v>10</v>
      </c>
      <c r="T613" s="55" t="s">
        <v>10</v>
      </c>
      <c r="U613" s="56" t="s">
        <v>10</v>
      </c>
      <c r="V613" s="53" t="s">
        <v>10</v>
      </c>
      <c r="W613" s="53" t="s">
        <v>10</v>
      </c>
      <c r="X613" s="53" t="s">
        <v>10</v>
      </c>
      <c r="Y613" s="55" t="s">
        <v>10</v>
      </c>
      <c r="Z613" s="55" t="s">
        <v>10</v>
      </c>
      <c r="AA613" s="55" t="s">
        <v>10</v>
      </c>
      <c r="AB613" s="55" t="s">
        <v>10</v>
      </c>
      <c r="AC613" s="57" t="s">
        <v>10</v>
      </c>
      <c r="AD613" t="s">
        <v>10</v>
      </c>
    </row>
    <row r="614" spans="2:30" x14ac:dyDescent="0.2">
      <c r="B614" s="216" t="s">
        <v>10</v>
      </c>
      <c r="C614" s="215">
        <v>208</v>
      </c>
      <c r="D614" s="54">
        <f>VLOOKUP(C614,table_DI,2)</f>
        <v>7.15</v>
      </c>
      <c r="E614" s="54" t="s">
        <v>10</v>
      </c>
      <c r="F614" s="55">
        <f>VLOOKUP(C614,table_DI,5)</f>
        <v>0.38400000000000001</v>
      </c>
      <c r="G614" s="54">
        <f>VLOOKUP(C614,table_DI,3)</f>
        <v>2.2879999999999998</v>
      </c>
      <c r="H614" s="54" t="s">
        <v>10</v>
      </c>
      <c r="I614" s="54">
        <f>VLOOKUP(C614,table_DI,4)</f>
        <v>2.7456</v>
      </c>
      <c r="J614" s="54" t="s">
        <v>10</v>
      </c>
      <c r="K614" s="56">
        <f>VLOOKUP(C614,table_DI,9)</f>
        <v>2.0351390922400971E-3</v>
      </c>
      <c r="L614" s="53">
        <f>VLOOKUP(C614,table_DI,8)</f>
        <v>683</v>
      </c>
      <c r="M614" s="55">
        <f>(0.84*(K614^0.5)*(cell_GUTDEP^0.6666)/cell_NRD)</f>
        <v>1.3283555317985174</v>
      </c>
      <c r="N614" s="53">
        <f>VLOOKUP(C614,table_DI,10)</f>
        <v>20</v>
      </c>
      <c r="O614" s="53">
        <f>(L614/(M614*60))</f>
        <v>8.5694929262807769</v>
      </c>
      <c r="P614" s="53">
        <f>N614+O614</f>
        <v>28.569492926280777</v>
      </c>
      <c r="Q614" s="55">
        <f t="shared" ref="Q614:Q620" si="40">cell_P*(P614^cell_E)</f>
        <v>0.67907487107695785</v>
      </c>
      <c r="R614" s="54">
        <f>Q614*I614</f>
        <v>1.8644679660288954</v>
      </c>
      <c r="S614" s="53" t="s">
        <v>10</v>
      </c>
      <c r="T614" s="55" t="s">
        <v>10</v>
      </c>
      <c r="U614" s="56" t="s">
        <v>10</v>
      </c>
      <c r="V614" s="53" t="s">
        <v>10</v>
      </c>
      <c r="W614" s="53" t="s">
        <v>10</v>
      </c>
      <c r="X614" s="53" t="s">
        <v>10</v>
      </c>
      <c r="Y614" s="55" t="s">
        <v>10</v>
      </c>
      <c r="Z614" s="55" t="s">
        <v>10</v>
      </c>
      <c r="AA614" s="55" t="s">
        <v>10</v>
      </c>
      <c r="AB614" s="55" t="s">
        <v>10</v>
      </c>
      <c r="AC614" s="57" t="s">
        <v>10</v>
      </c>
      <c r="AD614" t="s">
        <v>10</v>
      </c>
    </row>
    <row r="615" spans="2:30" x14ac:dyDescent="0.2">
      <c r="B615" s="216" t="s">
        <v>10</v>
      </c>
      <c r="C615" s="215">
        <v>209</v>
      </c>
      <c r="D615" s="54">
        <f>VLOOKUP(C615,table_DI,2)</f>
        <v>5.77</v>
      </c>
      <c r="E615" s="54" t="s">
        <v>10</v>
      </c>
      <c r="F615" s="55">
        <f>VLOOKUP(C615,table_DI,5)</f>
        <v>0.38400346620450609</v>
      </c>
      <c r="G615" s="54">
        <f>VLOOKUP(C615,table_DI,3)</f>
        <v>1.8464</v>
      </c>
      <c r="H615" s="54" t="s">
        <v>10</v>
      </c>
      <c r="I615" s="54">
        <f>VLOOKUP(C615,table_DI,4)</f>
        <v>2.2157</v>
      </c>
      <c r="J615" s="54" t="s">
        <v>10</v>
      </c>
      <c r="K615" s="56">
        <f>VLOOKUP(C615,table_DI,9)</f>
        <v>3.6420525657070942E-3</v>
      </c>
      <c r="L615" s="53">
        <f>VLOOKUP(C615,table_DI,8)</f>
        <v>799</v>
      </c>
      <c r="M615" s="55">
        <f>(0.84*(K615^0.5)*(cell_GUTDEP^0.6666)/cell_NRD)</f>
        <v>1.7770121008810393</v>
      </c>
      <c r="N615" s="53">
        <f>VLOOKUP(C615,table_DI,10)</f>
        <v>20</v>
      </c>
      <c r="O615" s="53">
        <f>(L615/(M615*60))</f>
        <v>7.4938525517436192</v>
      </c>
      <c r="P615" s="53">
        <f>N615+O615</f>
        <v>27.493852551743618</v>
      </c>
      <c r="Q615" s="55">
        <f t="shared" si="40"/>
        <v>0.6955918634832865</v>
      </c>
      <c r="R615" s="54">
        <f>Q615*I615</f>
        <v>1.5412228919199178</v>
      </c>
      <c r="S615" s="53" t="s">
        <v>10</v>
      </c>
      <c r="T615" s="55" t="s">
        <v>10</v>
      </c>
      <c r="U615" s="56" t="s">
        <v>10</v>
      </c>
      <c r="V615" s="53" t="s">
        <v>10</v>
      </c>
      <c r="W615" s="53" t="s">
        <v>10</v>
      </c>
      <c r="X615" s="53" t="s">
        <v>10</v>
      </c>
      <c r="Y615" s="55" t="s">
        <v>10</v>
      </c>
      <c r="Z615" s="55" t="s">
        <v>10</v>
      </c>
      <c r="AA615" s="55" t="s">
        <v>10</v>
      </c>
      <c r="AB615" s="55" t="s">
        <v>10</v>
      </c>
      <c r="AC615" s="57" t="s">
        <v>10</v>
      </c>
      <c r="AD615" t="s">
        <v>10</v>
      </c>
    </row>
    <row r="616" spans="2:30" x14ac:dyDescent="0.2">
      <c r="B616" s="216">
        <v>167</v>
      </c>
      <c r="C616" s="217" t="s">
        <v>10</v>
      </c>
      <c r="D616" s="54" t="s">
        <v>10</v>
      </c>
      <c r="E616" s="54">
        <f>VLOOKUP(208,table_CIA_INLETS,2,FALSE)+VLOOKUP(209,table_CIA_INLETS,2,FALSE)</f>
        <v>12.92</v>
      </c>
      <c r="F616" s="55" t="s">
        <v>10</v>
      </c>
      <c r="G616" s="54" t="s">
        <v>10</v>
      </c>
      <c r="H616" s="54">
        <f>VLOOKUP(208,table_CIA_INLETS,5,FALSE)+VLOOKUP(209,table_CIA_INLETS,5,FALSE)</f>
        <v>4.1343999999999994</v>
      </c>
      <c r="I616" s="54" t="s">
        <v>10</v>
      </c>
      <c r="J616" s="54">
        <f>VLOOKUP(208,table_CIA_INLETS,7,FALSE)+VLOOKUP(209,table_CIA_INLETS,7,FALSE)</f>
        <v>4.9612999999999996</v>
      </c>
      <c r="K616" s="56" t="s">
        <v>10</v>
      </c>
      <c r="L616" s="53" t="s">
        <v>10</v>
      </c>
      <c r="M616" s="55" t="s">
        <v>10</v>
      </c>
      <c r="N616" s="53" t="s">
        <v>10</v>
      </c>
      <c r="O616" s="53" t="s">
        <v>10</v>
      </c>
      <c r="P616" s="53">
        <f>VLOOKUP(208,table_CIA_INLETS,14,FALSE)</f>
        <v>28.569492926280777</v>
      </c>
      <c r="Q616" s="55">
        <f t="shared" si="40"/>
        <v>0.67907487107695785</v>
      </c>
      <c r="R616" s="54">
        <f>J616*Q616</f>
        <v>3.3690941578741107</v>
      </c>
      <c r="S616" s="53">
        <v>18</v>
      </c>
      <c r="T616" s="55">
        <f>(4*R616)/(3.14159*(S616/12)^2)</f>
        <v>1.9065189044749729</v>
      </c>
      <c r="U616" s="56">
        <f>((R616/((0.463135/cell_NP)*((S616/12)^(8/3))))^2)*cell_FF</f>
        <v>1.1831566666467197E-3</v>
      </c>
      <c r="V616" s="53">
        <v>883</v>
      </c>
      <c r="W616" s="53">
        <f>V616/(T616*60)</f>
        <v>7.7191296829649945</v>
      </c>
      <c r="X616" s="53">
        <f>W616+P616</f>
        <v>36.28862260924577</v>
      </c>
      <c r="Y616" s="55">
        <f>U616*V616</f>
        <v>1.0447273366490535</v>
      </c>
      <c r="Z616" s="55">
        <f>IF(VLOOKUP(168,table_CIA_JCTS,25,FALSE)+VLOOKUP(167,table_CIA_JCTS,24,FALSE)&lt;VLOOKUP(167,table_CIA_JCTS,28,FALSE),VLOOKUP(167,table_CIA_JCTS,28,FALSE),VLOOKUP(168,table_CIA_JCTS,25,FALSE)+VLOOKUP(167,table_CIA_JCTS,24,FALSE))</f>
        <v>395.13439435936908</v>
      </c>
      <c r="AA616" s="55">
        <v>399.18</v>
      </c>
      <c r="AB616" s="55">
        <f>(AA616-0.5)-Z616</f>
        <v>3.5456056406309244</v>
      </c>
      <c r="AC616" s="57">
        <v>393.5</v>
      </c>
      <c r="AD616" t="s">
        <v>463</v>
      </c>
    </row>
    <row r="617" spans="2:30" x14ac:dyDescent="0.2">
      <c r="B617" s="216">
        <v>168</v>
      </c>
      <c r="C617" s="217" t="s">
        <v>10</v>
      </c>
      <c r="D617" s="54" t="s">
        <v>10</v>
      </c>
      <c r="E617" s="54">
        <f>VLOOKUP(166,table_CIA_JCTS,4,FALSE)+VLOOKUP(167,table_CIA_JCTS,4,FALSE)</f>
        <v>21.73</v>
      </c>
      <c r="F617" s="55" t="s">
        <v>10</v>
      </c>
      <c r="G617" s="54" t="s">
        <v>10</v>
      </c>
      <c r="H617" s="54">
        <f>VLOOKUP(166,table_CIA_JCTS,7,FALSE)+VLOOKUP(167,table_CIA_JCTS,7,FALSE)</f>
        <v>6.9535999999999998</v>
      </c>
      <c r="I617" s="54" t="s">
        <v>10</v>
      </c>
      <c r="J617" s="54">
        <f>VLOOKUP(166,table_CIA_JCTS,9,FALSE)+VLOOKUP(167,table_CIA_JCTS,9,FALSE)</f>
        <v>8.3444000000000003</v>
      </c>
      <c r="K617" s="56" t="s">
        <v>10</v>
      </c>
      <c r="L617" s="53" t="s">
        <v>10</v>
      </c>
      <c r="M617" s="55" t="s">
        <v>10</v>
      </c>
      <c r="N617" s="53" t="s">
        <v>10</v>
      </c>
      <c r="O617" s="53" t="s">
        <v>10</v>
      </c>
      <c r="P617" s="53">
        <f>VLOOKUP(167,table_CIA_JCTS,23,FALSE)</f>
        <v>36.28862260924577</v>
      </c>
      <c r="Q617" s="55">
        <f t="shared" si="40"/>
        <v>0.58462253039972489</v>
      </c>
      <c r="R617" s="54">
        <f>J617*Q617</f>
        <v>4.8783242426674649</v>
      </c>
      <c r="S617" s="53">
        <v>18</v>
      </c>
      <c r="T617" s="55">
        <f>(4*R617)/(3.14159*(S617/12)^2)</f>
        <v>2.7605691485549757</v>
      </c>
      <c r="U617" s="56">
        <f>((R617/((0.463135/cell_NP)*((S617/12)^(8/3))))^2)*cell_FF</f>
        <v>2.4806031076406729E-3</v>
      </c>
      <c r="V617" s="53">
        <v>462</v>
      </c>
      <c r="W617" s="53">
        <f>V617/(T617*60)</f>
        <v>2.7892798860084986</v>
      </c>
      <c r="X617" s="53">
        <f>W617+P617</f>
        <v>39.077902495254271</v>
      </c>
      <c r="Y617" s="55">
        <f>U617*V617</f>
        <v>1.146038635729991</v>
      </c>
      <c r="Z617" s="55">
        <f>IF(VLOOKUP(169,table_CIA_JCTS,25,FALSE)+VLOOKUP(168,table_CIA_JCTS,24,FALSE)&lt;VLOOKUP(168,table_CIA_JCTS,28,FALSE),VLOOKUP(168,table_CIA_JCTS,28,FALSE),VLOOKUP(169,table_CIA_JCTS,25,FALSE)+VLOOKUP(168,table_CIA_JCTS,24,FALSE))</f>
        <v>394.08966702272005</v>
      </c>
      <c r="AA617" s="55">
        <v>401.73</v>
      </c>
      <c r="AB617" s="55">
        <f>(AA617-0.5)-Z617</f>
        <v>7.140332977279968</v>
      </c>
      <c r="AC617" s="57">
        <v>382.15</v>
      </c>
      <c r="AD617" t="s">
        <v>476</v>
      </c>
    </row>
    <row r="618" spans="2:30" x14ac:dyDescent="0.2">
      <c r="B618" s="216" t="s">
        <v>10</v>
      </c>
      <c r="C618" s="215">
        <v>210</v>
      </c>
      <c r="D618" s="54">
        <f>VLOOKUP(C618,table_DI,2)</f>
        <v>13.11</v>
      </c>
      <c r="E618" s="54" t="s">
        <v>10</v>
      </c>
      <c r="F618" s="55">
        <f>VLOOKUP(C618,table_DI,5)</f>
        <v>0.83905415713196041</v>
      </c>
      <c r="G618" s="54">
        <f>VLOOKUP(C618,table_DI,3)</f>
        <v>9.3000000000000007</v>
      </c>
      <c r="H618" s="54" t="s">
        <v>10</v>
      </c>
      <c r="I618" s="54">
        <f>VLOOKUP(C618,table_DI,4)</f>
        <v>11</v>
      </c>
      <c r="J618" s="54" t="s">
        <v>10</v>
      </c>
      <c r="K618" s="56">
        <f>VLOOKUP(C618,table_DI,9)</f>
        <v>4.9958915365653118E-3</v>
      </c>
      <c r="L618" s="53">
        <f>VLOOKUP(C618,table_DI,8)</f>
        <v>1217</v>
      </c>
      <c r="M618" s="55">
        <f>(0.84*(K618^0.5)*(cell_GUTDEP^0.6666)/cell_NRD)</f>
        <v>2.0812477479102842</v>
      </c>
      <c r="N618" s="53">
        <f>VLOOKUP(C618,table_DI,10)</f>
        <v>10</v>
      </c>
      <c r="O618" s="53">
        <f>(L618/(M618*60))</f>
        <v>9.7457562914838913</v>
      </c>
      <c r="P618" s="53">
        <f>N618+O618</f>
        <v>19.745756291483893</v>
      </c>
      <c r="Q618" s="55">
        <f t="shared" si="40"/>
        <v>0.85581156141928327</v>
      </c>
      <c r="R618" s="54">
        <f>Q618*I618</f>
        <v>9.4139271756121161</v>
      </c>
      <c r="S618" s="53" t="s">
        <v>10</v>
      </c>
      <c r="T618" s="55" t="s">
        <v>10</v>
      </c>
      <c r="U618" s="56" t="s">
        <v>10</v>
      </c>
      <c r="V618" s="53" t="s">
        <v>10</v>
      </c>
      <c r="W618" s="53" t="s">
        <v>10</v>
      </c>
      <c r="X618" s="53" t="s">
        <v>10</v>
      </c>
      <c r="Y618" s="55" t="s">
        <v>10</v>
      </c>
      <c r="Z618" s="55" t="s">
        <v>10</v>
      </c>
      <c r="AA618" s="55" t="s">
        <v>10</v>
      </c>
      <c r="AB618" s="55" t="s">
        <v>10</v>
      </c>
      <c r="AC618" s="57" t="s">
        <v>10</v>
      </c>
      <c r="AD618" t="s">
        <v>10</v>
      </c>
    </row>
    <row r="619" spans="2:30" x14ac:dyDescent="0.2">
      <c r="B619" s="216" t="s">
        <v>10</v>
      </c>
      <c r="C619" s="215">
        <v>211</v>
      </c>
      <c r="D619" s="54">
        <f>VLOOKUP(C619,table_DI,2)</f>
        <v>3.64</v>
      </c>
      <c r="E619" s="54" t="s">
        <v>10</v>
      </c>
      <c r="F619" s="55">
        <f>VLOOKUP(C619,table_DI,5)</f>
        <v>0.63917582417582419</v>
      </c>
      <c r="G619" s="54">
        <f>VLOOKUP(C619,table_DI,3)</f>
        <v>2.2088000000000001</v>
      </c>
      <c r="H619" s="54" t="s">
        <v>10</v>
      </c>
      <c r="I619" s="54">
        <f>VLOOKUP(C619,table_DI,4)</f>
        <v>2.3266</v>
      </c>
      <c r="J619" s="54" t="s">
        <v>10</v>
      </c>
      <c r="K619" s="56">
        <f>VLOOKUP(C619,table_DI,9)</f>
        <v>1.659785301403791E-3</v>
      </c>
      <c r="L619" s="53">
        <f>VLOOKUP(C619,table_DI,8)</f>
        <v>1211</v>
      </c>
      <c r="M619" s="55">
        <f>(0.84*(K619^0.5)*(cell_GUTDEP^0.6666)/cell_NRD)</f>
        <v>1.1996187289393936</v>
      </c>
      <c r="N619" s="53">
        <f>VLOOKUP(C619,table_DI,10)</f>
        <v>5</v>
      </c>
      <c r="O619" s="53">
        <f>(L619/(M619*60))</f>
        <v>16.824790115754375</v>
      </c>
      <c r="P619" s="53">
        <f>N619+O619</f>
        <v>21.824790115754375</v>
      </c>
      <c r="Q619" s="55">
        <f t="shared" si="40"/>
        <v>0.8038097838069248</v>
      </c>
      <c r="R619" s="54">
        <f>Q619*I619</f>
        <v>1.8701438430051913</v>
      </c>
      <c r="S619" s="53" t="s">
        <v>10</v>
      </c>
      <c r="T619" s="55" t="s">
        <v>10</v>
      </c>
      <c r="U619" s="56" t="s">
        <v>10</v>
      </c>
      <c r="V619" s="53" t="s">
        <v>10</v>
      </c>
      <c r="W619" s="53" t="s">
        <v>10</v>
      </c>
      <c r="X619" s="53" t="s">
        <v>10</v>
      </c>
      <c r="Y619" s="55" t="s">
        <v>10</v>
      </c>
      <c r="Z619" s="55" t="s">
        <v>10</v>
      </c>
      <c r="AA619" s="55" t="s">
        <v>10</v>
      </c>
      <c r="AB619" s="55" t="s">
        <v>10</v>
      </c>
      <c r="AC619" s="57" t="s">
        <v>10</v>
      </c>
      <c r="AD619" t="s">
        <v>10</v>
      </c>
    </row>
    <row r="620" spans="2:30" x14ac:dyDescent="0.2">
      <c r="B620" s="216">
        <v>169</v>
      </c>
      <c r="C620" s="217" t="s">
        <v>10</v>
      </c>
      <c r="D620" s="54" t="s">
        <v>10</v>
      </c>
      <c r="E620" s="54">
        <f>VLOOKUP(168,table_CIA_JCTS,4,FALSE)+VLOOKUP(210,table_CIA_INLETS,2,FALSE)+VLOOKUP(211,table_CIA_INLETS,2,FALSE)</f>
        <v>38.480000000000004</v>
      </c>
      <c r="F620" s="55" t="s">
        <v>10</v>
      </c>
      <c r="G620" s="54" t="s">
        <v>10</v>
      </c>
      <c r="H620" s="54">
        <f>VLOOKUP(168,table_CIA_JCTS,7,FALSE)+VLOOKUP(210,table_CIA_INLETS,5,FALSE)+VLOOKUP(211,table_CIA_INLETS,5,FALSE)</f>
        <v>18.462399999999999</v>
      </c>
      <c r="I620" s="54" t="s">
        <v>10</v>
      </c>
      <c r="J620" s="54">
        <f>VLOOKUP(168,table_CIA_JCTS,9,FALSE)+VLOOKUP(210,table_CIA_INLETS,7,FALSE)+VLOOKUP(211,table_CIA_INLETS,7,FALSE)</f>
        <v>21.670999999999999</v>
      </c>
      <c r="K620" s="56" t="s">
        <v>10</v>
      </c>
      <c r="L620" s="53" t="s">
        <v>10</v>
      </c>
      <c r="M620" s="55" t="s">
        <v>10</v>
      </c>
      <c r="N620" s="53" t="s">
        <v>10</v>
      </c>
      <c r="O620" s="53" t="s">
        <v>10</v>
      </c>
      <c r="P620" s="53">
        <v>40</v>
      </c>
      <c r="Q620" s="55">
        <f t="shared" si="40"/>
        <v>0.5500394751316392</v>
      </c>
      <c r="R620" s="54">
        <f>J620*Q620</f>
        <v>11.919905465577752</v>
      </c>
      <c r="S620" s="53">
        <v>24</v>
      </c>
      <c r="T620" s="55">
        <f>(4*R620)/(3.14159*(S620/12)^2)</f>
        <v>3.7942269569160052</v>
      </c>
      <c r="U620" s="56">
        <f>((R620/((0.463135/cell_NP)*((S620/12)^(8/3))))^2)*cell_FF</f>
        <v>3.1931671412341591E-3</v>
      </c>
      <c r="V620" s="53">
        <v>1463</v>
      </c>
      <c r="W620" s="53">
        <f>V620/(T620*60)</f>
        <v>6.4264298393874704</v>
      </c>
      <c r="X620" s="53">
        <f>W620+P620</f>
        <v>46.426429839387467</v>
      </c>
      <c r="Y620" s="55">
        <f>U620*V620</f>
        <v>4.6716035276255745</v>
      </c>
      <c r="Z620" s="55">
        <f>IF(VLOOKUP(173,table_CIA_JCTS,25,FALSE)+VLOOKUP(169,table_CIA_JCTS,24,FALSE)&lt;VLOOKUP(169,table_CIA_JCTS,28,FALSE),VLOOKUP(169,table_CIA_JCTS,28,FALSE),VLOOKUP(173,table_CIA_JCTS,25,FALSE)+VLOOKUP(169,table_CIA_JCTS,24,FALSE))</f>
        <v>392.94362838699004</v>
      </c>
      <c r="AA620" s="55">
        <v>400.82</v>
      </c>
      <c r="AB620" s="55">
        <f>(AA620-0.5)-Z620</f>
        <v>7.376371613009951</v>
      </c>
      <c r="AC620" s="57">
        <v>391.91</v>
      </c>
      <c r="AD620" t="s">
        <v>445</v>
      </c>
    </row>
    <row r="621" spans="2:30" x14ac:dyDescent="0.2">
      <c r="B621" s="216" t="s">
        <v>10</v>
      </c>
      <c r="C621" s="217" t="s">
        <v>10</v>
      </c>
      <c r="D621" s="54" t="s">
        <v>10</v>
      </c>
      <c r="E621" s="54" t="s">
        <v>10</v>
      </c>
      <c r="F621" s="55" t="s">
        <v>10</v>
      </c>
      <c r="G621" s="54" t="s">
        <v>10</v>
      </c>
      <c r="H621" s="54" t="s">
        <v>10</v>
      </c>
      <c r="I621" s="54" t="s">
        <v>10</v>
      </c>
      <c r="J621" s="54" t="s">
        <v>10</v>
      </c>
      <c r="K621" s="56" t="s">
        <v>10</v>
      </c>
      <c r="L621" s="53" t="s">
        <v>10</v>
      </c>
      <c r="M621" s="55" t="s">
        <v>10</v>
      </c>
      <c r="N621" s="53" t="s">
        <v>10</v>
      </c>
      <c r="O621" s="53" t="s">
        <v>10</v>
      </c>
      <c r="P621" s="53" t="s">
        <v>10</v>
      </c>
      <c r="Q621" s="55" t="s">
        <v>10</v>
      </c>
      <c r="R621" s="54" t="s">
        <v>10</v>
      </c>
      <c r="S621" s="53" t="s">
        <v>10</v>
      </c>
      <c r="T621" s="55" t="s">
        <v>10</v>
      </c>
      <c r="U621" s="56" t="s">
        <v>10</v>
      </c>
      <c r="V621" s="53" t="s">
        <v>10</v>
      </c>
      <c r="W621" s="53" t="s">
        <v>10</v>
      </c>
      <c r="X621" s="53" t="s">
        <v>10</v>
      </c>
      <c r="Y621" s="55" t="s">
        <v>10</v>
      </c>
      <c r="Z621" s="55" t="s">
        <v>10</v>
      </c>
      <c r="AA621" s="55" t="s">
        <v>10</v>
      </c>
      <c r="AB621" s="55" t="s">
        <v>10</v>
      </c>
      <c r="AC621" s="57" t="s">
        <v>10</v>
      </c>
      <c r="AD621" t="s">
        <v>10</v>
      </c>
    </row>
    <row r="622" spans="2:30" x14ac:dyDescent="0.2">
      <c r="B622" s="216" t="s">
        <v>10</v>
      </c>
      <c r="C622" s="215">
        <v>212</v>
      </c>
      <c r="D622" s="54">
        <f>VLOOKUP(C622,table_DI,2)</f>
        <v>9.89</v>
      </c>
      <c r="E622" s="54" t="s">
        <v>10</v>
      </c>
      <c r="F622" s="55">
        <f>VLOOKUP(C622,table_DI,5)</f>
        <v>0.715005055611729</v>
      </c>
      <c r="G622" s="54">
        <f>VLOOKUP(C622,table_DI,3)</f>
        <v>6.4284999999999997</v>
      </c>
      <c r="H622" s="54" t="s">
        <v>10</v>
      </c>
      <c r="I622" s="54">
        <f>VLOOKUP(C622,table_DI,4)</f>
        <v>7.0713999999999997</v>
      </c>
      <c r="J622" s="54" t="s">
        <v>10</v>
      </c>
      <c r="K622" s="56">
        <f>VLOOKUP(C622,table_DI,9)</f>
        <v>2.9222797927461069E-3</v>
      </c>
      <c r="L622" s="53">
        <f>VLOOKUP(C622,table_DI,8)</f>
        <v>1930</v>
      </c>
      <c r="M622" s="55">
        <f>(0.84*(K622^0.5)*(cell_GUTDEP^0.6666)/cell_NRD)</f>
        <v>1.5917621658810854</v>
      </c>
      <c r="N622" s="53">
        <f>VLOOKUP(C622,table_DI,10)</f>
        <v>15</v>
      </c>
      <c r="O622" s="53">
        <f>(L622/(M622*60))</f>
        <v>20.208211601047513</v>
      </c>
      <c r="P622" s="53">
        <f>N622+O622</f>
        <v>35.208211601047509</v>
      </c>
      <c r="Q622" s="55">
        <f t="shared" ref="Q622:Q633" si="41">cell_P*(P622^cell_E)</f>
        <v>0.59579296966000961</v>
      </c>
      <c r="R622" s="54">
        <f>Q622*I622</f>
        <v>4.2130904056537917</v>
      </c>
      <c r="S622" s="53" t="s">
        <v>10</v>
      </c>
      <c r="T622" s="55" t="s">
        <v>10</v>
      </c>
      <c r="U622" s="56" t="s">
        <v>10</v>
      </c>
      <c r="V622" s="53" t="s">
        <v>10</v>
      </c>
      <c r="W622" s="53" t="s">
        <v>10</v>
      </c>
      <c r="X622" s="53" t="s">
        <v>10</v>
      </c>
      <c r="Y622" s="55" t="s">
        <v>10</v>
      </c>
      <c r="Z622" s="55" t="s">
        <v>10</v>
      </c>
      <c r="AA622" s="55" t="s">
        <v>10</v>
      </c>
      <c r="AB622" s="55" t="s">
        <v>10</v>
      </c>
      <c r="AC622" s="57" t="s">
        <v>10</v>
      </c>
      <c r="AD622" t="s">
        <v>10</v>
      </c>
    </row>
    <row r="623" spans="2:30" x14ac:dyDescent="0.2">
      <c r="B623" s="216" t="s">
        <v>10</v>
      </c>
      <c r="C623" s="215">
        <v>213</v>
      </c>
      <c r="D623" s="54">
        <f>VLOOKUP(C623,table_DI,2)</f>
        <v>0.95</v>
      </c>
      <c r="E623" s="54" t="s">
        <v>10</v>
      </c>
      <c r="F623" s="55">
        <f>VLOOKUP(C623,table_DI,5)</f>
        <v>0.9</v>
      </c>
      <c r="G623" s="54">
        <f>VLOOKUP(C623,table_DI,3)</f>
        <v>0.85499999999999998</v>
      </c>
      <c r="H623" s="54" t="s">
        <v>10</v>
      </c>
      <c r="I623" s="54">
        <f>VLOOKUP(C623,table_DI,4)</f>
        <v>0.85499999999999998</v>
      </c>
      <c r="J623" s="54" t="s">
        <v>10</v>
      </c>
      <c r="K623" s="56">
        <f>VLOOKUP(C623,table_DI,9)</f>
        <v>2.1739130434784461E-3</v>
      </c>
      <c r="L623" s="53">
        <f>VLOOKUP(C623,table_DI,8)</f>
        <v>184</v>
      </c>
      <c r="M623" s="55">
        <f>(0.84*(K623^0.5)*(cell_GUTDEP^0.6666)/cell_NRD)</f>
        <v>1.3728982914306647</v>
      </c>
      <c r="N623" s="53">
        <f>VLOOKUP(C623,table_DI,10)</f>
        <v>5</v>
      </c>
      <c r="O623" s="53">
        <f>(L623/(M623*60))</f>
        <v>2.2337173014258518</v>
      </c>
      <c r="P623" s="53">
        <f>N623+O623</f>
        <v>7.2337173014258518</v>
      </c>
      <c r="Q623" s="55">
        <f t="shared" si="41"/>
        <v>1.6049874249470444</v>
      </c>
      <c r="R623" s="54">
        <f>Q623*I623</f>
        <v>1.3722642483297229</v>
      </c>
      <c r="S623" s="53" t="s">
        <v>10</v>
      </c>
      <c r="T623" s="55" t="s">
        <v>10</v>
      </c>
      <c r="U623" s="56" t="s">
        <v>10</v>
      </c>
      <c r="V623" s="53" t="s">
        <v>10</v>
      </c>
      <c r="W623" s="53" t="s">
        <v>10</v>
      </c>
      <c r="X623" s="53" t="s">
        <v>10</v>
      </c>
      <c r="Y623" s="55" t="s">
        <v>10</v>
      </c>
      <c r="Z623" s="55" t="s">
        <v>10</v>
      </c>
      <c r="AA623" s="55" t="s">
        <v>10</v>
      </c>
      <c r="AB623" s="55" t="s">
        <v>10</v>
      </c>
      <c r="AC623" s="57" t="s">
        <v>10</v>
      </c>
      <c r="AD623" t="s">
        <v>10</v>
      </c>
    </row>
    <row r="624" spans="2:30" x14ac:dyDescent="0.2">
      <c r="B624" s="216" t="s">
        <v>10</v>
      </c>
      <c r="C624" s="215">
        <v>214</v>
      </c>
      <c r="D624" s="54">
        <f>VLOOKUP(C624,table_DI,2)</f>
        <v>11.34</v>
      </c>
      <c r="E624" s="54" t="s">
        <v>10</v>
      </c>
      <c r="F624" s="55">
        <f>VLOOKUP(C624,table_DI,5)</f>
        <v>0.71500000000000008</v>
      </c>
      <c r="G624" s="54">
        <f>VLOOKUP(C624,table_DI,3)</f>
        <v>7.3710000000000004</v>
      </c>
      <c r="H624" s="54" t="s">
        <v>10</v>
      </c>
      <c r="I624" s="54">
        <f>VLOOKUP(C624,table_DI,4)</f>
        <v>8.1081000000000003</v>
      </c>
      <c r="J624" s="54" t="s">
        <v>10</v>
      </c>
      <c r="K624" s="56">
        <f>VLOOKUP(C624,table_DI,9)</f>
        <v>3.133333333333343E-3</v>
      </c>
      <c r="L624" s="53">
        <f>VLOOKUP(C624,table_DI,8)</f>
        <v>1650</v>
      </c>
      <c r="M624" s="55">
        <f>(0.84*(K624^0.5)*(cell_GUTDEP^0.6666)/cell_NRD)</f>
        <v>1.6482404945155882</v>
      </c>
      <c r="N624" s="53">
        <f>VLOOKUP(C624,table_DI,10)</f>
        <v>15</v>
      </c>
      <c r="O624" s="53">
        <f>(L624/(M624*60))</f>
        <v>16.684458421877412</v>
      </c>
      <c r="P624" s="53">
        <f>N624+O624</f>
        <v>31.684458421877412</v>
      </c>
      <c r="Q624" s="55">
        <f t="shared" si="41"/>
        <v>0.63646405273750883</v>
      </c>
      <c r="R624" s="54">
        <f>Q624*I624</f>
        <v>5.160514186000996</v>
      </c>
      <c r="S624" s="53" t="s">
        <v>10</v>
      </c>
      <c r="T624" s="55" t="s">
        <v>10</v>
      </c>
      <c r="U624" s="56" t="s">
        <v>10</v>
      </c>
      <c r="V624" s="53" t="s">
        <v>10</v>
      </c>
      <c r="W624" s="53" t="s">
        <v>10</v>
      </c>
      <c r="X624" s="53" t="s">
        <v>10</v>
      </c>
      <c r="Y624" s="55" t="s">
        <v>10</v>
      </c>
      <c r="Z624" s="55" t="s">
        <v>10</v>
      </c>
      <c r="AA624" s="55" t="s">
        <v>10</v>
      </c>
      <c r="AB624" s="55" t="s">
        <v>10</v>
      </c>
      <c r="AC624" s="57" t="s">
        <v>10</v>
      </c>
      <c r="AD624" t="s">
        <v>10</v>
      </c>
    </row>
    <row r="625" spans="2:30" x14ac:dyDescent="0.2">
      <c r="B625" s="216">
        <v>170</v>
      </c>
      <c r="C625" s="217" t="s">
        <v>10</v>
      </c>
      <c r="D625" s="54" t="s">
        <v>10</v>
      </c>
      <c r="E625" s="54">
        <f>VLOOKUP(212,table_CIA_INLETS,2,FALSE)+VLOOKUP(213,table_CIA_INLETS,2,FALSE)+VLOOKUP(214,table_CIA_INLETS,2,FALSE)</f>
        <v>22.18</v>
      </c>
      <c r="F625" s="55" t="s">
        <v>10</v>
      </c>
      <c r="G625" s="54" t="s">
        <v>10</v>
      </c>
      <c r="H625" s="54">
        <f>VLOOKUP(212,table_CIA_INLETS,5,FALSE)+VLOOKUP(213,table_CIA_INLETS,5,FALSE)+VLOOKUP(214,table_CIA_INLETS,5,FALSE)</f>
        <v>14.654500000000001</v>
      </c>
      <c r="I625" s="54" t="s">
        <v>10</v>
      </c>
      <c r="J625" s="54">
        <f>VLOOKUP(212,table_CIA_INLETS,7,FALSE)+VLOOKUP(213,table_CIA_INLETS,7,FALSE)+VLOOKUP(214,table_CIA_INLETS,7,FALSE)</f>
        <v>16.034500000000001</v>
      </c>
      <c r="K625" s="56" t="s">
        <v>10</v>
      </c>
      <c r="L625" s="53" t="s">
        <v>10</v>
      </c>
      <c r="M625" s="55" t="s">
        <v>10</v>
      </c>
      <c r="N625" s="53" t="s">
        <v>10</v>
      </c>
      <c r="O625" s="53" t="s">
        <v>10</v>
      </c>
      <c r="P625" s="53">
        <f>VLOOKUP(214,table_CIA_INLETS,14,FALSE)</f>
        <v>31.684458421877412</v>
      </c>
      <c r="Q625" s="55">
        <f t="shared" si="41"/>
        <v>0.63646405273750883</v>
      </c>
      <c r="R625" s="54">
        <f>J625*Q625</f>
        <v>10.205382853619586</v>
      </c>
      <c r="S625" s="53">
        <v>24</v>
      </c>
      <c r="T625" s="55">
        <f>(4*R625)/(3.14159*(S625/12)^2)</f>
        <v>3.2484769984687962</v>
      </c>
      <c r="U625" s="56">
        <f>((R625/((0.463135/cell_NP)*((S625/12)^(8/3))))^2)*cell_FF</f>
        <v>2.3406400566417995E-3</v>
      </c>
      <c r="V625" s="53">
        <v>450</v>
      </c>
      <c r="W625" s="53">
        <f>V625/(T625*60)</f>
        <v>2.3087742359066121</v>
      </c>
      <c r="X625" s="53">
        <f>W625+P625</f>
        <v>33.993232657784027</v>
      </c>
      <c r="Y625" s="55">
        <f>U625*V625</f>
        <v>1.0532880254888097</v>
      </c>
      <c r="Z625" s="55">
        <f>IF(VLOOKUP(171,table_CIA_JCTS,25,FALSE)+VLOOKUP(170,table_CIA_JCTS,24,FALSE)&lt;VLOOKUP(170,table_CIA_JCTS,28,FALSE),VLOOKUP(170,table_CIA_JCTS,28,FALSE),VLOOKUP(171,table_CIA_JCTS,25,FALSE)+VLOOKUP(170,table_CIA_JCTS,24,FALSE))</f>
        <v>391.28926834127407</v>
      </c>
      <c r="AA625" s="55">
        <v>394.5</v>
      </c>
      <c r="AB625" s="55">
        <f>(AA625-0.5)-Z625</f>
        <v>2.7107316587259334</v>
      </c>
      <c r="AC625" s="57" t="s">
        <v>10</v>
      </c>
      <c r="AD625" t="s">
        <v>10</v>
      </c>
    </row>
    <row r="626" spans="2:30" x14ac:dyDescent="0.2">
      <c r="B626" s="216" t="s">
        <v>10</v>
      </c>
      <c r="C626" s="215">
        <v>215</v>
      </c>
      <c r="D626" s="54">
        <f>VLOOKUP(C626,table_DI,2)</f>
        <v>7.23</v>
      </c>
      <c r="E626" s="54" t="s">
        <v>10</v>
      </c>
      <c r="F626" s="55">
        <f>VLOOKUP(C626,table_DI,5)</f>
        <v>0.71500691562932228</v>
      </c>
      <c r="G626" s="54">
        <f>VLOOKUP(C626,table_DI,3)</f>
        <v>4.6994999999999996</v>
      </c>
      <c r="H626" s="54" t="s">
        <v>10</v>
      </c>
      <c r="I626" s="54">
        <f>VLOOKUP(C626,table_DI,4)</f>
        <v>5.1695000000000002</v>
      </c>
      <c r="J626" s="54" t="s">
        <v>10</v>
      </c>
      <c r="K626" s="56">
        <f>VLOOKUP(C626,table_DI,9)</f>
        <v>4.1666666666666666E-3</v>
      </c>
      <c r="L626" s="53">
        <f>VLOOKUP(C626,table_DI,8)</f>
        <v>840</v>
      </c>
      <c r="M626" s="55">
        <f>(0.84*(K626^0.5)*(cell_GUTDEP^0.6666)/cell_NRD)</f>
        <v>1.9006916181594877</v>
      </c>
      <c r="N626" s="53">
        <f>VLOOKUP(C626,table_DI,10)</f>
        <v>15</v>
      </c>
      <c r="O626" s="53">
        <f>(L626/(M626*60))</f>
        <v>7.3657398529261338</v>
      </c>
      <c r="P626" s="53">
        <f>N626+O626</f>
        <v>22.365739852926133</v>
      </c>
      <c r="Q626" s="55">
        <f t="shared" si="41"/>
        <v>0.79157994462504744</v>
      </c>
      <c r="R626" s="54">
        <f>Q626*I626</f>
        <v>4.0920725237391826</v>
      </c>
      <c r="S626" s="53" t="s">
        <v>10</v>
      </c>
      <c r="T626" s="55" t="s">
        <v>10</v>
      </c>
      <c r="U626" s="56" t="s">
        <v>10</v>
      </c>
      <c r="V626" s="53" t="s">
        <v>10</v>
      </c>
      <c r="W626" s="53" t="s">
        <v>10</v>
      </c>
      <c r="X626" s="53" t="s">
        <v>10</v>
      </c>
      <c r="Y626" s="55" t="s">
        <v>10</v>
      </c>
      <c r="Z626" s="55" t="s">
        <v>10</v>
      </c>
      <c r="AA626" s="55" t="s">
        <v>10</v>
      </c>
      <c r="AB626" s="55" t="s">
        <v>10</v>
      </c>
      <c r="AC626" s="57" t="s">
        <v>10</v>
      </c>
      <c r="AD626" t="s">
        <v>10</v>
      </c>
    </row>
    <row r="627" spans="2:30" x14ac:dyDescent="0.2">
      <c r="B627" s="216">
        <v>171</v>
      </c>
      <c r="C627" s="217" t="s">
        <v>10</v>
      </c>
      <c r="D627" s="54" t="s">
        <v>10</v>
      </c>
      <c r="E627" s="54">
        <f>VLOOKUP(170,table_CIA_JCTS,4,FALSE)+VLOOKUP(215,table_CIA_INLETS,2,FALSE)</f>
        <v>29.41</v>
      </c>
      <c r="F627" s="55" t="s">
        <v>10</v>
      </c>
      <c r="G627" s="54" t="s">
        <v>10</v>
      </c>
      <c r="H627" s="54">
        <f>VLOOKUP(170,table_CIA_JCTS,7,FALSE)+VLOOKUP(215,table_CIA_INLETS,5,FALSE)</f>
        <v>19.353999999999999</v>
      </c>
      <c r="I627" s="54" t="s">
        <v>10</v>
      </c>
      <c r="J627" s="54">
        <f>VLOOKUP(170,table_CIA_JCTS,9,FALSE)+VLOOKUP(215,table_CIA_INLETS,7,FALSE)</f>
        <v>21.204000000000001</v>
      </c>
      <c r="K627" s="56" t="s">
        <v>10</v>
      </c>
      <c r="L627" s="53" t="s">
        <v>10</v>
      </c>
      <c r="M627" s="55" t="s">
        <v>10</v>
      </c>
      <c r="N627" s="53" t="s">
        <v>10</v>
      </c>
      <c r="O627" s="53" t="s">
        <v>10</v>
      </c>
      <c r="P627" s="53">
        <f>VLOOKUP(170,table_CIA_JCTS,23,FALSE)</f>
        <v>33.993232657784027</v>
      </c>
      <c r="Q627" s="55">
        <f t="shared" si="41"/>
        <v>0.6090400646783618</v>
      </c>
      <c r="R627" s="54">
        <f>J627*Q627</f>
        <v>12.914085531439984</v>
      </c>
      <c r="S627" s="320">
        <v>30</v>
      </c>
      <c r="T627" s="55">
        <f>(4*R627)/(3.14159*(S627/12)^2)</f>
        <v>2.6308381234093532</v>
      </c>
      <c r="U627" s="56">
        <f>((R627/((0.463135/cell_NP)*((S627/12)^(8/3))))^2)*cell_FF</f>
        <v>1.1401183708659847E-3</v>
      </c>
      <c r="V627" s="53">
        <v>405</v>
      </c>
      <c r="W627" s="53">
        <f>V627/(T627*60)</f>
        <v>2.5657222844454401</v>
      </c>
      <c r="X627" s="53">
        <f>W627+P627</f>
        <v>36.55895494222947</v>
      </c>
      <c r="Y627" s="55">
        <f>U627*V627</f>
        <v>0.46174794020072379</v>
      </c>
      <c r="Z627" s="55">
        <f>IF(VLOOKUP(172,table_CIA_JCTS,25,FALSE)+VLOOKUP(171,table_CIA_JCTS,24,FALSE)&lt;VLOOKUP(171,table_CIA_JCTS,28,FALSE),VLOOKUP(171,table_CIA_JCTS,28,FALSE),VLOOKUP(172,table_CIA_JCTS,25,FALSE)+VLOOKUP(171,table_CIA_JCTS,24,FALSE))</f>
        <v>390.23598031578524</v>
      </c>
      <c r="AA627" s="55">
        <v>395</v>
      </c>
      <c r="AB627" s="55">
        <f>(AA627-0.5)-Z627</f>
        <v>4.2640196842147589</v>
      </c>
      <c r="AC627" s="57" t="s">
        <v>10</v>
      </c>
      <c r="AD627" t="s">
        <v>10</v>
      </c>
    </row>
    <row r="628" spans="2:30" x14ac:dyDescent="0.2">
      <c r="B628" s="216" t="s">
        <v>10</v>
      </c>
      <c r="C628" s="215">
        <v>216</v>
      </c>
      <c r="D628" s="54">
        <f>VLOOKUP(C628,table_DI,2)</f>
        <v>0.62</v>
      </c>
      <c r="E628" s="54" t="s">
        <v>10</v>
      </c>
      <c r="F628" s="55">
        <f>VLOOKUP(C628,table_DI,5)</f>
        <v>0.90000000000000013</v>
      </c>
      <c r="G628" s="54">
        <f>VLOOKUP(C628,table_DI,3)</f>
        <v>0.55800000000000005</v>
      </c>
      <c r="H628" s="54" t="s">
        <v>10</v>
      </c>
      <c r="I628" s="54">
        <f>VLOOKUP(C628,table_DI,4)</f>
        <v>0.55800000000000005</v>
      </c>
      <c r="J628" s="54" t="s">
        <v>10</v>
      </c>
      <c r="K628" s="56">
        <f>VLOOKUP(C628,table_DI,9)</f>
        <v>1.6949152542372881E-3</v>
      </c>
      <c r="L628" s="53">
        <f>VLOOKUP(C628,table_DI,8)</f>
        <v>590</v>
      </c>
      <c r="M628" s="55">
        <f>(0.84*(K628^0.5)*(cell_GUTDEP^0.6666)/cell_NRD)</f>
        <v>1.2122474369575693</v>
      </c>
      <c r="N628" s="53">
        <f>VLOOKUP(C628,table_DI,10)</f>
        <v>5</v>
      </c>
      <c r="O628" s="53">
        <f>(L628/(M628*60))</f>
        <v>8.111655288801833</v>
      </c>
      <c r="P628" s="53">
        <f>N628+O628</f>
        <v>13.111655288801833</v>
      </c>
      <c r="Q628" s="55">
        <f t="shared" si="41"/>
        <v>1.1059275696005488</v>
      </c>
      <c r="R628" s="54">
        <f>Q628*I628</f>
        <v>0.61710758383710629</v>
      </c>
      <c r="S628" s="53" t="s">
        <v>10</v>
      </c>
      <c r="T628" s="55" t="s">
        <v>10</v>
      </c>
      <c r="U628" s="56" t="s">
        <v>10</v>
      </c>
      <c r="V628" s="53" t="s">
        <v>10</v>
      </c>
      <c r="W628" s="53" t="s">
        <v>10</v>
      </c>
      <c r="X628" s="53" t="s">
        <v>10</v>
      </c>
      <c r="Y628" s="55" t="s">
        <v>10</v>
      </c>
      <c r="Z628" s="55" t="s">
        <v>10</v>
      </c>
      <c r="AA628" s="55" t="s">
        <v>10</v>
      </c>
      <c r="AB628" s="55" t="s">
        <v>10</v>
      </c>
      <c r="AC628" s="57" t="s">
        <v>10</v>
      </c>
      <c r="AD628" t="s">
        <v>10</v>
      </c>
    </row>
    <row r="629" spans="2:30" x14ac:dyDescent="0.2">
      <c r="B629" s="216" t="s">
        <v>10</v>
      </c>
      <c r="C629" s="215">
        <v>217</v>
      </c>
      <c r="D629" s="54">
        <f>VLOOKUP(C629,table_DI,2)</f>
        <v>13.09</v>
      </c>
      <c r="E629" s="54" t="s">
        <v>10</v>
      </c>
      <c r="F629" s="55">
        <f>VLOOKUP(C629,table_DI,5)</f>
        <v>0.71500381970970217</v>
      </c>
      <c r="G629" s="54">
        <f>VLOOKUP(C629,table_DI,3)</f>
        <v>8.5084999999999997</v>
      </c>
      <c r="H629" s="54" t="s">
        <v>10</v>
      </c>
      <c r="I629" s="54">
        <f>VLOOKUP(C629,table_DI,4)</f>
        <v>9.3594000000000008</v>
      </c>
      <c r="J629" s="54" t="s">
        <v>10</v>
      </c>
      <c r="K629" s="56">
        <f>VLOOKUP(C629,table_DI,9)</f>
        <v>2.6530612244897805E-3</v>
      </c>
      <c r="L629" s="53">
        <f>VLOOKUP(C629,table_DI,8)</f>
        <v>1470</v>
      </c>
      <c r="M629" s="55">
        <f>(0.84*(K629^0.5)*(cell_GUTDEP^0.6666)/cell_NRD)</f>
        <v>1.5166693717233501</v>
      </c>
      <c r="N629" s="53">
        <f>VLOOKUP(C629,table_DI,10)</f>
        <v>15</v>
      </c>
      <c r="O629" s="53">
        <f>(L629/(M629*60))</f>
        <v>16.153817342642924</v>
      </c>
      <c r="P629" s="53">
        <f>N629+O629</f>
        <v>31.153817342642924</v>
      </c>
      <c r="Q629" s="55">
        <f t="shared" si="41"/>
        <v>0.64323115109230067</v>
      </c>
      <c r="R629" s="54">
        <f>Q629*I629</f>
        <v>6.0202576355332793</v>
      </c>
      <c r="S629" s="53" t="s">
        <v>10</v>
      </c>
      <c r="T629" s="55" t="s">
        <v>10</v>
      </c>
      <c r="U629" s="56" t="s">
        <v>10</v>
      </c>
      <c r="V629" s="53" t="s">
        <v>10</v>
      </c>
      <c r="W629" s="53" t="s">
        <v>10</v>
      </c>
      <c r="X629" s="53" t="s">
        <v>10</v>
      </c>
      <c r="Y629" s="55" t="s">
        <v>10</v>
      </c>
      <c r="Z629" s="55" t="s">
        <v>10</v>
      </c>
      <c r="AA629" s="55" t="s">
        <v>10</v>
      </c>
      <c r="AB629" s="55" t="s">
        <v>10</v>
      </c>
      <c r="AC629" s="57" t="s">
        <v>10</v>
      </c>
      <c r="AD629" t="s">
        <v>10</v>
      </c>
    </row>
    <row r="630" spans="2:30" x14ac:dyDescent="0.2">
      <c r="B630" s="216">
        <v>172</v>
      </c>
      <c r="C630" s="217" t="s">
        <v>10</v>
      </c>
      <c r="D630" s="54" t="s">
        <v>10</v>
      </c>
      <c r="E630" s="54">
        <f>VLOOKUP(171,table_CIA_JCTS,4,FALSE)+VLOOKUP(216,table_CIA_INLETS,2,FALSE)+VLOOKUP(217,table_CIA_INLETS,2,FALSE)</f>
        <v>43.120000000000005</v>
      </c>
      <c r="F630" s="55" t="s">
        <v>10</v>
      </c>
      <c r="G630" s="54" t="s">
        <v>10</v>
      </c>
      <c r="H630" s="54">
        <f>VLOOKUP(171,table_CIA_JCTS,7,FALSE)+VLOOKUP(216,table_CIA_INLETS,5,FALSE)+VLOOKUP(217,table_CIA_INLETS,5,FALSE)</f>
        <v>28.420499999999997</v>
      </c>
      <c r="I630" s="54" t="s">
        <v>10</v>
      </c>
      <c r="J630" s="54">
        <f>VLOOKUP(171,table_CIA_JCTS,9,FALSE)+VLOOKUP(216,table_CIA_INLETS,7,FALSE)+VLOOKUP(217,table_CIA_INLETS,7,FALSE)</f>
        <v>31.121400000000001</v>
      </c>
      <c r="K630" s="56" t="s">
        <v>10</v>
      </c>
      <c r="L630" s="53" t="s">
        <v>10</v>
      </c>
      <c r="M630" s="55" t="s">
        <v>10</v>
      </c>
      <c r="N630" s="53" t="s">
        <v>10</v>
      </c>
      <c r="O630" s="53" t="s">
        <v>10</v>
      </c>
      <c r="P630" s="53">
        <f>VLOOKUP(171,table_CIA_JCTS,23,FALSE)</f>
        <v>36.55895494222947</v>
      </c>
      <c r="Q630" s="55">
        <f t="shared" si="41"/>
        <v>0.5819117479949566</v>
      </c>
      <c r="R630" s="54">
        <f>J630*Q630</f>
        <v>18.109908274050245</v>
      </c>
      <c r="S630" s="53">
        <v>30</v>
      </c>
      <c r="T630" s="55">
        <f>(4*R630)/(3.14159*(S630/12)^2)</f>
        <v>3.6893233348056738</v>
      </c>
      <c r="U630" s="56">
        <f>((R630/((0.463135/cell_NP)*((S630/12)^(8/3))))^2)*cell_FF</f>
        <v>2.2421007704776816E-3</v>
      </c>
      <c r="V630" s="53">
        <v>670</v>
      </c>
      <c r="W630" s="53">
        <f>V630/(T630*60)</f>
        <v>3.0267519686655069</v>
      </c>
      <c r="X630" s="53">
        <f>W630+P630</f>
        <v>39.585706910894977</v>
      </c>
      <c r="Y630" s="55">
        <f>U630*V630</f>
        <v>1.5022075162200466</v>
      </c>
      <c r="Z630" s="55">
        <f>IF(VLOOKUP(173,table_CIA_JCTS,25,FALSE)+VLOOKUP(172,table_CIA_JCTS,24,FALSE)&lt;VLOOKUP(172,table_CIA_JCTS,28,FALSE),VLOOKUP(172,table_CIA_JCTS,28,FALSE),VLOOKUP(173,table_CIA_JCTS,25,FALSE)+VLOOKUP(172,table_CIA_JCTS,24,FALSE))</f>
        <v>389.77423237558452</v>
      </c>
      <c r="AA630" s="55">
        <v>396.5</v>
      </c>
      <c r="AB630" s="55">
        <f>(AA630-0.5)-Z630</f>
        <v>6.2257676244154823</v>
      </c>
      <c r="AC630" s="57" t="s">
        <v>10</v>
      </c>
      <c r="AD630" t="s">
        <v>10</v>
      </c>
    </row>
    <row r="631" spans="2:30" x14ac:dyDescent="0.2">
      <c r="B631" s="216" t="s">
        <v>10</v>
      </c>
      <c r="C631" s="215">
        <v>218</v>
      </c>
      <c r="D631" s="54">
        <f>VLOOKUP(C631,table_DI,2)</f>
        <v>7.35</v>
      </c>
      <c r="E631" s="54" t="s">
        <v>10</v>
      </c>
      <c r="F631" s="55">
        <f>VLOOKUP(C631,table_DI,5)</f>
        <v>0.38400000000000001</v>
      </c>
      <c r="G631" s="54">
        <f>VLOOKUP(C631,table_DI,3)</f>
        <v>2.3519999999999999</v>
      </c>
      <c r="H631" s="54" t="s">
        <v>10</v>
      </c>
      <c r="I631" s="54">
        <f>VLOOKUP(C631,table_DI,4)</f>
        <v>2.8224</v>
      </c>
      <c r="J631" s="54" t="s">
        <v>10</v>
      </c>
      <c r="K631" s="56">
        <f>VLOOKUP(C631,table_DI,9)</f>
        <v>3.7095501183899331E-3</v>
      </c>
      <c r="L631" s="53">
        <f>VLOOKUP(C631,table_DI,8)</f>
        <v>1267</v>
      </c>
      <c r="M631" s="55">
        <f>(0.84*(K631^0.5)*(cell_GUTDEP^0.6666)/cell_NRD)</f>
        <v>1.7934030412991533</v>
      </c>
      <c r="N631" s="53">
        <f>VLOOKUP(C631,table_DI,10)</f>
        <v>20</v>
      </c>
      <c r="O631" s="53">
        <f>(L631/(M631*60))</f>
        <v>11.774635249514025</v>
      </c>
      <c r="P631" s="53">
        <f>N631+O631</f>
        <v>31.774635249514027</v>
      </c>
      <c r="Q631" s="55">
        <f t="shared" si="41"/>
        <v>0.63533235115941722</v>
      </c>
      <c r="R631" s="54">
        <f>Q631*I631</f>
        <v>1.7931620279123393</v>
      </c>
      <c r="S631" s="53" t="s">
        <v>10</v>
      </c>
      <c r="T631" s="55" t="s">
        <v>10</v>
      </c>
      <c r="U631" s="56" t="s">
        <v>10</v>
      </c>
      <c r="V631" s="53" t="s">
        <v>10</v>
      </c>
      <c r="W631" s="53" t="s">
        <v>10</v>
      </c>
      <c r="X631" s="53" t="s">
        <v>10</v>
      </c>
      <c r="Y631" s="55" t="s">
        <v>10</v>
      </c>
      <c r="Z631" s="55" t="s">
        <v>10</v>
      </c>
      <c r="AA631" s="55" t="s">
        <v>10</v>
      </c>
      <c r="AB631" s="55" t="s">
        <v>10</v>
      </c>
      <c r="AC631" s="57" t="s">
        <v>10</v>
      </c>
      <c r="AD631" t="s">
        <v>10</v>
      </c>
    </row>
    <row r="632" spans="2:30" x14ac:dyDescent="0.2">
      <c r="B632" s="216" t="s">
        <v>10</v>
      </c>
      <c r="C632" s="215">
        <v>219</v>
      </c>
      <c r="D632" s="54">
        <f>VLOOKUP(C632,table_DI,2)</f>
        <v>10.99</v>
      </c>
      <c r="E632" s="54" t="s">
        <v>10</v>
      </c>
      <c r="F632" s="55">
        <f>VLOOKUP(C632,table_DI,5)</f>
        <v>0.38400363967242951</v>
      </c>
      <c r="G632" s="54">
        <f>VLOOKUP(C632,table_DI,3)</f>
        <v>3.5167999999999999</v>
      </c>
      <c r="H632" s="54" t="s">
        <v>10</v>
      </c>
      <c r="I632" s="54">
        <f>VLOOKUP(C632,table_DI,4)</f>
        <v>4.2202000000000002</v>
      </c>
      <c r="J632" s="54" t="s">
        <v>10</v>
      </c>
      <c r="K632" s="56">
        <f>VLOOKUP(C632,table_DI,9)</f>
        <v>2.6385681293302501E-3</v>
      </c>
      <c r="L632" s="53">
        <f>VLOOKUP(C632,table_DI,8)</f>
        <v>1732</v>
      </c>
      <c r="M632" s="55">
        <f>(0.84*(K632^0.5)*(cell_GUTDEP^0.6666)/cell_NRD)</f>
        <v>1.512521081575525</v>
      </c>
      <c r="N632" s="53">
        <f>VLOOKUP(C632,table_DI,10)</f>
        <v>20</v>
      </c>
      <c r="O632" s="53">
        <f>(L632/(M632*60))</f>
        <v>19.085133436022961</v>
      </c>
      <c r="P632" s="53">
        <f>N632+O632</f>
        <v>39.085133436022957</v>
      </c>
      <c r="Q632" s="55">
        <f t="shared" si="41"/>
        <v>0.55806676869589122</v>
      </c>
      <c r="R632" s="54">
        <f>Q632*I632</f>
        <v>2.3551533772504003</v>
      </c>
      <c r="S632" s="53" t="s">
        <v>10</v>
      </c>
      <c r="T632" s="55" t="s">
        <v>10</v>
      </c>
      <c r="U632" s="56" t="s">
        <v>10</v>
      </c>
      <c r="V632" s="53" t="s">
        <v>10</v>
      </c>
      <c r="W632" s="53" t="s">
        <v>10</v>
      </c>
      <c r="X632" s="53" t="s">
        <v>10</v>
      </c>
      <c r="Y632" s="55" t="s">
        <v>10</v>
      </c>
      <c r="Z632" s="55" t="s">
        <v>10</v>
      </c>
      <c r="AA632" s="55" t="s">
        <v>10</v>
      </c>
      <c r="AB632" s="55" t="s">
        <v>10</v>
      </c>
      <c r="AC632" s="57" t="s">
        <v>10</v>
      </c>
      <c r="AD632" t="s">
        <v>10</v>
      </c>
    </row>
    <row r="633" spans="2:30" x14ac:dyDescent="0.2">
      <c r="B633" s="216">
        <v>173</v>
      </c>
      <c r="C633" s="217" t="s">
        <v>10</v>
      </c>
      <c r="D633" s="54" t="s">
        <v>10</v>
      </c>
      <c r="E633" s="54">
        <f>VLOOKUP(169,table_CIA_JCTS,4,FALSE)+VLOOKUP(172,table_CIA_JCTS,4,FALSE)+VLOOKUP(218,table_CIA_INLETS,2,FALSE)+VLOOKUP(219,table_CIA_INLETS,2,FALSE)</f>
        <v>99.94</v>
      </c>
      <c r="F633" s="55" t="s">
        <v>10</v>
      </c>
      <c r="G633" s="54" t="s">
        <v>10</v>
      </c>
      <c r="H633" s="54">
        <f>VLOOKUP(169,table_CIA_JCTS,7,FALSE)+VLOOKUP(172,table_CIA_JCTS,7,FALSE)+VLOOKUP(218,table_CIA_INLETS,5,FALSE)+VLOOKUP(219,table_CIA_INLETS,5,FALSE)</f>
        <v>52.751699999999985</v>
      </c>
      <c r="I633" s="54" t="s">
        <v>10</v>
      </c>
      <c r="J633" s="54">
        <f>VLOOKUP(169,table_CIA_JCTS,9,FALSE)+VLOOKUP(172,table_CIA_JCTS,9,FALSE)+VLOOKUP(218,table_CIA_INLETS,7,FALSE)+VLOOKUP(219,table_CIA_INLETS,7,FALSE)</f>
        <v>59.835000000000001</v>
      </c>
      <c r="K633" s="56" t="s">
        <v>10</v>
      </c>
      <c r="L633" s="53" t="s">
        <v>10</v>
      </c>
      <c r="M633" s="55" t="s">
        <v>10</v>
      </c>
      <c r="N633" s="53" t="s">
        <v>10</v>
      </c>
      <c r="O633" s="53" t="s">
        <v>10</v>
      </c>
      <c r="P633" s="53">
        <f>VLOOKUP(172,table_CIA_JCTS,23,FALSE)</f>
        <v>39.585706910894977</v>
      </c>
      <c r="Q633" s="55">
        <f t="shared" si="41"/>
        <v>0.55363721641271468</v>
      </c>
      <c r="R633" s="54">
        <f>J633*Q633</f>
        <v>33.126882844054784</v>
      </c>
      <c r="S633" s="53">
        <v>42</v>
      </c>
      <c r="T633" s="55">
        <f>(4*R633)/(3.14159*(S633/12)^2)</f>
        <v>3.4431422740823008</v>
      </c>
      <c r="U633" s="56">
        <f>((R633/((0.463135/cell_NP)*((S633/12)^(8/3))))^2)*cell_FF</f>
        <v>1.2469075270976119E-3</v>
      </c>
      <c r="V633" s="53">
        <v>1310</v>
      </c>
      <c r="W633" s="53">
        <f>V633/(T633*60)</f>
        <v>6.3411069294696984</v>
      </c>
      <c r="X633" s="53">
        <f>W633+P633</f>
        <v>45.926813840364673</v>
      </c>
      <c r="Y633" s="55">
        <f>U633*V633</f>
        <v>1.6334488604978716</v>
      </c>
      <c r="Z633" s="55">
        <f>IF(VLOOKUP(176,table_CIA_JCTS,25,FALSE)+VLOOKUP(173,table_CIA_JCTS,24,FALSE)&lt;VLOOKUP(173,table_CIA_JCTS,28,FALSE),VLOOKUP(173,table_CIA_JCTS,28,FALSE),VLOOKUP(176,table_CIA_JCTS,25,FALSE)+VLOOKUP(173,table_CIA_JCTS,24,FALSE))</f>
        <v>388.27202485936448</v>
      </c>
      <c r="AA633" s="55">
        <v>397.2</v>
      </c>
      <c r="AB633" s="55">
        <f>(AA633-0.5)-Z633</f>
        <v>8.4279751406355103</v>
      </c>
      <c r="AC633" s="57" t="s">
        <v>10</v>
      </c>
      <c r="AD633" t="s">
        <v>10</v>
      </c>
    </row>
    <row r="634" spans="2:30" x14ac:dyDescent="0.2">
      <c r="B634" s="216" t="s">
        <v>10</v>
      </c>
      <c r="C634" s="217" t="s">
        <v>10</v>
      </c>
      <c r="D634" s="54" t="s">
        <v>10</v>
      </c>
      <c r="E634" s="54" t="s">
        <v>10</v>
      </c>
      <c r="F634" s="55" t="s">
        <v>10</v>
      </c>
      <c r="G634" s="54" t="s">
        <v>10</v>
      </c>
      <c r="H634" s="54" t="s">
        <v>10</v>
      </c>
      <c r="I634" s="54" t="s">
        <v>10</v>
      </c>
      <c r="J634" s="54" t="s">
        <v>10</v>
      </c>
      <c r="K634" s="56" t="s">
        <v>10</v>
      </c>
      <c r="L634" s="53" t="s">
        <v>10</v>
      </c>
      <c r="M634" s="55" t="s">
        <v>10</v>
      </c>
      <c r="N634" s="53" t="s">
        <v>10</v>
      </c>
      <c r="O634" s="53" t="s">
        <v>10</v>
      </c>
      <c r="P634" s="53" t="s">
        <v>10</v>
      </c>
      <c r="Q634" s="55" t="s">
        <v>10</v>
      </c>
      <c r="R634" s="54" t="s">
        <v>10</v>
      </c>
      <c r="S634" s="53" t="s">
        <v>10</v>
      </c>
      <c r="T634" s="55" t="s">
        <v>10</v>
      </c>
      <c r="U634" s="56" t="s">
        <v>10</v>
      </c>
      <c r="V634" s="53" t="s">
        <v>10</v>
      </c>
      <c r="W634" s="53" t="s">
        <v>10</v>
      </c>
      <c r="X634" s="53" t="s">
        <v>10</v>
      </c>
      <c r="Y634" s="55" t="s">
        <v>10</v>
      </c>
      <c r="Z634" s="55" t="s">
        <v>10</v>
      </c>
      <c r="AA634" s="55" t="s">
        <v>10</v>
      </c>
      <c r="AB634" s="55" t="s">
        <v>10</v>
      </c>
      <c r="AC634" s="57" t="s">
        <v>10</v>
      </c>
      <c r="AD634" t="s">
        <v>10</v>
      </c>
    </row>
    <row r="635" spans="2:30" x14ac:dyDescent="0.2">
      <c r="B635" s="216" t="s">
        <v>10</v>
      </c>
      <c r="C635" s="215">
        <v>220</v>
      </c>
      <c r="D635" s="54">
        <f>VLOOKUP(C635,table_DI,2)</f>
        <v>19.43</v>
      </c>
      <c r="E635" s="54" t="s">
        <v>10</v>
      </c>
      <c r="F635" s="55">
        <f>VLOOKUP(C635,table_DI,5)</f>
        <v>0.71500257334019557</v>
      </c>
      <c r="G635" s="54">
        <f>VLOOKUP(C635,table_DI,3)</f>
        <v>12.6295</v>
      </c>
      <c r="H635" s="54" t="s">
        <v>10</v>
      </c>
      <c r="I635" s="54">
        <f>VLOOKUP(C635,table_DI,4)</f>
        <v>13.8925</v>
      </c>
      <c r="J635" s="54" t="s">
        <v>10</v>
      </c>
      <c r="K635" s="56">
        <f>VLOOKUP(C635,table_DI,9)</f>
        <v>2.1071428571428491E-3</v>
      </c>
      <c r="L635" s="53">
        <f>VLOOKUP(C635,table_DI,8)</f>
        <v>1400</v>
      </c>
      <c r="M635" s="55">
        <f>(0.84*(K635^0.5)*(cell_GUTDEP^0.6666)/cell_NRD)</f>
        <v>1.351650067816037</v>
      </c>
      <c r="N635" s="53">
        <f>VLOOKUP(C635,table_DI,10)</f>
        <v>15</v>
      </c>
      <c r="O635" s="53">
        <f>(L635/(M635*60))</f>
        <v>17.26285071034307</v>
      </c>
      <c r="P635" s="53">
        <f>N635+O635</f>
        <v>32.262850710343074</v>
      </c>
      <c r="Q635" s="55">
        <f>cell_P*(P635^cell_E)</f>
        <v>0.62929483997101476</v>
      </c>
      <c r="R635" s="54">
        <f>Q635*I635</f>
        <v>8.742478564297322</v>
      </c>
      <c r="S635" s="53" t="s">
        <v>10</v>
      </c>
      <c r="T635" s="55" t="s">
        <v>10</v>
      </c>
      <c r="U635" s="56" t="s">
        <v>10</v>
      </c>
      <c r="V635" s="53" t="s">
        <v>10</v>
      </c>
      <c r="W635" s="53" t="s">
        <v>10</v>
      </c>
      <c r="X635" s="53" t="s">
        <v>10</v>
      </c>
      <c r="Y635" s="55" t="s">
        <v>10</v>
      </c>
      <c r="Z635" s="55" t="s">
        <v>10</v>
      </c>
      <c r="AA635" s="55" t="s">
        <v>10</v>
      </c>
      <c r="AB635" s="55" t="s">
        <v>10</v>
      </c>
      <c r="AC635" s="57" t="s">
        <v>10</v>
      </c>
      <c r="AD635" t="s">
        <v>10</v>
      </c>
    </row>
    <row r="636" spans="2:30" x14ac:dyDescent="0.2">
      <c r="B636" s="216">
        <v>174</v>
      </c>
      <c r="C636" s="217" t="s">
        <v>10</v>
      </c>
      <c r="D636" s="54" t="s">
        <v>10</v>
      </c>
      <c r="E636" s="54">
        <f>+E593+D635</f>
        <v>22.62809</v>
      </c>
      <c r="F636" s="55" t="s">
        <v>10</v>
      </c>
      <c r="G636" s="54" t="s">
        <v>10</v>
      </c>
      <c r="H636" s="54">
        <f>+H593+G635</f>
        <v>14.707669750000001</v>
      </c>
      <c r="I636" s="54" t="s">
        <v>10</v>
      </c>
      <c r="J636" s="54">
        <f>+J593+I635</f>
        <v>16.179142200000001</v>
      </c>
      <c r="K636" s="56" t="s">
        <v>10</v>
      </c>
      <c r="L636" s="53" t="s">
        <v>10</v>
      </c>
      <c r="M636" s="55" t="s">
        <v>10</v>
      </c>
      <c r="N636" s="53" t="s">
        <v>10</v>
      </c>
      <c r="O636" s="53" t="s">
        <v>10</v>
      </c>
      <c r="P636" s="53">
        <f>VLOOKUP(220,table_CIA_INLETS,14,FALSE)</f>
        <v>32.262850710343074</v>
      </c>
      <c r="Q636" s="55">
        <f>cell_P*(P636^cell_E)</f>
        <v>0.62929483997101476</v>
      </c>
      <c r="R636" s="54">
        <f>J636*Q636</f>
        <v>10.181450701617292</v>
      </c>
      <c r="S636" s="320">
        <v>30</v>
      </c>
      <c r="T636" s="55">
        <f>(4*R636)/(3.14159*(S636/12)^2)</f>
        <v>2.0741498569307475</v>
      </c>
      <c r="U636" s="56">
        <f>((R636/((0.463135/cell_NP)*((S636/12)^(8/3))))^2)*cell_FF</f>
        <v>7.0866657968495265E-4</v>
      </c>
      <c r="V636" s="53">
        <v>490</v>
      </c>
      <c r="W636" s="53">
        <f>V636/(T636*60)</f>
        <v>3.9373561362395519</v>
      </c>
      <c r="X636" s="53">
        <f>W636+P636</f>
        <v>36.200206846582624</v>
      </c>
      <c r="Y636" s="55">
        <f>U636*V636</f>
        <v>0.34724662404562678</v>
      </c>
      <c r="Z636" s="55">
        <f>IF(VLOOKUP(176,table_CIA_JCTS,25,FALSE)+VLOOKUP(174,table_CIA_JCTS,24,FALSE)&lt;VLOOKUP(174,table_CIA_JCTS,28,FALSE),VLOOKUP(174,table_CIA_JCTS,28,FALSE),VLOOKUP(176,table_CIA_JCTS,25,FALSE)+VLOOKUP(174,table_CIA_JCTS,24,FALSE))</f>
        <v>386.98582262291222</v>
      </c>
      <c r="AA636" s="55">
        <v>393.75</v>
      </c>
      <c r="AB636" s="55">
        <f>(AA636-0.5)-Z636</f>
        <v>6.2641773770877762</v>
      </c>
      <c r="AC636" s="57" t="s">
        <v>10</v>
      </c>
      <c r="AD636" t="s">
        <v>10</v>
      </c>
    </row>
    <row r="637" spans="2:30" x14ac:dyDescent="0.2">
      <c r="B637" s="216" t="s">
        <v>10</v>
      </c>
      <c r="C637" s="217" t="s">
        <v>10</v>
      </c>
      <c r="D637" s="54" t="s">
        <v>10</v>
      </c>
      <c r="E637" s="54" t="s">
        <v>10</v>
      </c>
      <c r="F637" s="55" t="s">
        <v>10</v>
      </c>
      <c r="G637" s="54" t="s">
        <v>10</v>
      </c>
      <c r="H637" s="54" t="s">
        <v>10</v>
      </c>
      <c r="I637" s="54" t="s">
        <v>10</v>
      </c>
      <c r="J637" s="54" t="s">
        <v>10</v>
      </c>
      <c r="K637" s="56" t="s">
        <v>10</v>
      </c>
      <c r="L637" s="53" t="s">
        <v>10</v>
      </c>
      <c r="M637" s="55" t="s">
        <v>10</v>
      </c>
      <c r="N637" s="53" t="s">
        <v>10</v>
      </c>
      <c r="O637" s="53" t="s">
        <v>10</v>
      </c>
      <c r="P637" s="53" t="s">
        <v>10</v>
      </c>
      <c r="Q637" s="55" t="s">
        <v>10</v>
      </c>
      <c r="R637" s="54" t="s">
        <v>10</v>
      </c>
      <c r="S637" s="53" t="s">
        <v>10</v>
      </c>
      <c r="T637" s="55" t="s">
        <v>10</v>
      </c>
      <c r="U637" s="56" t="s">
        <v>10</v>
      </c>
      <c r="V637" s="53" t="s">
        <v>10</v>
      </c>
      <c r="W637" s="53" t="s">
        <v>10</v>
      </c>
      <c r="X637" s="53" t="s">
        <v>10</v>
      </c>
      <c r="Y637" s="55" t="s">
        <v>10</v>
      </c>
      <c r="Z637" s="55" t="s">
        <v>10</v>
      </c>
      <c r="AA637" s="55" t="s">
        <v>10</v>
      </c>
      <c r="AB637" s="55" t="s">
        <v>10</v>
      </c>
      <c r="AC637" s="57" t="s">
        <v>10</v>
      </c>
      <c r="AD637" t="s">
        <v>10</v>
      </c>
    </row>
    <row r="638" spans="2:30" x14ac:dyDescent="0.2">
      <c r="B638" s="216" t="s">
        <v>10</v>
      </c>
      <c r="C638" s="215">
        <v>221</v>
      </c>
      <c r="D638" s="54">
        <f>VLOOKUP(C638,table_DI,2)</f>
        <v>20.48</v>
      </c>
      <c r="E638" s="54" t="s">
        <v>10</v>
      </c>
      <c r="F638" s="55">
        <f>VLOOKUP(C638,table_DI,5)</f>
        <v>0.38399902343749998</v>
      </c>
      <c r="G638" s="54">
        <f>VLOOKUP(C638,table_DI,3)</f>
        <v>6.5536000000000003</v>
      </c>
      <c r="H638" s="54" t="s">
        <v>10</v>
      </c>
      <c r="I638" s="54">
        <f>VLOOKUP(C638,table_DI,4)</f>
        <v>7.8643000000000001</v>
      </c>
      <c r="J638" s="54" t="s">
        <v>10</v>
      </c>
      <c r="K638" s="56">
        <f>VLOOKUP(C638,table_DI,9)</f>
        <v>2.7428571428571493E-3</v>
      </c>
      <c r="L638" s="53">
        <f>VLOOKUP(C638,table_DI,8)</f>
        <v>1750</v>
      </c>
      <c r="M638" s="55">
        <f>(0.84*(K638^0.5)*(cell_GUTDEP^0.6666)/cell_NRD)</f>
        <v>1.5421225036937489</v>
      </c>
      <c r="N638" s="53">
        <f>VLOOKUP(C638,table_DI,10)</f>
        <v>20</v>
      </c>
      <c r="O638" s="53">
        <f>(L638/(M638*60))</f>
        <v>18.913326662963275</v>
      </c>
      <c r="P638" s="53">
        <f>N638+O638</f>
        <v>38.913326662963271</v>
      </c>
      <c r="Q638" s="55">
        <f>cell_P*(P638^cell_E)</f>
        <v>0.55960841003955231</v>
      </c>
      <c r="R638" s="54">
        <f>Q638*I638</f>
        <v>4.4009284190740514</v>
      </c>
      <c r="S638" s="53" t="s">
        <v>10</v>
      </c>
      <c r="T638" s="55" t="s">
        <v>10</v>
      </c>
      <c r="U638" s="56" t="s">
        <v>10</v>
      </c>
      <c r="V638" s="53" t="s">
        <v>10</v>
      </c>
      <c r="W638" s="53" t="s">
        <v>10</v>
      </c>
      <c r="X638" s="53" t="s">
        <v>10</v>
      </c>
      <c r="Y638" s="55" t="s">
        <v>10</v>
      </c>
      <c r="Z638" s="55" t="s">
        <v>10</v>
      </c>
      <c r="AA638" s="55" t="s">
        <v>10</v>
      </c>
      <c r="AB638" s="55" t="s">
        <v>10</v>
      </c>
      <c r="AC638" s="57" t="s">
        <v>10</v>
      </c>
      <c r="AD638" t="s">
        <v>10</v>
      </c>
    </row>
    <row r="639" spans="2:30" x14ac:dyDescent="0.2">
      <c r="B639" s="216" t="s">
        <v>10</v>
      </c>
      <c r="C639" s="215">
        <v>222</v>
      </c>
      <c r="D639" s="54">
        <f>VLOOKUP(C639,table_DI,2)</f>
        <v>1.75</v>
      </c>
      <c r="E639" s="54" t="s">
        <v>10</v>
      </c>
      <c r="F639" s="55">
        <f>VLOOKUP(C639,table_DI,5)</f>
        <v>0.38400000000000001</v>
      </c>
      <c r="G639" s="54">
        <f>VLOOKUP(C639,table_DI,3)</f>
        <v>0.56000000000000005</v>
      </c>
      <c r="H639" s="54" t="s">
        <v>10</v>
      </c>
      <c r="I639" s="54">
        <f>VLOOKUP(C639,table_DI,4)</f>
        <v>0.67200000000000004</v>
      </c>
      <c r="J639" s="54" t="s">
        <v>10</v>
      </c>
      <c r="K639" s="56">
        <f>VLOOKUP(C639,table_DI,9)</f>
        <v>4.8327137546468821E-3</v>
      </c>
      <c r="L639" s="53">
        <f>VLOOKUP(C639,table_DI,8)</f>
        <v>538</v>
      </c>
      <c r="M639" s="55">
        <f>(0.84*(K639^0.5)*(cell_GUTDEP^0.6666)/cell_NRD)</f>
        <v>2.0469763100408649</v>
      </c>
      <c r="N639" s="53">
        <f>VLOOKUP(C639,table_DI,10)</f>
        <v>20</v>
      </c>
      <c r="O639" s="53">
        <f>(L639/(M639*60))</f>
        <v>4.3804447675741107</v>
      </c>
      <c r="P639" s="53">
        <f>N639+O639</f>
        <v>24.380444767574112</v>
      </c>
      <c r="Q639" s="55">
        <f>cell_P*(P639^cell_E)</f>
        <v>0.74996044921225602</v>
      </c>
      <c r="R639" s="54">
        <f>Q639*I639</f>
        <v>0.5039734218706361</v>
      </c>
      <c r="S639" s="53" t="s">
        <v>10</v>
      </c>
      <c r="T639" s="55" t="s">
        <v>10</v>
      </c>
      <c r="U639" s="56" t="s">
        <v>10</v>
      </c>
      <c r="V639" s="53" t="s">
        <v>10</v>
      </c>
      <c r="W639" s="53" t="s">
        <v>10</v>
      </c>
      <c r="X639" s="53" t="s">
        <v>10</v>
      </c>
      <c r="Y639" s="55" t="s">
        <v>10</v>
      </c>
      <c r="Z639" s="55" t="s">
        <v>10</v>
      </c>
      <c r="AA639" s="55" t="s">
        <v>10</v>
      </c>
      <c r="AB639" s="55" t="s">
        <v>10</v>
      </c>
      <c r="AC639" s="57" t="s">
        <v>10</v>
      </c>
      <c r="AD639" t="s">
        <v>10</v>
      </c>
    </row>
    <row r="640" spans="2:30" x14ac:dyDescent="0.2">
      <c r="B640" s="216">
        <v>175</v>
      </c>
      <c r="C640" s="217" t="s">
        <v>10</v>
      </c>
      <c r="D640" s="54" t="s">
        <v>10</v>
      </c>
      <c r="E640" s="54">
        <f>VLOOKUP(221,table_CIA_INLETS,2,FALSE)+VLOOKUP(222,table_CIA_INLETS,2,FALSE)</f>
        <v>22.23</v>
      </c>
      <c r="F640" s="55" t="s">
        <v>10</v>
      </c>
      <c r="G640" s="54" t="s">
        <v>10</v>
      </c>
      <c r="H640" s="54">
        <f>VLOOKUP(221,table_CIA_INLETS,5,FALSE)+VLOOKUP(222,table_CIA_INLETS,5,FALSE)</f>
        <v>7.1135999999999999</v>
      </c>
      <c r="I640" s="54" t="s">
        <v>10</v>
      </c>
      <c r="J640" s="54">
        <f>VLOOKUP(221,table_CIA_INLETS,7,FALSE)+VLOOKUP(222,table_CIA_INLETS,7,FALSE)</f>
        <v>8.5363000000000007</v>
      </c>
      <c r="K640" s="56" t="s">
        <v>10</v>
      </c>
      <c r="L640" s="53" t="s">
        <v>10</v>
      </c>
      <c r="M640" s="55" t="s">
        <v>10</v>
      </c>
      <c r="N640" s="53" t="s">
        <v>10</v>
      </c>
      <c r="O640" s="53" t="s">
        <v>10</v>
      </c>
      <c r="P640" s="53">
        <f>VLOOKUP(221,table_CIA_INLETS,14,FALSE)</f>
        <v>38.913326662963271</v>
      </c>
      <c r="Q640" s="55">
        <f>cell_P*(P640^cell_E)</f>
        <v>0.55960841003955231</v>
      </c>
      <c r="R640" s="54">
        <f>J640*Q640</f>
        <v>4.7769852706206306</v>
      </c>
      <c r="S640" s="53">
        <v>18</v>
      </c>
      <c r="T640" s="55">
        <f>(4*R640)/(3.14159*(S640/12)^2)</f>
        <v>2.7032229727243595</v>
      </c>
      <c r="U640" s="56">
        <f>((R640/((0.463135/cell_NP)*((S640/12)^(8/3))))^2)*cell_FF</f>
        <v>2.3786128584805514E-3</v>
      </c>
      <c r="V640" s="53">
        <v>100</v>
      </c>
      <c r="W640" s="53">
        <f>V640/(T640*60)</f>
        <v>0.61654798123699295</v>
      </c>
      <c r="X640" s="53">
        <f>W640+P640</f>
        <v>39.529874644200262</v>
      </c>
      <c r="Y640" s="55">
        <f>U640*V640</f>
        <v>0.23786128584805513</v>
      </c>
      <c r="Z640" s="55">
        <f>IF(VLOOKUP(176,table_CIA_JCTS,25,FALSE)+VLOOKUP(175,table_CIA_JCTS,24,FALSE)&lt;VLOOKUP(175,table_CIA_JCTS,28,FALSE),VLOOKUP(175,table_CIA_JCTS,28,FALSE),VLOOKUP(176,table_CIA_JCTS,25,FALSE)+VLOOKUP(175,table_CIA_JCTS,24,FALSE))</f>
        <v>386.87643728471465</v>
      </c>
      <c r="AA640" s="55">
        <v>393.5</v>
      </c>
      <c r="AB640" s="55">
        <f>(AA640-0.5)-Z640</f>
        <v>6.1235627152853453</v>
      </c>
      <c r="AC640" s="57" t="s">
        <v>10</v>
      </c>
      <c r="AD640" t="s">
        <v>10</v>
      </c>
    </row>
    <row r="641" spans="2:30" x14ac:dyDescent="0.2">
      <c r="B641" s="216">
        <v>176</v>
      </c>
      <c r="C641" s="217" t="s">
        <v>10</v>
      </c>
      <c r="D641" s="54" t="s">
        <v>10</v>
      </c>
      <c r="E641" s="54">
        <f>VLOOKUP(173,table_CIA_JCTS,4,FALSE)+VLOOKUP(174,table_CIA_JCTS,4,FALSE)+VLOOKUP(175,table_CIA_JCTS,4,FALSE)</f>
        <v>144.79809</v>
      </c>
      <c r="F641" s="55" t="s">
        <v>10</v>
      </c>
      <c r="G641" s="54" t="s">
        <v>10</v>
      </c>
      <c r="H641" s="54">
        <f>VLOOKUP(173,table_CIA_JCTS,7,FALSE)+VLOOKUP(174,table_CIA_JCTS,7,FALSE)+VLOOKUP(175,table_CIA_JCTS,7,FALSE)</f>
        <v>74.572969749999984</v>
      </c>
      <c r="I641" s="54" t="s">
        <v>10</v>
      </c>
      <c r="J641" s="54">
        <f>VLOOKUP(173,table_CIA_JCTS,9,FALSE)+VLOOKUP(174,table_CIA_JCTS,9,FALSE)+VLOOKUP(175,table_CIA_JCTS,9,FALSE)</f>
        <v>84.550442200000006</v>
      </c>
      <c r="K641" s="56" t="s">
        <v>10</v>
      </c>
      <c r="L641" s="53" t="s">
        <v>10</v>
      </c>
      <c r="M641" s="55" t="s">
        <v>10</v>
      </c>
      <c r="N641" s="53" t="s">
        <v>10</v>
      </c>
      <c r="O641" s="53" t="s">
        <v>10</v>
      </c>
      <c r="P641" s="53">
        <f>VLOOKUP(173,table_CIA_JCTS,23,FALSE)</f>
        <v>45.926813840364673</v>
      </c>
      <c r="Q641" s="55">
        <f>cell_P*(P641^cell_E)</f>
        <v>0.50444973426093564</v>
      </c>
      <c r="R641" s="54">
        <f>J641*Q641</f>
        <v>42.651448099434603</v>
      </c>
      <c r="S641" s="53">
        <v>42</v>
      </c>
      <c r="T641" s="55">
        <f>(4*R641)/(3.14159*(S641/12)^2)</f>
        <v>4.4331066310498413</v>
      </c>
      <c r="U641" s="56">
        <f>((R641/((0.463135/cell_NP)*((S641/12)^(8/3))))^2)*cell_FF</f>
        <v>2.0670008956901E-3</v>
      </c>
      <c r="V641" s="53">
        <v>1260</v>
      </c>
      <c r="W641" s="53">
        <f>V641/(T641*60)</f>
        <v>4.7370843401136087</v>
      </c>
      <c r="X641" s="53">
        <f>W641+P641</f>
        <v>50.663898180478284</v>
      </c>
      <c r="Y641" s="55">
        <f>U641*V641</f>
        <v>2.604421128569526</v>
      </c>
      <c r="Z641" s="55">
        <f>IF(VLOOKUP(178,table_CIA_JCTS,25,FALSE)+VLOOKUP(176,table_CIA_JCTS,24,FALSE)&lt;VLOOKUP(176,table_CIA_JCTS,28,FALSE),VLOOKUP(176,table_CIA_JCTS,28,FALSE),VLOOKUP(178,table_CIA_JCTS,25,FALSE)+VLOOKUP(176,table_CIA_JCTS,24,FALSE))</f>
        <v>386.6385759988666</v>
      </c>
      <c r="AA641" s="55">
        <v>394.7</v>
      </c>
      <c r="AB641" s="55">
        <f>(AA641-0.5)-Z641</f>
        <v>7.5614240011333891</v>
      </c>
      <c r="AC641" s="57" t="s">
        <v>10</v>
      </c>
      <c r="AD641" t="s">
        <v>10</v>
      </c>
    </row>
    <row r="642" spans="2:30" x14ac:dyDescent="0.2">
      <c r="B642" s="216" t="s">
        <v>10</v>
      </c>
      <c r="C642" s="217" t="s">
        <v>10</v>
      </c>
      <c r="D642" s="54" t="s">
        <v>10</v>
      </c>
      <c r="E642" s="54" t="s">
        <v>10</v>
      </c>
      <c r="F642" s="55" t="s">
        <v>10</v>
      </c>
      <c r="G642" s="54" t="s">
        <v>10</v>
      </c>
      <c r="H642" s="54" t="s">
        <v>10</v>
      </c>
      <c r="I642" s="54" t="s">
        <v>10</v>
      </c>
      <c r="J642" s="54" t="s">
        <v>10</v>
      </c>
      <c r="K642" s="56" t="s">
        <v>10</v>
      </c>
      <c r="L642" s="53" t="s">
        <v>10</v>
      </c>
      <c r="M642" s="55" t="s">
        <v>10</v>
      </c>
      <c r="N642" s="53" t="s">
        <v>10</v>
      </c>
      <c r="O642" s="53" t="s">
        <v>10</v>
      </c>
      <c r="P642" s="53" t="s">
        <v>10</v>
      </c>
      <c r="Q642" s="55" t="s">
        <v>10</v>
      </c>
      <c r="R642" s="54" t="s">
        <v>10</v>
      </c>
      <c r="S642" s="53" t="s">
        <v>10</v>
      </c>
      <c r="T642" s="55" t="s">
        <v>10</v>
      </c>
      <c r="U642" s="56" t="s">
        <v>10</v>
      </c>
      <c r="V642" s="53" t="s">
        <v>10</v>
      </c>
      <c r="W642" s="53" t="s">
        <v>10</v>
      </c>
      <c r="X642" s="53" t="s">
        <v>10</v>
      </c>
      <c r="Y642" s="55" t="s">
        <v>10</v>
      </c>
      <c r="Z642" s="55" t="s">
        <v>10</v>
      </c>
      <c r="AA642" s="55" t="s">
        <v>10</v>
      </c>
      <c r="AB642" s="55" t="s">
        <v>10</v>
      </c>
      <c r="AC642" s="57" t="s">
        <v>10</v>
      </c>
      <c r="AD642" t="s">
        <v>10</v>
      </c>
    </row>
    <row r="643" spans="2:30" x14ac:dyDescent="0.2">
      <c r="B643" s="216" t="s">
        <v>10</v>
      </c>
      <c r="C643" s="215">
        <v>223</v>
      </c>
      <c r="D643" s="54">
        <f>VLOOKUP(C643,table_DI,2)</f>
        <v>9.0500000000000007</v>
      </c>
      <c r="E643" s="54" t="s">
        <v>10</v>
      </c>
      <c r="F643" s="55">
        <f>VLOOKUP(C643,table_DI,5)</f>
        <v>0.38399999999999995</v>
      </c>
      <c r="G643" s="54">
        <f>VLOOKUP(C643,table_DI,3)</f>
        <v>2.8959999999999999</v>
      </c>
      <c r="H643" s="54" t="s">
        <v>10</v>
      </c>
      <c r="I643" s="54">
        <f>VLOOKUP(C643,table_DI,4)</f>
        <v>3.4752000000000001</v>
      </c>
      <c r="J643" s="54" t="s">
        <v>10</v>
      </c>
      <c r="K643" s="56">
        <f>VLOOKUP(C643,table_DI,9)</f>
        <v>3.7219251336898592E-3</v>
      </c>
      <c r="L643" s="53">
        <f>VLOOKUP(C643,table_DI,8)</f>
        <v>935</v>
      </c>
      <c r="M643" s="55">
        <f>(0.84*(K643^0.5)*(cell_GUTDEP^0.6666)/cell_NRD)</f>
        <v>1.7963919363072651</v>
      </c>
      <c r="N643" s="53">
        <f>VLOOKUP(C643,table_DI,10)</f>
        <v>20</v>
      </c>
      <c r="O643" s="53">
        <f>(L643/(M643*60))</f>
        <v>8.6747958607335178</v>
      </c>
      <c r="P643" s="53">
        <f>N643+O643</f>
        <v>28.674795860733518</v>
      </c>
      <c r="Q643" s="55">
        <f>cell_P*(P643^cell_E)</f>
        <v>0.67751219363662007</v>
      </c>
      <c r="R643" s="54">
        <f>Q643*I643</f>
        <v>2.354490375325982</v>
      </c>
      <c r="S643" s="53" t="s">
        <v>10</v>
      </c>
      <c r="T643" s="55" t="s">
        <v>10</v>
      </c>
      <c r="U643" s="56" t="s">
        <v>10</v>
      </c>
      <c r="V643" s="53" t="s">
        <v>10</v>
      </c>
      <c r="W643" s="53" t="s">
        <v>10</v>
      </c>
      <c r="X643" s="53" t="s">
        <v>10</v>
      </c>
      <c r="Y643" s="55" t="s">
        <v>10</v>
      </c>
      <c r="Z643" s="55" t="s">
        <v>10</v>
      </c>
      <c r="AA643" s="55" t="s">
        <v>10</v>
      </c>
      <c r="AB643" s="55" t="s">
        <v>10</v>
      </c>
      <c r="AC643" s="57" t="s">
        <v>10</v>
      </c>
      <c r="AD643" t="s">
        <v>10</v>
      </c>
    </row>
    <row r="644" spans="2:30" x14ac:dyDescent="0.2">
      <c r="B644" s="216" t="s">
        <v>10</v>
      </c>
      <c r="C644" s="215">
        <v>224</v>
      </c>
      <c r="D644" s="54">
        <f>VLOOKUP(C644,table_DI,2)</f>
        <v>6.57</v>
      </c>
      <c r="E644" s="54" t="s">
        <v>10</v>
      </c>
      <c r="F644" s="55">
        <f>VLOOKUP(C644,table_DI,5)</f>
        <v>0.38400304414003039</v>
      </c>
      <c r="G644" s="54">
        <f>VLOOKUP(C644,table_DI,3)</f>
        <v>2.1023999999999998</v>
      </c>
      <c r="H644" s="54" t="s">
        <v>10</v>
      </c>
      <c r="I644" s="54">
        <f>VLOOKUP(C644,table_DI,4)</f>
        <v>2.5228999999999999</v>
      </c>
      <c r="J644" s="54" t="s">
        <v>10</v>
      </c>
      <c r="K644" s="56">
        <f>VLOOKUP(C644,table_DI,9)</f>
        <v>3.0373831775701199E-3</v>
      </c>
      <c r="L644" s="53">
        <f>VLOOKUP(C644,table_DI,8)</f>
        <v>856</v>
      </c>
      <c r="M644" s="55">
        <f>(0.84*(K644^0.5)*(cell_GUTDEP^0.6666)/cell_NRD)</f>
        <v>1.6228077460620658</v>
      </c>
      <c r="N644" s="53">
        <f>VLOOKUP(C644,table_DI,10)</f>
        <v>20</v>
      </c>
      <c r="O644" s="53">
        <f>(L644/(M644*60))</f>
        <v>8.7913474046980706</v>
      </c>
      <c r="P644" s="53">
        <f>N644+O644</f>
        <v>28.791347404698072</v>
      </c>
      <c r="Q644" s="55">
        <f>cell_P*(P644^cell_E)</f>
        <v>0.67579343342015652</v>
      </c>
      <c r="R644" s="54">
        <f>Q644*I644</f>
        <v>1.7049592531757127</v>
      </c>
      <c r="S644" s="53" t="s">
        <v>10</v>
      </c>
      <c r="T644" s="55" t="s">
        <v>10</v>
      </c>
      <c r="U644" s="56" t="s">
        <v>10</v>
      </c>
      <c r="V644" s="53" t="s">
        <v>10</v>
      </c>
      <c r="W644" s="53" t="s">
        <v>10</v>
      </c>
      <c r="X644" s="53" t="s">
        <v>10</v>
      </c>
      <c r="Y644" s="55" t="s">
        <v>10</v>
      </c>
      <c r="Z644" s="55" t="s">
        <v>10</v>
      </c>
      <c r="AA644" s="55" t="s">
        <v>10</v>
      </c>
      <c r="AB644" s="55" t="s">
        <v>10</v>
      </c>
      <c r="AC644" s="57" t="s">
        <v>10</v>
      </c>
      <c r="AD644" t="s">
        <v>10</v>
      </c>
    </row>
    <row r="645" spans="2:30" x14ac:dyDescent="0.2">
      <c r="B645" s="216">
        <v>177</v>
      </c>
      <c r="C645" s="217" t="s">
        <v>10</v>
      </c>
      <c r="D645" s="54" t="s">
        <v>10</v>
      </c>
      <c r="E645" s="54">
        <f>VLOOKUP(223,table_CIA_INLETS,2,FALSE)+VLOOKUP(224,table_CIA_INLETS,2,FALSE)</f>
        <v>15.620000000000001</v>
      </c>
      <c r="F645" s="55" t="s">
        <v>10</v>
      </c>
      <c r="G645" s="54" t="s">
        <v>10</v>
      </c>
      <c r="H645" s="54">
        <f>VLOOKUP(223,table_CIA_INLETS,5,FALSE)+VLOOKUP(224,table_CIA_INLETS,5,FALSE)</f>
        <v>4.9984000000000002</v>
      </c>
      <c r="I645" s="54" t="s">
        <v>10</v>
      </c>
      <c r="J645" s="54">
        <f>VLOOKUP(223,table_CIA_INLETS,7,FALSE)+VLOOKUP(224,table_CIA_INLETS,7,FALSE)</f>
        <v>5.9981</v>
      </c>
      <c r="K645" s="56" t="s">
        <v>10</v>
      </c>
      <c r="L645" s="53" t="s">
        <v>10</v>
      </c>
      <c r="M645" s="55" t="s">
        <v>10</v>
      </c>
      <c r="N645" s="53" t="s">
        <v>10</v>
      </c>
      <c r="O645" s="53" t="s">
        <v>10</v>
      </c>
      <c r="P645" s="53">
        <f>VLOOKUP(223,table_CIA_INLETS,14,FALSE)</f>
        <v>28.674795860733518</v>
      </c>
      <c r="Q645" s="55">
        <f>cell_P*(P645^cell_E)</f>
        <v>0.67751219363662007</v>
      </c>
      <c r="R645" s="54">
        <f>J645*Q645</f>
        <v>4.063785888651811</v>
      </c>
      <c r="S645" s="53">
        <v>18</v>
      </c>
      <c r="T645" s="55">
        <f>(4*R645)/(3.14159*(S645/12)^2)</f>
        <v>2.2996343400927901</v>
      </c>
      <c r="U645" s="56">
        <f>((R645/((0.463135/cell_NP)*((S645/12)^(8/3))))^2)*cell_FF</f>
        <v>1.7213833334326744E-3</v>
      </c>
      <c r="V645" s="53">
        <v>220</v>
      </c>
      <c r="W645" s="53">
        <f>V645/(T645*60)</f>
        <v>1.5944563893226245</v>
      </c>
      <c r="X645" s="53">
        <f>W645+P645</f>
        <v>30.269252250056141</v>
      </c>
      <c r="Y645" s="55">
        <f>U645*V645</f>
        <v>0.37870433335518838</v>
      </c>
      <c r="Z645" s="55">
        <f>IF(VLOOKUP(178,table_CIA_JCTS,25,FALSE)+VLOOKUP(177,table_CIA_JCTS,24,FALSE)&lt;VLOOKUP(177,table_CIA_JCTS,28,FALSE),VLOOKUP(177,table_CIA_JCTS,28,FALSE),VLOOKUP(178,table_CIA_JCTS,25,FALSE)+VLOOKUP(177,table_CIA_JCTS,24,FALSE))</f>
        <v>384.41285920365226</v>
      </c>
      <c r="AA645" s="55">
        <v>391.7</v>
      </c>
      <c r="AB645" s="55">
        <f>(AA645-0.5)-Z645</f>
        <v>6.7871407963477282</v>
      </c>
      <c r="AC645" s="57" t="s">
        <v>10</v>
      </c>
      <c r="AD645" t="s">
        <v>10</v>
      </c>
    </row>
    <row r="646" spans="2:30" x14ac:dyDescent="0.2">
      <c r="B646" s="216" t="s">
        <v>10</v>
      </c>
      <c r="C646" s="215">
        <v>225</v>
      </c>
      <c r="D646" s="54">
        <f>VLOOKUP(C646,table_DI,2)</f>
        <v>3</v>
      </c>
      <c r="E646" s="54" t="s">
        <v>10</v>
      </c>
      <c r="F646" s="55">
        <f>VLOOKUP(C646,table_DI,5)</f>
        <v>0.9</v>
      </c>
      <c r="G646" s="54">
        <f>VLOOKUP(C646,table_DI,3)</f>
        <v>2.7</v>
      </c>
      <c r="H646" s="54" t="s">
        <v>10</v>
      </c>
      <c r="I646" s="54">
        <f>VLOOKUP(C646,table_DI,4)</f>
        <v>2.7</v>
      </c>
      <c r="J646" s="54" t="s">
        <v>10</v>
      </c>
      <c r="K646" s="56">
        <f>VLOOKUP(C646,table_DI,9)</f>
        <v>2.1234567901234438E-3</v>
      </c>
      <c r="L646" s="53">
        <f>VLOOKUP(C646,table_DI,8)</f>
        <v>1215</v>
      </c>
      <c r="M646" s="55">
        <f>(0.84*(K646^0.5)*(cell_GUTDEP^0.6666)/cell_NRD)</f>
        <v>1.3568723555815974</v>
      </c>
      <c r="N646" s="53">
        <f>VLOOKUP(C646,table_DI,10)</f>
        <v>5</v>
      </c>
      <c r="O646" s="53">
        <f>(L646/(M646*60))</f>
        <v>14.924027243019646</v>
      </c>
      <c r="P646" s="53">
        <f>N646+O646</f>
        <v>19.924027243019644</v>
      </c>
      <c r="Q646" s="55">
        <f>cell_P*(P646^cell_E)</f>
        <v>0.85100844275259058</v>
      </c>
      <c r="R646" s="54">
        <f>Q646*I646</f>
        <v>2.2977227954319948</v>
      </c>
      <c r="S646" s="53" t="s">
        <v>10</v>
      </c>
      <c r="T646" s="55" t="s">
        <v>10</v>
      </c>
      <c r="U646" s="56" t="s">
        <v>10</v>
      </c>
      <c r="V646" s="53" t="s">
        <v>10</v>
      </c>
      <c r="W646" s="53" t="s">
        <v>10</v>
      </c>
      <c r="X646" s="53" t="s">
        <v>10</v>
      </c>
      <c r="Y646" s="55" t="s">
        <v>10</v>
      </c>
      <c r="Z646" s="55" t="s">
        <v>10</v>
      </c>
      <c r="AA646" s="55" t="s">
        <v>10</v>
      </c>
      <c r="AB646" s="55" t="s">
        <v>10</v>
      </c>
      <c r="AC646" s="57" t="s">
        <v>10</v>
      </c>
      <c r="AD646" t="s">
        <v>10</v>
      </c>
    </row>
    <row r="647" spans="2:30" x14ac:dyDescent="0.2">
      <c r="B647" s="216">
        <v>178</v>
      </c>
      <c r="C647" s="217" t="s">
        <v>10</v>
      </c>
      <c r="D647" s="54" t="s">
        <v>10</v>
      </c>
      <c r="E647" s="54">
        <f>VLOOKUP(176,table_CIA_JCTS,4,FALSE)+VLOOKUP(177,table_CIA_JCTS,4,FALSE)+VLOOKUP(225,table_CIA_INLETS,2,FALSE)</f>
        <v>163.41809000000001</v>
      </c>
      <c r="F647" s="55" t="s">
        <v>10</v>
      </c>
      <c r="G647" s="54" t="s">
        <v>10</v>
      </c>
      <c r="H647" s="54">
        <f>VLOOKUP(176,table_CIA_JCTS,7,FALSE)+VLOOKUP(177,table_CIA_JCTS,7,FALSE)+VLOOKUP(225,table_CIA_INLETS,5,FALSE)</f>
        <v>82.271369749999991</v>
      </c>
      <c r="I647" s="54" t="s">
        <v>10</v>
      </c>
      <c r="J647" s="54">
        <f>VLOOKUP(176,table_CIA_JCTS,9,FALSE)+VLOOKUP(177,table_CIA_JCTS,9,FALSE)+VLOOKUP(225,table_CIA_INLETS,7,FALSE)</f>
        <v>93.248542200000003</v>
      </c>
      <c r="K647" s="56" t="s">
        <v>10</v>
      </c>
      <c r="L647" s="53" t="s">
        <v>10</v>
      </c>
      <c r="M647" s="55" t="s">
        <v>10</v>
      </c>
      <c r="N647" s="53" t="s">
        <v>10</v>
      </c>
      <c r="O647" s="53" t="s">
        <v>10</v>
      </c>
      <c r="P647" s="53">
        <f>VLOOKUP(176,table_CIA_JCTS,23,FALSE)</f>
        <v>50.663898180478284</v>
      </c>
      <c r="Q647" s="55">
        <f>cell_P*(P647^cell_E)</f>
        <v>0.47437474615363112</v>
      </c>
      <c r="R647" s="54">
        <f>J647*Q647</f>
        <v>44.234753535321161</v>
      </c>
      <c r="S647" s="53">
        <v>48</v>
      </c>
      <c r="T647" s="55">
        <f>(4*R647)/(3.14159*(S647/12)^2)</f>
        <v>3.5200928140942294</v>
      </c>
      <c r="U647" s="56">
        <f>((R647/((0.463135/cell_NP)*((S647/12)^(8/3))))^2)*cell_FF</f>
        <v>1.0907116271977565E-3</v>
      </c>
      <c r="V647" s="53">
        <v>93</v>
      </c>
      <c r="W647" s="53">
        <f>V647/(T647*60)</f>
        <v>0.4403292986463021</v>
      </c>
      <c r="X647" s="53">
        <f>W647+P647</f>
        <v>51.104227479124589</v>
      </c>
      <c r="Y647" s="55">
        <f>U647*V647</f>
        <v>0.10143618132939135</v>
      </c>
      <c r="Z647" s="55">
        <f>IF(VLOOKUP(180.1,table_CIA_JCTS,25,FALSE)+VLOOKUP(178,table_CIA_JCTS,24,FALSE)&lt;VLOOKUP(178,table_CIA_JCTS,28,FALSE),VLOOKUP(178,table_CIA_JCTS,28,FALSE),VLOOKUP(180.1,table_CIA_JCTS,25,FALSE)+VLOOKUP(178,table_CIA_JCTS,24,FALSE))</f>
        <v>384.03415487029707</v>
      </c>
      <c r="AA647" s="55">
        <v>391.92</v>
      </c>
      <c r="AB647" s="55">
        <f>(AA647-0.5)-Z647</f>
        <v>7.3858451297029433</v>
      </c>
      <c r="AC647" s="57">
        <v>383.28</v>
      </c>
      <c r="AD647" t="s">
        <v>477</v>
      </c>
    </row>
    <row r="648" spans="2:30" x14ac:dyDescent="0.2">
      <c r="B648" s="216" t="s">
        <v>10</v>
      </c>
      <c r="C648" s="217" t="s">
        <v>10</v>
      </c>
      <c r="D648" s="54" t="s">
        <v>10</v>
      </c>
      <c r="E648" s="54" t="s">
        <v>10</v>
      </c>
      <c r="F648" s="55" t="s">
        <v>10</v>
      </c>
      <c r="G648" s="54" t="s">
        <v>10</v>
      </c>
      <c r="H648" s="54" t="s">
        <v>10</v>
      </c>
      <c r="I648" s="54" t="s">
        <v>10</v>
      </c>
      <c r="J648" s="54" t="s">
        <v>10</v>
      </c>
      <c r="K648" s="56" t="s">
        <v>10</v>
      </c>
      <c r="L648" s="53" t="s">
        <v>10</v>
      </c>
      <c r="M648" s="55" t="s">
        <v>10</v>
      </c>
      <c r="N648" s="53" t="s">
        <v>10</v>
      </c>
      <c r="O648" s="53" t="s">
        <v>10</v>
      </c>
      <c r="P648" s="53" t="s">
        <v>10</v>
      </c>
      <c r="Q648" s="55" t="s">
        <v>10</v>
      </c>
      <c r="R648" s="54" t="s">
        <v>10</v>
      </c>
      <c r="S648" s="53" t="s">
        <v>10</v>
      </c>
      <c r="T648" s="55" t="s">
        <v>10</v>
      </c>
      <c r="U648" s="56" t="s">
        <v>10</v>
      </c>
      <c r="V648" s="53" t="s">
        <v>10</v>
      </c>
      <c r="W648" s="53" t="s">
        <v>10</v>
      </c>
      <c r="X648" s="53" t="s">
        <v>10</v>
      </c>
      <c r="Y648" s="55" t="s">
        <v>10</v>
      </c>
      <c r="Z648" s="55" t="s">
        <v>10</v>
      </c>
      <c r="AA648" s="55" t="s">
        <v>10</v>
      </c>
      <c r="AB648" s="55" t="s">
        <v>10</v>
      </c>
      <c r="AC648" s="57" t="s">
        <v>10</v>
      </c>
      <c r="AD648" t="s">
        <v>10</v>
      </c>
    </row>
    <row r="649" spans="2:30" x14ac:dyDescent="0.2">
      <c r="B649" s="216" t="s">
        <v>10</v>
      </c>
      <c r="C649" s="215">
        <v>226</v>
      </c>
      <c r="D649" s="54">
        <f>VLOOKUP(C649,table_DI,2)</f>
        <v>5.24</v>
      </c>
      <c r="E649" s="54" t="s">
        <v>10</v>
      </c>
      <c r="F649" s="55">
        <f>VLOOKUP(C649,table_DI,5)</f>
        <v>0.84</v>
      </c>
      <c r="G649" s="54">
        <f>VLOOKUP(C649,table_DI,3)</f>
        <v>3.6680000000000001</v>
      </c>
      <c r="H649" s="54" t="s">
        <v>10</v>
      </c>
      <c r="I649" s="54">
        <f>VLOOKUP(C649,table_DI,4)</f>
        <v>4.4016000000000002</v>
      </c>
      <c r="J649" s="54" t="s">
        <v>10</v>
      </c>
      <c r="K649" s="56">
        <f>VLOOKUP(C649,table_DI,9)</f>
        <v>6.4150943396225719E-3</v>
      </c>
      <c r="L649" s="53">
        <f>VLOOKUP(C649,table_DI,8)</f>
        <v>424</v>
      </c>
      <c r="M649" s="55">
        <f>(0.84*(K649^0.5)*(cell_GUTDEP^0.6666)/cell_NRD)</f>
        <v>2.3584072655121333</v>
      </c>
      <c r="N649" s="53">
        <f>VLOOKUP(C649,table_DI,10)</f>
        <v>10</v>
      </c>
      <c r="O649" s="53">
        <f>(L649/(M649*60))</f>
        <v>2.9963724968139145</v>
      </c>
      <c r="P649" s="53">
        <f>N649+O649</f>
        <v>12.996372496813915</v>
      </c>
      <c r="Q649" s="55">
        <f t="shared" ref="Q649:Q654" si="42">cell_P*(P649^cell_E)</f>
        <v>1.1120604485753689</v>
      </c>
      <c r="R649" s="54">
        <f>Q649*I649</f>
        <v>4.8948452704493439</v>
      </c>
      <c r="S649" s="53" t="s">
        <v>10</v>
      </c>
      <c r="T649" s="55" t="s">
        <v>10</v>
      </c>
      <c r="U649" s="56" t="s">
        <v>10</v>
      </c>
      <c r="V649" s="53" t="s">
        <v>10</v>
      </c>
      <c r="W649" s="53" t="s">
        <v>10</v>
      </c>
      <c r="X649" s="53" t="s">
        <v>10</v>
      </c>
      <c r="Y649" s="55" t="s">
        <v>10</v>
      </c>
      <c r="Z649" s="55" t="s">
        <v>10</v>
      </c>
      <c r="AA649" s="55" t="s">
        <v>10</v>
      </c>
      <c r="AB649" s="55" t="s">
        <v>10</v>
      </c>
      <c r="AC649" s="57" t="s">
        <v>10</v>
      </c>
      <c r="AD649" t="s">
        <v>10</v>
      </c>
    </row>
    <row r="650" spans="2:30" x14ac:dyDescent="0.2">
      <c r="B650" s="216" t="s">
        <v>10</v>
      </c>
      <c r="C650" s="215">
        <v>227</v>
      </c>
      <c r="D650" s="54">
        <f>VLOOKUP(C650,table_DI,2)</f>
        <v>1.67</v>
      </c>
      <c r="E650" s="54" t="s">
        <v>10</v>
      </c>
      <c r="F650" s="55">
        <f>VLOOKUP(C650,table_DI,5)</f>
        <v>0.9</v>
      </c>
      <c r="G650" s="54">
        <f>VLOOKUP(C650,table_DI,3)</f>
        <v>1.5029999999999999</v>
      </c>
      <c r="H650" s="54" t="s">
        <v>10</v>
      </c>
      <c r="I650" s="54">
        <f>VLOOKUP(C650,table_DI,4)</f>
        <v>1.5029999999999999</v>
      </c>
      <c r="J650" s="54" t="s">
        <v>10</v>
      </c>
      <c r="K650" s="56">
        <f>VLOOKUP(C650,table_DI,9)</f>
        <v>3.0789133247089203E-3</v>
      </c>
      <c r="L650" s="53">
        <f>VLOOKUP(C650,table_DI,8)</f>
        <v>773</v>
      </c>
      <c r="M650" s="55">
        <f>(0.84*(K650^0.5)*(cell_GUTDEP^0.6666)/cell_NRD)</f>
        <v>1.633864406952843</v>
      </c>
      <c r="N650" s="53">
        <f>VLOOKUP(C650,table_DI,10)</f>
        <v>5</v>
      </c>
      <c r="O650" s="53">
        <f>(L650/(M650*60))</f>
        <v>7.8851912548610743</v>
      </c>
      <c r="P650" s="53">
        <f>N650+O650</f>
        <v>12.885191254861073</v>
      </c>
      <c r="Q650" s="55">
        <f t="shared" si="42"/>
        <v>1.1180595184668949</v>
      </c>
      <c r="R650" s="54">
        <f>Q650*I650</f>
        <v>1.6804434562557429</v>
      </c>
      <c r="S650" s="53" t="s">
        <v>10</v>
      </c>
      <c r="T650" s="55" t="s">
        <v>10</v>
      </c>
      <c r="U650" s="56" t="s">
        <v>10</v>
      </c>
      <c r="V650" s="53" t="s">
        <v>10</v>
      </c>
      <c r="W650" s="53" t="s">
        <v>10</v>
      </c>
      <c r="X650" s="53" t="s">
        <v>10</v>
      </c>
      <c r="Y650" s="55" t="s">
        <v>10</v>
      </c>
      <c r="Z650" s="55" t="s">
        <v>10</v>
      </c>
      <c r="AA650" s="55" t="s">
        <v>10</v>
      </c>
      <c r="AB650" s="55" t="s">
        <v>10</v>
      </c>
      <c r="AC650" s="57" t="s">
        <v>10</v>
      </c>
      <c r="AD650" t="s">
        <v>10</v>
      </c>
    </row>
    <row r="651" spans="2:30" x14ac:dyDescent="0.2">
      <c r="B651" s="216">
        <v>179</v>
      </c>
      <c r="C651" s="217" t="s">
        <v>10</v>
      </c>
      <c r="D651" s="54" t="s">
        <v>10</v>
      </c>
      <c r="E651" s="54">
        <f>VLOOKUP(226,table_CIA_INLETS,2,FALSE)+VLOOKUP(227,table_CIA_INLETS,2,FALSE)</f>
        <v>6.91</v>
      </c>
      <c r="F651" s="55" t="s">
        <v>10</v>
      </c>
      <c r="G651" s="54" t="s">
        <v>10</v>
      </c>
      <c r="H651" s="54">
        <f>VLOOKUP(226,table_CIA_INLETS,5,FALSE)+VLOOKUP(227,table_CIA_INLETS,5,FALSE)</f>
        <v>5.1710000000000003</v>
      </c>
      <c r="I651" s="54" t="s">
        <v>10</v>
      </c>
      <c r="J651" s="54">
        <f>VLOOKUP(226,table_CIA_INLETS,7,FALSE)+VLOOKUP(227,table_CIA_INLETS,7,FALSE)</f>
        <v>5.9046000000000003</v>
      </c>
      <c r="K651" s="56" t="s">
        <v>10</v>
      </c>
      <c r="L651" s="53" t="s">
        <v>10</v>
      </c>
      <c r="M651" s="55" t="s">
        <v>10</v>
      </c>
      <c r="N651" s="53" t="s">
        <v>10</v>
      </c>
      <c r="O651" s="53" t="s">
        <v>10</v>
      </c>
      <c r="P651" s="53">
        <f>VLOOKUP(226,table_CIA_INLETS,14,FALSE)</f>
        <v>12.996372496813915</v>
      </c>
      <c r="Q651" s="55">
        <f t="shared" si="42"/>
        <v>1.1120604485753689</v>
      </c>
      <c r="R651" s="54">
        <f>J651*Q651</f>
        <v>6.5662721246581235</v>
      </c>
      <c r="S651" s="53">
        <v>24</v>
      </c>
      <c r="T651" s="55">
        <f>(4*R651)/(3.14159*(S651/12)^2)</f>
        <v>2.0901110980930433</v>
      </c>
      <c r="U651" s="56">
        <f>((R651/((0.463135/cell_NP)*((S651/12)^(8/3))))^2)*cell_FF</f>
        <v>9.6897770291581907E-4</v>
      </c>
      <c r="V651" s="53">
        <v>245</v>
      </c>
      <c r="W651" s="53">
        <f>V651/(T651*60)</f>
        <v>1.9536441565517011</v>
      </c>
      <c r="X651" s="53">
        <f>W651+P651</f>
        <v>14.950016653365616</v>
      </c>
      <c r="Y651" s="55">
        <f>U651*V651</f>
        <v>0.23739953721437568</v>
      </c>
      <c r="Z651" s="55">
        <f>IF(VLOOKUP(180.1,table_CIA_JCTS,25,FALSE)+VLOOKUP(179,table_CIA_JCTS,24,FALSE)&lt;VLOOKUP(179,table_CIA_JCTS,28,FALSE),VLOOKUP(179,table_CIA_JCTS,28,FALSE),VLOOKUP(180.1,table_CIA_JCTS,25,FALSE)+VLOOKUP(179,table_CIA_JCTS,24,FALSE))</f>
        <v>384.17011822618207</v>
      </c>
      <c r="AA651" s="55">
        <v>390.5</v>
      </c>
      <c r="AB651" s="55">
        <f>(AA651-0.5)-Z651</f>
        <v>5.8298817738179309</v>
      </c>
      <c r="AC651" s="57">
        <v>383.39</v>
      </c>
      <c r="AD651" t="s">
        <v>456</v>
      </c>
    </row>
    <row r="652" spans="2:30" x14ac:dyDescent="0.2">
      <c r="B652" s="216">
        <v>180</v>
      </c>
      <c r="C652" s="217" t="s">
        <v>10</v>
      </c>
      <c r="D652" s="54" t="s">
        <v>10</v>
      </c>
      <c r="E652" s="54">
        <f>VLOOKUP(165,table_CIA_JCTS,4,FALSE)+VLOOKUP(178,table_CIA_JCTS,4,FALSE)+VLOOKUP(179,table_CIA_JCTS,4,FALSE)</f>
        <v>241.93</v>
      </c>
      <c r="F652" s="55" t="s">
        <v>10</v>
      </c>
      <c r="G652" s="54" t="s">
        <v>10</v>
      </c>
      <c r="H652" s="54">
        <f>VLOOKUP(165,table_CIA_JCTS,7,FALSE)+VLOOKUP(178,table_CIA_JCTS,7,FALSE)+VLOOKUP(179,table_CIA_JCTS,7,FALSE)</f>
        <v>125.17290000000001</v>
      </c>
      <c r="I652" s="54" t="s">
        <v>10</v>
      </c>
      <c r="J652" s="54">
        <f>VLOOKUP(165,table_CIA_JCTS,9,FALSE)+VLOOKUP(178,table_CIA_JCTS,9,FALSE)+VLOOKUP(179,table_CIA_JCTS,9,FALSE)</f>
        <v>140.76059999999998</v>
      </c>
      <c r="K652" s="56" t="s">
        <v>10</v>
      </c>
      <c r="L652" s="53" t="s">
        <v>10</v>
      </c>
      <c r="M652" s="55" t="s">
        <v>10</v>
      </c>
      <c r="N652" s="53" t="s">
        <v>10</v>
      </c>
      <c r="O652" s="53" t="s">
        <v>10</v>
      </c>
      <c r="P652" s="53">
        <f>VLOOKUP(178,table_CIA_JCTS,23,FALSE)</f>
        <v>51.104227479124589</v>
      </c>
      <c r="Q652" s="55">
        <f t="shared" si="42"/>
        <v>0.47181110657015884</v>
      </c>
      <c r="R652" s="54">
        <f>J652*Q652</f>
        <v>66.412414447479492</v>
      </c>
      <c r="S652" s="53"/>
      <c r="T652" s="55"/>
      <c r="U652" s="56"/>
      <c r="V652" s="53"/>
      <c r="W652" s="53"/>
      <c r="X652" s="53"/>
      <c r="Y652" s="55"/>
      <c r="Z652" s="55"/>
      <c r="AA652" s="55"/>
      <c r="AB652" s="55"/>
      <c r="AC652" s="57"/>
      <c r="AD652" s="321" t="s">
        <v>474</v>
      </c>
    </row>
    <row r="653" spans="2:30" x14ac:dyDescent="0.2">
      <c r="B653" s="216">
        <v>180.1</v>
      </c>
      <c r="C653" s="217" t="s">
        <v>10</v>
      </c>
      <c r="D653" s="54" t="s">
        <v>10</v>
      </c>
      <c r="E653" s="54">
        <f>(E652*AD653)</f>
        <v>210.96296000000001</v>
      </c>
      <c r="F653" s="55" t="s">
        <v>10</v>
      </c>
      <c r="G653" s="54" t="s">
        <v>10</v>
      </c>
      <c r="H653" s="54">
        <f>(H652*AD653)</f>
        <v>109.15076880000001</v>
      </c>
      <c r="I653" s="54" t="s">
        <v>10</v>
      </c>
      <c r="J653" s="54">
        <f>(J652*AD653)</f>
        <v>122.74324319999998</v>
      </c>
      <c r="K653" s="56" t="s">
        <v>10</v>
      </c>
      <c r="L653" s="53" t="s">
        <v>10</v>
      </c>
      <c r="M653" s="55" t="s">
        <v>10</v>
      </c>
      <c r="N653" s="53" t="s">
        <v>10</v>
      </c>
      <c r="O653" s="53" t="s">
        <v>10</v>
      </c>
      <c r="P653" s="53">
        <f>VLOOKUP(178,table_CIA_JCTS,23,FALSE)</f>
        <v>51.104227479124589</v>
      </c>
      <c r="Q653" s="55">
        <f t="shared" si="42"/>
        <v>0.47181110657015884</v>
      </c>
      <c r="R653" s="54">
        <f t="shared" ref="R653:R654" si="43">J653*Q653</f>
        <v>57.911625398202119</v>
      </c>
      <c r="S653" s="53">
        <v>48</v>
      </c>
      <c r="T653" s="55">
        <f t="shared" ref="T653:T654" si="44">(4*R653)/(3.14159*(S653/12)^2)</f>
        <v>4.6084646149085433</v>
      </c>
      <c r="U653" s="56">
        <f>((R653/((0.463135/cell_NP)*((S653/12)^(8/3))))^2)*cell_FF</f>
        <v>1.8694516092933775E-3</v>
      </c>
      <c r="V653" s="53">
        <v>575</v>
      </c>
      <c r="W653" s="53">
        <f t="shared" ref="W653:W654" si="45">V653/(T653*60)</f>
        <v>2.0795067629099107</v>
      </c>
      <c r="X653" s="53">
        <f t="shared" ref="X653:X654" si="46">W653+P653</f>
        <v>53.183734242034497</v>
      </c>
      <c r="Y653" s="55">
        <f t="shared" ref="Y653:Y654" si="47">U653*V653</f>
        <v>1.0749346753436921</v>
      </c>
      <c r="Z653" s="365">
        <f>IF(VLOOKUP(182.1,table_CIA_JCTS,25,FALSE)+VLOOKUP(180.1,table_CIA_JCTS,24,FALSE)&lt;VLOOKUP(180.1,table_CIA_JCTS,28,FALSE),VLOOKUP(180.1,table_CIA_JCTS,28,FALSE),VLOOKUP(182.1,table_CIA_JCTS,25,FALSE)+VLOOKUP(180.1,table_CIA_JCTS,24,FALSE))</f>
        <v>383.93271868896767</v>
      </c>
      <c r="AA653" s="55">
        <v>392.1</v>
      </c>
      <c r="AB653" s="55">
        <f t="shared" ref="AB653:AB654" si="48">(AA653-0.5)-Z653</f>
        <v>7.6672813110323546</v>
      </c>
      <c r="AC653" s="57">
        <v>383.18</v>
      </c>
      <c r="AD653" s="321">
        <v>0.872</v>
      </c>
    </row>
    <row r="654" spans="2:30" ht="15.75" x14ac:dyDescent="0.25">
      <c r="B654" s="216">
        <v>180.2</v>
      </c>
      <c r="C654" s="217" t="s">
        <v>10</v>
      </c>
      <c r="D654" s="54" t="s">
        <v>10</v>
      </c>
      <c r="E654" s="54">
        <f>(E652*AD654)</f>
        <v>30.967040000000001</v>
      </c>
      <c r="F654" s="55" t="s">
        <v>10</v>
      </c>
      <c r="G654" s="54" t="s">
        <v>10</v>
      </c>
      <c r="H654" s="54">
        <f>(H652*AD654)</f>
        <v>16.0221312</v>
      </c>
      <c r="I654" s="54" t="s">
        <v>10</v>
      </c>
      <c r="J654" s="54">
        <f>(J652*AD654)</f>
        <v>18.017356799999998</v>
      </c>
      <c r="K654" s="56" t="s">
        <v>10</v>
      </c>
      <c r="L654" s="53" t="s">
        <v>10</v>
      </c>
      <c r="M654" s="55" t="s">
        <v>10</v>
      </c>
      <c r="N654" s="53" t="s">
        <v>10</v>
      </c>
      <c r="O654" s="53" t="s">
        <v>10</v>
      </c>
      <c r="P654" s="53">
        <f>VLOOKUP(178,table_CIA_JCTS,23,FALSE)</f>
        <v>51.104227479124589</v>
      </c>
      <c r="Q654" s="55">
        <f t="shared" si="42"/>
        <v>0.47181110657015884</v>
      </c>
      <c r="R654" s="54">
        <f t="shared" si="43"/>
        <v>8.5007890492773761</v>
      </c>
      <c r="S654" s="53">
        <v>24</v>
      </c>
      <c r="T654" s="55">
        <f t="shared" si="44"/>
        <v>2.7058874803132733</v>
      </c>
      <c r="U654" s="56">
        <f>((R654/((0.463135/cell_NP)*((S654/12)^(8/3))))^2)*cell_FF</f>
        <v>1.6240317203817707E-3</v>
      </c>
      <c r="V654" s="53">
        <v>583</v>
      </c>
      <c r="W654" s="53">
        <f t="shared" si="45"/>
        <v>3.5909352245281547</v>
      </c>
      <c r="X654" s="53">
        <f t="shared" si="46"/>
        <v>54.695162703652741</v>
      </c>
      <c r="Y654" s="55">
        <f t="shared" si="47"/>
        <v>0.94681049298257236</v>
      </c>
      <c r="Z654" s="353">
        <f>IF(VLOOKUP(182.2,table_CIA_JCTS,25,FALSE)+VLOOKUP(180.1,table_CIA_JCTS,24,FALSE)&lt;VLOOKUP(180.1,table_CIA_JCTS,28,FALSE),VLOOKUP(180.1,table_CIA_JCTS,28,FALSE),VLOOKUP(182.2,table_CIA_JCTS,25,FALSE)+VLOOKUP(180.1,table_CIA_JCTS,24,FALSE))</f>
        <v>383.93271868896767</v>
      </c>
      <c r="AA654" s="55">
        <v>392.1</v>
      </c>
      <c r="AB654" s="55">
        <f t="shared" si="48"/>
        <v>7.6672813110323546</v>
      </c>
      <c r="AC654" s="57" t="s">
        <v>10</v>
      </c>
      <c r="AD654" s="321">
        <f>1-AD653</f>
        <v>0.128</v>
      </c>
    </row>
    <row r="655" spans="2:30" x14ac:dyDescent="0.2">
      <c r="B655" s="216" t="s">
        <v>10</v>
      </c>
      <c r="C655" s="217" t="s">
        <v>10</v>
      </c>
      <c r="D655" s="54" t="s">
        <v>10</v>
      </c>
      <c r="E655" s="54" t="s">
        <v>10</v>
      </c>
      <c r="F655" s="55" t="s">
        <v>10</v>
      </c>
      <c r="G655" s="54" t="s">
        <v>10</v>
      </c>
      <c r="H655" s="54" t="s">
        <v>10</v>
      </c>
      <c r="I655" s="54" t="s">
        <v>10</v>
      </c>
      <c r="J655" s="54" t="s">
        <v>10</v>
      </c>
      <c r="K655" s="56" t="s">
        <v>10</v>
      </c>
      <c r="L655" s="53" t="s">
        <v>10</v>
      </c>
      <c r="M655" s="55" t="s">
        <v>10</v>
      </c>
      <c r="N655" s="53" t="s">
        <v>10</v>
      </c>
      <c r="O655" s="53" t="s">
        <v>10</v>
      </c>
      <c r="P655" s="53" t="s">
        <v>10</v>
      </c>
      <c r="Q655" s="55" t="s">
        <v>10</v>
      </c>
      <c r="R655" s="54" t="s">
        <v>10</v>
      </c>
      <c r="S655" s="53" t="s">
        <v>10</v>
      </c>
      <c r="T655" s="55" t="s">
        <v>10</v>
      </c>
      <c r="U655" s="56" t="s">
        <v>10</v>
      </c>
      <c r="V655" s="53" t="s">
        <v>10</v>
      </c>
      <c r="W655" s="53" t="s">
        <v>10</v>
      </c>
      <c r="X655" s="53" t="s">
        <v>10</v>
      </c>
      <c r="Y655" s="55" t="s">
        <v>10</v>
      </c>
      <c r="Z655" s="55" t="s">
        <v>10</v>
      </c>
      <c r="AA655" s="55" t="s">
        <v>10</v>
      </c>
      <c r="AB655" s="55" t="s">
        <v>10</v>
      </c>
      <c r="AC655" s="57" t="s">
        <v>10</v>
      </c>
      <c r="AD655" t="s">
        <v>10</v>
      </c>
    </row>
    <row r="656" spans="2:30" x14ac:dyDescent="0.2">
      <c r="B656" s="216" t="s">
        <v>10</v>
      </c>
      <c r="C656" s="215">
        <v>228</v>
      </c>
      <c r="D656" s="54">
        <f>VLOOKUP(C656,table_DI,2)</f>
        <v>5.07</v>
      </c>
      <c r="E656" s="54" t="s">
        <v>10</v>
      </c>
      <c r="F656" s="55">
        <f>VLOOKUP(C656,table_DI,5)</f>
        <v>0.35</v>
      </c>
      <c r="G656" s="54">
        <f>VLOOKUP(C656,table_DI,3)</f>
        <v>1.6224000000000001</v>
      </c>
      <c r="H656" s="54" t="s">
        <v>10</v>
      </c>
      <c r="I656" s="54">
        <f>VLOOKUP(C656,table_DI,4)</f>
        <v>1.7745</v>
      </c>
      <c r="J656" s="54" t="s">
        <v>10</v>
      </c>
      <c r="K656" s="56">
        <f>VLOOKUP(C656,table_DI,9)</f>
        <v>3.4343434343434114E-3</v>
      </c>
      <c r="L656" s="53">
        <f>VLOOKUP(C656,table_DI,8)</f>
        <v>990</v>
      </c>
      <c r="M656" s="55">
        <f>(0.84*(K656^0.5)*(cell_GUTDEP^0.6666)/cell_NRD)</f>
        <v>1.7255960644622803</v>
      </c>
      <c r="N656" s="53">
        <f>VLOOKUP(C656,table_DI,10)</f>
        <v>25</v>
      </c>
      <c r="O656" s="53">
        <f>(L656/(M656*60))</f>
        <v>9.5619133236384783</v>
      </c>
      <c r="P656" s="53">
        <f>N656+O656</f>
        <v>34.561913323638478</v>
      </c>
      <c r="Q656" s="55">
        <f t="shared" ref="Q656:Q662" si="49">cell_P*(P656^cell_E)</f>
        <v>0.60274539046949227</v>
      </c>
      <c r="R656" s="54">
        <f>Q656*I656</f>
        <v>1.069571695388114</v>
      </c>
      <c r="S656" s="53" t="s">
        <v>10</v>
      </c>
      <c r="T656" s="55" t="s">
        <v>10</v>
      </c>
      <c r="U656" s="56" t="s">
        <v>10</v>
      </c>
      <c r="V656" s="53" t="s">
        <v>10</v>
      </c>
      <c r="W656" s="53" t="s">
        <v>10</v>
      </c>
      <c r="X656" s="53" t="s">
        <v>10</v>
      </c>
      <c r="Y656" s="55" t="s">
        <v>10</v>
      </c>
      <c r="Z656" s="55" t="s">
        <v>10</v>
      </c>
      <c r="AA656" s="55" t="s">
        <v>10</v>
      </c>
      <c r="AB656" s="55" t="s">
        <v>10</v>
      </c>
      <c r="AC656" s="57" t="s">
        <v>10</v>
      </c>
      <c r="AD656" t="s">
        <v>10</v>
      </c>
    </row>
    <row r="657" spans="2:30" x14ac:dyDescent="0.2">
      <c r="B657" s="216" t="s">
        <v>10</v>
      </c>
      <c r="C657" s="215">
        <v>229</v>
      </c>
      <c r="D657" s="54">
        <f>VLOOKUP(C657,table_DI,2)</f>
        <v>6.92</v>
      </c>
      <c r="E657" s="54" t="s">
        <v>10</v>
      </c>
      <c r="F657" s="55">
        <f>VLOOKUP(C657,table_DI,5)</f>
        <v>0.35000000000000003</v>
      </c>
      <c r="G657" s="54">
        <f>VLOOKUP(C657,table_DI,3)</f>
        <v>2.2143999999999999</v>
      </c>
      <c r="H657" s="54" t="s">
        <v>10</v>
      </c>
      <c r="I657" s="54">
        <f>VLOOKUP(C657,table_DI,4)</f>
        <v>2.4220000000000002</v>
      </c>
      <c r="J657" s="54" t="s">
        <v>10</v>
      </c>
      <c r="K657" s="56">
        <f>VLOOKUP(C657,table_DI,9)</f>
        <v>3.4104046242774762E-3</v>
      </c>
      <c r="L657" s="53">
        <f>VLOOKUP(C657,table_DI,8)</f>
        <v>1384</v>
      </c>
      <c r="M657" s="55">
        <f>(0.84*(K657^0.5)*(cell_GUTDEP^0.6666)/cell_NRD)</f>
        <v>1.7195714845146812</v>
      </c>
      <c r="N657" s="53">
        <f>VLOOKUP(C657,table_DI,10)</f>
        <v>25</v>
      </c>
      <c r="O657" s="53">
        <f>(L657/(M657*60))</f>
        <v>13.41419468419298</v>
      </c>
      <c r="P657" s="53">
        <f>N657+O657</f>
        <v>38.414194684192978</v>
      </c>
      <c r="Q657" s="55">
        <f t="shared" si="49"/>
        <v>0.56415066226679167</v>
      </c>
      <c r="R657" s="54">
        <f>Q657*I657</f>
        <v>1.3663729040101695</v>
      </c>
      <c r="S657" s="53" t="s">
        <v>10</v>
      </c>
      <c r="T657" s="55" t="s">
        <v>10</v>
      </c>
      <c r="U657" s="56" t="s">
        <v>10</v>
      </c>
      <c r="V657" s="53" t="s">
        <v>10</v>
      </c>
      <c r="W657" s="53" t="s">
        <v>10</v>
      </c>
      <c r="X657" s="53" t="s">
        <v>10</v>
      </c>
      <c r="Y657" s="55" t="s">
        <v>10</v>
      </c>
      <c r="Z657" s="55" t="s">
        <v>10</v>
      </c>
      <c r="AA657" s="55" t="s">
        <v>10</v>
      </c>
      <c r="AB657" s="55" t="s">
        <v>10</v>
      </c>
      <c r="AC657" s="57" t="s">
        <v>10</v>
      </c>
      <c r="AD657" t="s">
        <v>10</v>
      </c>
    </row>
    <row r="658" spans="2:30" x14ac:dyDescent="0.2">
      <c r="B658" s="216" t="s">
        <v>10</v>
      </c>
      <c r="C658" s="215">
        <v>230</v>
      </c>
      <c r="D658" s="54">
        <f>VLOOKUP(C658,table_DI,2)</f>
        <v>10.9</v>
      </c>
      <c r="E658" s="54" t="s">
        <v>10</v>
      </c>
      <c r="F658" s="55">
        <f>VLOOKUP(C658,table_DI,5)</f>
        <v>0.35</v>
      </c>
      <c r="G658" s="54">
        <f>VLOOKUP(C658,table_DI,3)</f>
        <v>3.488</v>
      </c>
      <c r="H658" s="54" t="s">
        <v>10</v>
      </c>
      <c r="I658" s="54">
        <f>VLOOKUP(C658,table_DI,4)</f>
        <v>3.8149999999999999</v>
      </c>
      <c r="J658" s="54" t="s">
        <v>10</v>
      </c>
      <c r="K658" s="56">
        <f>VLOOKUP(C658,table_DI,9)</f>
        <v>3.8694074969770117E-3</v>
      </c>
      <c r="L658" s="53">
        <f>VLOOKUP(C658,table_DI,8)</f>
        <v>827</v>
      </c>
      <c r="M658" s="55">
        <f>(0.84*(K658^0.5)*(cell_GUTDEP^0.6666)/cell_NRD)</f>
        <v>1.8316374506607929</v>
      </c>
      <c r="N658" s="53">
        <f>VLOOKUP(C658,table_DI,10)</f>
        <v>25</v>
      </c>
      <c r="O658" s="53">
        <f>(L658/(M658*60))</f>
        <v>7.5251427777701165</v>
      </c>
      <c r="P658" s="53">
        <f>N658+O658</f>
        <v>32.525142777770114</v>
      </c>
      <c r="Q658" s="55">
        <f t="shared" si="49"/>
        <v>0.62611218407244262</v>
      </c>
      <c r="R658" s="54">
        <f>Q658*I658</f>
        <v>2.3886179822363687</v>
      </c>
      <c r="S658" s="53" t="s">
        <v>10</v>
      </c>
      <c r="T658" s="55" t="s">
        <v>10</v>
      </c>
      <c r="U658" s="56" t="s">
        <v>10</v>
      </c>
      <c r="V658" s="53" t="s">
        <v>10</v>
      </c>
      <c r="W658" s="53" t="s">
        <v>10</v>
      </c>
      <c r="X658" s="53" t="s">
        <v>10</v>
      </c>
      <c r="Y658" s="55" t="s">
        <v>10</v>
      </c>
      <c r="Z658" s="55" t="s">
        <v>10</v>
      </c>
      <c r="AA658" s="55" t="s">
        <v>10</v>
      </c>
      <c r="AB658" s="55" t="s">
        <v>10</v>
      </c>
      <c r="AC658" s="57" t="s">
        <v>10</v>
      </c>
      <c r="AD658" t="s">
        <v>10</v>
      </c>
    </row>
    <row r="659" spans="2:30" x14ac:dyDescent="0.2">
      <c r="B659" s="216">
        <v>181</v>
      </c>
      <c r="C659" s="217" t="s">
        <v>10</v>
      </c>
      <c r="D659" s="54" t="s">
        <v>10</v>
      </c>
      <c r="E659" s="54">
        <f>VLOOKUP(228,table_CIA_INLETS,2,FALSE)+VLOOKUP(229,table_CIA_INLETS,2,FALSE)+VLOOKUP(230,table_CIA_INLETS,2,FALSE)</f>
        <v>22.89</v>
      </c>
      <c r="F659" s="55" t="s">
        <v>10</v>
      </c>
      <c r="G659" s="54" t="s">
        <v>10</v>
      </c>
      <c r="H659" s="54">
        <f>VLOOKUP(228,table_CIA_INLETS,5,FALSE)+VLOOKUP(229,table_CIA_INLETS,5,FALSE)+VLOOKUP(230,table_CIA_INLETS,5,FALSE)</f>
        <v>7.3247999999999998</v>
      </c>
      <c r="I659" s="54" t="s">
        <v>10</v>
      </c>
      <c r="J659" s="54">
        <f>VLOOKUP(228,table_CIA_INLETS,7,FALSE)+VLOOKUP(229,table_CIA_INLETS,7,FALSE)+VLOOKUP(230,table_CIA_INLETS,7,FALSE)</f>
        <v>8.0114999999999998</v>
      </c>
      <c r="K659" s="56" t="s">
        <v>10</v>
      </c>
      <c r="L659" s="53" t="s">
        <v>10</v>
      </c>
      <c r="M659" s="55" t="s">
        <v>10</v>
      </c>
      <c r="N659" s="53" t="s">
        <v>10</v>
      </c>
      <c r="O659" s="53" t="s">
        <v>10</v>
      </c>
      <c r="P659" s="53">
        <f>VLOOKUP(230,table_CIA_INLETS,14,FALSE)</f>
        <v>32.525142777770114</v>
      </c>
      <c r="Q659" s="55">
        <f t="shared" si="49"/>
        <v>0.62611218407244262</v>
      </c>
      <c r="R659" s="54">
        <f>J659*Q659</f>
        <v>5.0160977626963739</v>
      </c>
      <c r="S659" s="53">
        <v>24</v>
      </c>
      <c r="T659" s="55">
        <f>(4*R659)/(3.14159*(S659/12)^2)</f>
        <v>1.5966748565842055</v>
      </c>
      <c r="U659" s="56">
        <f>((R659/((0.463135/cell_NP)*((S659/12)^(8/3))))^2)*cell_FF</f>
        <v>5.6546797484527194E-4</v>
      </c>
      <c r="V659" s="53">
        <v>1162</v>
      </c>
      <c r="W659" s="53">
        <f>V659/(T659*60)</f>
        <v>12.129374109452764</v>
      </c>
      <c r="X659" s="53">
        <f>W659+P659</f>
        <v>44.654516887222876</v>
      </c>
      <c r="Y659" s="55">
        <f>U659*V659</f>
        <v>0.657073786770206</v>
      </c>
      <c r="Z659" s="55">
        <f>IF(VLOOKUP(182.1,table_CIA_JCTS,25,FALSE)+VLOOKUP(181,table_CIA_JCTS,24,FALSE)&lt;VLOOKUP(181,table_CIA_JCTS,28,FALSE),VLOOKUP(181,table_CIA_JCTS,28,FALSE),VLOOKUP(182.1,table_CIA_JCTS,25,FALSE)+VLOOKUP(181,table_CIA_JCTS,24,FALSE))</f>
        <v>384.66</v>
      </c>
      <c r="AA659" s="55">
        <v>388.5</v>
      </c>
      <c r="AB659" s="55">
        <f>(AA659-0.5)-Z659</f>
        <v>3.339999999999975</v>
      </c>
      <c r="AC659" s="57">
        <v>384.66</v>
      </c>
      <c r="AD659" t="s">
        <v>10</v>
      </c>
    </row>
    <row r="660" spans="2:30" x14ac:dyDescent="0.2">
      <c r="B660" s="216">
        <v>182</v>
      </c>
      <c r="C660" s="217" t="s">
        <v>10</v>
      </c>
      <c r="D660" s="54" t="s">
        <v>10</v>
      </c>
      <c r="E660" s="54">
        <f>VLOOKUP(180,table_CIA_JCTS,4,FALSE)+VLOOKUP(181,table_CIA_JCTS,4,FALSE)</f>
        <v>264.82</v>
      </c>
      <c r="F660" s="55" t="s">
        <v>10</v>
      </c>
      <c r="G660" s="54" t="s">
        <v>10</v>
      </c>
      <c r="H660" s="54">
        <f>VLOOKUP(180,table_CIA_JCTS,7,FALSE)+VLOOKUP(181,table_CIA_JCTS,7,FALSE)</f>
        <v>132.49770000000001</v>
      </c>
      <c r="I660" s="54" t="s">
        <v>10</v>
      </c>
      <c r="J660" s="54">
        <f>VLOOKUP(180,table_CIA_JCTS,9,FALSE)+VLOOKUP(181,table_CIA_JCTS,9,FALSE)</f>
        <v>148.77209999999999</v>
      </c>
      <c r="K660" s="56" t="s">
        <v>10</v>
      </c>
      <c r="L660" s="53" t="s">
        <v>10</v>
      </c>
      <c r="M660" s="55" t="s">
        <v>10</v>
      </c>
      <c r="N660" s="53" t="s">
        <v>10</v>
      </c>
      <c r="O660" s="53" t="s">
        <v>10</v>
      </c>
      <c r="P660" s="53">
        <f>+X653</f>
        <v>53.183734242034497</v>
      </c>
      <c r="Q660" s="55">
        <f t="shared" si="49"/>
        <v>0.46017298964948017</v>
      </c>
      <c r="R660" s="54">
        <f>J660*Q660</f>
        <v>68.460902033431424</v>
      </c>
      <c r="S660" s="53"/>
      <c r="T660" s="55"/>
      <c r="U660" s="56"/>
      <c r="V660" s="53"/>
      <c r="W660" s="53"/>
      <c r="X660" s="53"/>
      <c r="Y660" s="55"/>
      <c r="Z660" s="55"/>
      <c r="AA660" s="55"/>
      <c r="AB660" s="55"/>
      <c r="AC660" s="57"/>
      <c r="AD660" s="323" t="s">
        <v>474</v>
      </c>
    </row>
    <row r="661" spans="2:30" ht="15.75" x14ac:dyDescent="0.25">
      <c r="B661" s="216">
        <v>182.1</v>
      </c>
      <c r="C661" s="217" t="s">
        <v>10</v>
      </c>
      <c r="D661" s="54" t="s">
        <v>10</v>
      </c>
      <c r="E661" s="54">
        <f>(E660*AD661)</f>
        <v>159.23626599999997</v>
      </c>
      <c r="F661" s="55" t="s">
        <v>10</v>
      </c>
      <c r="G661" s="54" t="s">
        <v>10</v>
      </c>
      <c r="H661" s="54">
        <f>(H660*AD661)</f>
        <v>79.670867009999995</v>
      </c>
      <c r="I661" s="54" t="s">
        <v>10</v>
      </c>
      <c r="J661" s="54">
        <f>(J660*AD661)</f>
        <v>89.456663729999988</v>
      </c>
      <c r="K661" s="56" t="s">
        <v>10</v>
      </c>
      <c r="L661" s="53" t="s">
        <v>10</v>
      </c>
      <c r="M661" s="55" t="s">
        <v>10</v>
      </c>
      <c r="N661" s="53" t="s">
        <v>10</v>
      </c>
      <c r="O661" s="53" t="s">
        <v>10</v>
      </c>
      <c r="P661" s="53">
        <f>+X653</f>
        <v>53.183734242034497</v>
      </c>
      <c r="Q661" s="55">
        <f t="shared" si="49"/>
        <v>0.46017298964948017</v>
      </c>
      <c r="R661" s="54">
        <f t="shared" ref="R661:R662" si="50">J661*Q661</f>
        <v>41.165540392702312</v>
      </c>
      <c r="S661" s="53">
        <v>48</v>
      </c>
      <c r="T661" s="55">
        <f t="shared" ref="T661:T662" si="51">(4*R661)/(3.14159*(S661/12)^2)</f>
        <v>3.2758523862679656</v>
      </c>
      <c r="U661" s="56">
        <f>((R661/((0.463135/cell_NP)*((S661/12)^(8/3))))^2)*cell_FF</f>
        <v>9.4460526294409754E-4</v>
      </c>
      <c r="V661" s="53">
        <v>344</v>
      </c>
      <c r="W661" s="53">
        <f t="shared" ref="W661:W662" si="52">V661/(T661*60)</f>
        <v>1.7501806117292933</v>
      </c>
      <c r="X661" s="53">
        <f t="shared" ref="X661:X662" si="53">W661+P661</f>
        <v>54.933914853763788</v>
      </c>
      <c r="Y661" s="55">
        <f t="shared" ref="Y661:Y662" si="54">U661*V661</f>
        <v>0.32494421045276956</v>
      </c>
      <c r="Z661" s="353">
        <f>IF(VLOOKUP(184,table_CIA_JCTS,25,FALSE)+VLOOKUP(182,table_CIA_JCTS,24,FALSE)&lt;VLOOKUP(182,table_CIA_JCTS,28,FALSE),VLOOKUP(182,table_CIA_JCTS,28,FALSE),VLOOKUP(184,table_CIA_JCTS,25,FALSE)+VLOOKUP(182,table_CIA_JCTS,24,FALSE))</f>
        <v>382.85778401362398</v>
      </c>
      <c r="AA661" s="55">
        <v>392.72</v>
      </c>
      <c r="AB661" s="55">
        <f t="shared" ref="AB661:AB662" si="55">(AA661-0.5)-Z661</f>
        <v>9.362215986376043</v>
      </c>
      <c r="AC661" s="57" t="s">
        <v>10</v>
      </c>
      <c r="AD661" s="323">
        <v>0.60129999999999995</v>
      </c>
    </row>
    <row r="662" spans="2:30" ht="15.75" x14ac:dyDescent="0.25">
      <c r="B662" s="216">
        <v>182.2</v>
      </c>
      <c r="C662" s="217" t="s">
        <v>10</v>
      </c>
      <c r="D662" s="54" t="s">
        <v>10</v>
      </c>
      <c r="E662" s="54">
        <f>(E660*AD662)</f>
        <v>105.58373400000001</v>
      </c>
      <c r="F662" s="55" t="s">
        <v>10</v>
      </c>
      <c r="G662" s="54" t="s">
        <v>10</v>
      </c>
      <c r="H662" s="54">
        <f>(H660*AD662)</f>
        <v>52.826832990000014</v>
      </c>
      <c r="I662" s="54" t="s">
        <v>10</v>
      </c>
      <c r="J662" s="54">
        <f>(J660*AD662)</f>
        <v>59.315436270000006</v>
      </c>
      <c r="K662" s="56" t="s">
        <v>10</v>
      </c>
      <c r="L662" s="53" t="s">
        <v>10</v>
      </c>
      <c r="M662" s="55" t="s">
        <v>10</v>
      </c>
      <c r="N662" s="53" t="s">
        <v>10</v>
      </c>
      <c r="O662" s="53" t="s">
        <v>10</v>
      </c>
      <c r="P662" s="53">
        <f>+X654</f>
        <v>54.695162703652741</v>
      </c>
      <c r="Q662" s="55">
        <f t="shared" si="49"/>
        <v>0.45216840472232667</v>
      </c>
      <c r="R662" s="54">
        <f t="shared" si="50"/>
        <v>26.820566193614738</v>
      </c>
      <c r="S662" s="53">
        <v>36</v>
      </c>
      <c r="T662" s="55">
        <f t="shared" si="51"/>
        <v>3.7943371482614059</v>
      </c>
      <c r="U662" s="56">
        <f>((R662/((0.463135/cell_NP)*((S662/12)^(8/3))))^2)*cell_FF</f>
        <v>1.8597669742305236E-3</v>
      </c>
      <c r="V662" s="53">
        <v>490</v>
      </c>
      <c r="W662" s="53">
        <f t="shared" si="52"/>
        <v>2.1523302615342694</v>
      </c>
      <c r="X662" s="53">
        <f t="shared" si="53"/>
        <v>56.847492965187008</v>
      </c>
      <c r="Y662" s="55">
        <f t="shared" si="54"/>
        <v>0.91128581737295655</v>
      </c>
      <c r="Z662" s="353">
        <f>IF(VLOOKUP(184,table_CIA_JCTS,25,FALSE)+VLOOKUP(182,table_CIA_JCTS,24,FALSE)&lt;VLOOKUP(182,table_CIA_JCTS,28,FALSE),VLOOKUP(182,table_CIA_JCTS,28,FALSE),VLOOKUP(184,table_CIA_JCTS,25,FALSE)+VLOOKUP(182,table_CIA_JCTS,24,FALSE))</f>
        <v>382.85778401362398</v>
      </c>
      <c r="AA662" s="55">
        <v>392.72</v>
      </c>
      <c r="AB662" s="55">
        <f t="shared" si="55"/>
        <v>9.362215986376043</v>
      </c>
      <c r="AC662" s="57" t="s">
        <v>10</v>
      </c>
      <c r="AD662" s="323">
        <f>1-AD661</f>
        <v>0.39870000000000005</v>
      </c>
    </row>
    <row r="663" spans="2:30" x14ac:dyDescent="0.2">
      <c r="B663" s="216" t="s">
        <v>10</v>
      </c>
      <c r="C663" s="217" t="s">
        <v>10</v>
      </c>
      <c r="D663" s="54" t="s">
        <v>10</v>
      </c>
      <c r="E663" s="54" t="s">
        <v>10</v>
      </c>
      <c r="F663" s="55" t="s">
        <v>10</v>
      </c>
      <c r="G663" s="54" t="s">
        <v>10</v>
      </c>
      <c r="H663" s="54" t="s">
        <v>10</v>
      </c>
      <c r="I663" s="54" t="s">
        <v>10</v>
      </c>
      <c r="J663" s="54" t="s">
        <v>10</v>
      </c>
      <c r="K663" s="56" t="s">
        <v>10</v>
      </c>
      <c r="L663" s="53" t="s">
        <v>10</v>
      </c>
      <c r="M663" s="55" t="s">
        <v>10</v>
      </c>
      <c r="N663" s="53" t="s">
        <v>10</v>
      </c>
      <c r="O663" s="53" t="s">
        <v>10</v>
      </c>
      <c r="P663" s="53" t="s">
        <v>10</v>
      </c>
      <c r="Q663" s="55" t="s">
        <v>10</v>
      </c>
      <c r="R663" s="54" t="s">
        <v>10</v>
      </c>
      <c r="S663" s="53" t="s">
        <v>10</v>
      </c>
      <c r="T663" s="55" t="s">
        <v>10</v>
      </c>
      <c r="U663" s="56" t="s">
        <v>10</v>
      </c>
      <c r="V663" s="53" t="s">
        <v>10</v>
      </c>
      <c r="W663" s="53" t="s">
        <v>10</v>
      </c>
      <c r="X663" s="53" t="s">
        <v>10</v>
      </c>
      <c r="Y663" s="55" t="s">
        <v>10</v>
      </c>
      <c r="Z663" s="55" t="s">
        <v>10</v>
      </c>
      <c r="AA663" s="55" t="s">
        <v>10</v>
      </c>
      <c r="AB663" s="55" t="s">
        <v>10</v>
      </c>
      <c r="AC663" s="57" t="s">
        <v>10</v>
      </c>
      <c r="AD663" t="s">
        <v>10</v>
      </c>
    </row>
    <row r="664" spans="2:30" x14ac:dyDescent="0.2">
      <c r="B664" s="216" t="s">
        <v>10</v>
      </c>
      <c r="C664" s="215">
        <v>231</v>
      </c>
      <c r="D664" s="54">
        <f>VLOOKUP(C664,table_DI,2)</f>
        <v>15.04</v>
      </c>
      <c r="E664" s="54" t="s">
        <v>10</v>
      </c>
      <c r="F664" s="55">
        <f>VLOOKUP(C664,table_DI,5)</f>
        <v>0.35000000000000003</v>
      </c>
      <c r="G664" s="54">
        <f>VLOOKUP(C664,table_DI,3)</f>
        <v>4.4000000000000004</v>
      </c>
      <c r="H664" s="54" t="s">
        <v>10</v>
      </c>
      <c r="I664" s="54">
        <f>VLOOKUP(C664,table_DI,4)</f>
        <v>5.2640000000000002</v>
      </c>
      <c r="J664" s="54" t="s">
        <v>10</v>
      </c>
      <c r="K664" s="56">
        <f>VLOOKUP(C664,table_DI,9)</f>
        <v>2.2018348623853096E-3</v>
      </c>
      <c r="L664" s="53">
        <f>VLOOKUP(C664,table_DI,8)</f>
        <v>1199</v>
      </c>
      <c r="M664" s="55">
        <f>(0.84*(K664^0.5)*(cell_GUTDEP^0.6666)/cell_NRD)</f>
        <v>1.3816869390595437</v>
      </c>
      <c r="N664" s="53">
        <f>VLOOKUP(C664,table_DI,10)</f>
        <v>25</v>
      </c>
      <c r="O664" s="53">
        <f>(L664/(M664*60))</f>
        <v>14.462996478011981</v>
      </c>
      <c r="P664" s="53">
        <f>N664+O664</f>
        <v>39.462996478011981</v>
      </c>
      <c r="Q664" s="55">
        <f>cell_P*(P664^cell_E)</f>
        <v>0.55471461811457623</v>
      </c>
      <c r="R664" s="54">
        <f>Q664*I664</f>
        <v>2.9200177497551296</v>
      </c>
      <c r="S664" s="53" t="s">
        <v>10</v>
      </c>
      <c r="T664" s="55" t="s">
        <v>10</v>
      </c>
      <c r="U664" s="56" t="s">
        <v>10</v>
      </c>
      <c r="V664" s="53" t="s">
        <v>10</v>
      </c>
      <c r="W664" s="53" t="s">
        <v>10</v>
      </c>
      <c r="X664" s="53" t="s">
        <v>10</v>
      </c>
      <c r="Y664" s="55" t="s">
        <v>10</v>
      </c>
      <c r="Z664" s="55" t="s">
        <v>10</v>
      </c>
      <c r="AA664" s="55" t="s">
        <v>10</v>
      </c>
      <c r="AB664" s="55" t="s">
        <v>10</v>
      </c>
      <c r="AC664" s="57" t="s">
        <v>10</v>
      </c>
      <c r="AD664" t="s">
        <v>10</v>
      </c>
    </row>
    <row r="665" spans="2:30" x14ac:dyDescent="0.2">
      <c r="B665" s="216" t="s">
        <v>10</v>
      </c>
      <c r="C665" s="215">
        <v>232</v>
      </c>
      <c r="D665" s="54">
        <f>VLOOKUP(C665,table_DI,2)</f>
        <v>1.05</v>
      </c>
      <c r="E665" s="54" t="s">
        <v>10</v>
      </c>
      <c r="F665" s="55">
        <f>VLOOKUP(C665,table_DI,5)</f>
        <v>0.47047619047619044</v>
      </c>
      <c r="G665" s="54">
        <f>VLOOKUP(C665,table_DI,3)</f>
        <v>0.46939999999999998</v>
      </c>
      <c r="H665" s="54" t="s">
        <v>10</v>
      </c>
      <c r="I665" s="54">
        <f>VLOOKUP(C665,table_DI,4)</f>
        <v>0.49399999999999999</v>
      </c>
      <c r="J665" s="54" t="s">
        <v>10</v>
      </c>
      <c r="K665" s="56">
        <f>VLOOKUP(C665,table_DI,9)</f>
        <v>2.4110671936759431E-3</v>
      </c>
      <c r="L665" s="53">
        <f>VLOOKUP(C665,table_DI,8)</f>
        <v>253</v>
      </c>
      <c r="M665" s="55">
        <f>(0.84*(K665^0.5)*(cell_GUTDEP^0.6666)/cell_NRD)</f>
        <v>1.4458456653171419</v>
      </c>
      <c r="N665" s="53">
        <f>VLOOKUP(C665,table_DI,10)</f>
        <v>25</v>
      </c>
      <c r="O665" s="53">
        <f>(L665/(M665*60))</f>
        <v>2.9164016380280486</v>
      </c>
      <c r="P665" s="53">
        <f>N665+O665</f>
        <v>27.916401638028049</v>
      </c>
      <c r="Q665" s="55">
        <f>cell_P*(P665^cell_E)</f>
        <v>0.68898004804494672</v>
      </c>
      <c r="R665" s="54">
        <f>Q665*I665</f>
        <v>0.3403561437342037</v>
      </c>
      <c r="S665" s="53" t="s">
        <v>10</v>
      </c>
      <c r="T665" s="55" t="s">
        <v>10</v>
      </c>
      <c r="U665" s="56" t="s">
        <v>10</v>
      </c>
      <c r="V665" s="53" t="s">
        <v>10</v>
      </c>
      <c r="W665" s="53" t="s">
        <v>10</v>
      </c>
      <c r="X665" s="53" t="s">
        <v>10</v>
      </c>
      <c r="Y665" s="55" t="s">
        <v>10</v>
      </c>
      <c r="Z665" s="55" t="s">
        <v>10</v>
      </c>
      <c r="AA665" s="55" t="s">
        <v>10</v>
      </c>
      <c r="AB665" s="55" t="s">
        <v>10</v>
      </c>
      <c r="AC665" s="57" t="s">
        <v>10</v>
      </c>
      <c r="AD665" t="s">
        <v>10</v>
      </c>
    </row>
    <row r="666" spans="2:30" x14ac:dyDescent="0.2">
      <c r="B666" s="216">
        <v>183</v>
      </c>
      <c r="C666" s="217" t="s">
        <v>10</v>
      </c>
      <c r="D666" s="54" t="s">
        <v>10</v>
      </c>
      <c r="E666" s="54">
        <f>VLOOKUP(231,table_CIA_INLETS,2,FALSE)+VLOOKUP(232,table_CIA_INLETS,2,FALSE)</f>
        <v>16.09</v>
      </c>
      <c r="F666" s="55" t="s">
        <v>10</v>
      </c>
      <c r="G666" s="54" t="s">
        <v>10</v>
      </c>
      <c r="H666" s="54">
        <f>VLOOKUP(231,table_CIA_INLETS,5,FALSE)+VLOOKUP(232,table_CIA_INLETS,5,FALSE)</f>
        <v>4.8694000000000006</v>
      </c>
      <c r="I666" s="54" t="s">
        <v>10</v>
      </c>
      <c r="J666" s="54">
        <f>VLOOKUP(231,table_CIA_INLETS,7,FALSE)+VLOOKUP(232,table_CIA_INLETS,7,FALSE)</f>
        <v>5.758</v>
      </c>
      <c r="K666" s="56" t="s">
        <v>10</v>
      </c>
      <c r="L666" s="53" t="s">
        <v>10</v>
      </c>
      <c r="M666" s="55" t="s">
        <v>10</v>
      </c>
      <c r="N666" s="53" t="s">
        <v>10</v>
      </c>
      <c r="O666" s="53" t="s">
        <v>10</v>
      </c>
      <c r="P666" s="53">
        <f>VLOOKUP(231,table_CIA_INLETS,14,FALSE)</f>
        <v>39.462996478011981</v>
      </c>
      <c r="Q666" s="55">
        <f>cell_P*(P666^cell_E)</f>
        <v>0.55471461811457623</v>
      </c>
      <c r="R666" s="54">
        <f>J666*Q666</f>
        <v>3.1940467711037299</v>
      </c>
      <c r="S666" s="53">
        <v>18</v>
      </c>
      <c r="T666" s="55">
        <f>(4*R666)/(3.14159*(S666/12)^2)</f>
        <v>1.8074622630104742</v>
      </c>
      <c r="U666" s="56">
        <f>((R666/((0.463135/cell_NP)*((S666/12)^(8/3))))^2)*cell_FF</f>
        <v>1.063404516609168E-3</v>
      </c>
      <c r="V666" s="53">
        <v>180</v>
      </c>
      <c r="W666" s="53">
        <f>V666/(T666*60)</f>
        <v>1.6597856903541977</v>
      </c>
      <c r="X666" s="53">
        <f>W666+P666</f>
        <v>41.122782168366179</v>
      </c>
      <c r="Y666" s="55">
        <f>U666*V666</f>
        <v>0.19141281298965024</v>
      </c>
      <c r="Z666" s="55">
        <f>IF(VLOOKUP(184,table_CIA_JCTS,25,FALSE)+VLOOKUP(183,table_CIA_JCTS,24,FALSE)&lt;VLOOKUP(183,table_CIA_JCTS,28,FALSE),VLOOKUP(183,table_CIA_JCTS,28,FALSE),VLOOKUP(184,table_CIA_JCTS,25,FALSE)+VLOOKUP(183,table_CIA_JCTS,24,FALSE))</f>
        <v>383.04919682661364</v>
      </c>
      <c r="AA666" s="55">
        <v>393.05</v>
      </c>
      <c r="AB666" s="55">
        <f>(AA666-0.5)-Z666</f>
        <v>9.5008031733863731</v>
      </c>
      <c r="AC666" s="57" t="s">
        <v>10</v>
      </c>
      <c r="AD666" t="s">
        <v>10</v>
      </c>
    </row>
    <row r="667" spans="2:30" x14ac:dyDescent="0.2">
      <c r="B667" s="216">
        <v>184</v>
      </c>
      <c r="C667" s="217" t="s">
        <v>10</v>
      </c>
      <c r="D667" s="54" t="s">
        <v>10</v>
      </c>
      <c r="E667" s="54">
        <f>+E661+E666</f>
        <v>175.32626599999998</v>
      </c>
      <c r="F667" s="55" t="s">
        <v>10</v>
      </c>
      <c r="G667" s="54" t="s">
        <v>10</v>
      </c>
      <c r="H667" s="54">
        <f>+H661+H666</f>
        <v>84.540267009999994</v>
      </c>
      <c r="I667" s="54" t="s">
        <v>10</v>
      </c>
      <c r="J667" s="54">
        <f>+J661+J666</f>
        <v>95.214663729999984</v>
      </c>
      <c r="K667" s="56" t="s">
        <v>10</v>
      </c>
      <c r="L667" s="53" t="s">
        <v>10</v>
      </c>
      <c r="M667" s="55" t="s">
        <v>10</v>
      </c>
      <c r="N667" s="53" t="s">
        <v>10</v>
      </c>
      <c r="O667" s="53" t="s">
        <v>10</v>
      </c>
      <c r="P667" s="53">
        <f>VLOOKUP(182.1,table_CIA_JCTS,23,FALSE)</f>
        <v>54.933914853763788</v>
      </c>
      <c r="Q667" s="55">
        <f>cell_P*(P667^cell_E)</f>
        <v>0.45093679430232353</v>
      </c>
      <c r="R667" s="54">
        <f>J667*Q667</f>
        <v>42.935795232979906</v>
      </c>
      <c r="S667" s="53">
        <v>48</v>
      </c>
      <c r="T667" s="55">
        <f>(4*R667)/(3.14159*(S667/12)^2)</f>
        <v>3.4167249094391621</v>
      </c>
      <c r="U667" s="56">
        <f>((R667/((0.463135/cell_NP)*((S667/12)^(8/3))))^2)*cell_FF</f>
        <v>1.02759442941263E-3</v>
      </c>
      <c r="V667" s="53">
        <v>572</v>
      </c>
      <c r="W667" s="53">
        <f>V667/(T667*60)</f>
        <v>2.7901963388964144</v>
      </c>
      <c r="X667" s="53">
        <f>W667+P667</f>
        <v>57.724111192660203</v>
      </c>
      <c r="Y667" s="55">
        <f>U667*V667</f>
        <v>0.58778401362402433</v>
      </c>
      <c r="Z667" s="55">
        <f>IF(VLOOKUP(cell_BASIN,table_CIA_JCTS,25,FALSE)+VLOOKUP(184,table_CIA_JCTS,24,FALSE)&lt;VLOOKUP(184,table_CIA_JCTS,28,FALSE),VLOOKUP(184,table_CIA_JCTS,28,FALSE),VLOOKUP(cell_BASIN,table_CIA_JCTS,25,FALSE)+VLOOKUP(184,table_CIA_JCTS,24,FALSE))</f>
        <v>382.85778401362398</v>
      </c>
      <c r="AA667" s="55">
        <v>392.98</v>
      </c>
      <c r="AB667" s="55">
        <f>(AA667-0.5)-Z667</f>
        <v>9.6222159863760339</v>
      </c>
      <c r="AC667" s="57" t="s">
        <v>10</v>
      </c>
      <c r="AD667" t="s">
        <v>10</v>
      </c>
    </row>
    <row r="668" spans="2:30" x14ac:dyDescent="0.2">
      <c r="B668" s="216" t="s">
        <v>10</v>
      </c>
      <c r="C668" s="217" t="s">
        <v>10</v>
      </c>
      <c r="D668" s="54" t="s">
        <v>10</v>
      </c>
      <c r="E668" s="54" t="s">
        <v>10</v>
      </c>
      <c r="F668" s="55" t="s">
        <v>10</v>
      </c>
      <c r="G668" s="54" t="s">
        <v>10</v>
      </c>
      <c r="H668" s="54" t="s">
        <v>10</v>
      </c>
      <c r="I668" s="54" t="s">
        <v>10</v>
      </c>
      <c r="J668" s="54" t="s">
        <v>10</v>
      </c>
      <c r="K668" s="56" t="s">
        <v>10</v>
      </c>
      <c r="L668" s="53" t="s">
        <v>10</v>
      </c>
      <c r="M668" s="55" t="s">
        <v>10</v>
      </c>
      <c r="N668" s="53" t="s">
        <v>10</v>
      </c>
      <c r="O668" s="53" t="s">
        <v>10</v>
      </c>
      <c r="P668" s="53" t="s">
        <v>10</v>
      </c>
      <c r="Q668" s="55" t="s">
        <v>10</v>
      </c>
      <c r="R668" s="54" t="s">
        <v>10</v>
      </c>
      <c r="S668" s="53" t="s">
        <v>10</v>
      </c>
      <c r="T668" s="55" t="s">
        <v>10</v>
      </c>
      <c r="U668" s="56" t="s">
        <v>10</v>
      </c>
      <c r="V668" s="53" t="s">
        <v>10</v>
      </c>
      <c r="W668" s="53" t="s">
        <v>10</v>
      </c>
      <c r="X668" s="53" t="s">
        <v>10</v>
      </c>
      <c r="Y668" s="55" t="s">
        <v>10</v>
      </c>
      <c r="Z668" s="55" t="s">
        <v>10</v>
      </c>
      <c r="AA668" s="55" t="s">
        <v>10</v>
      </c>
      <c r="AB668" s="55" t="s">
        <v>10</v>
      </c>
      <c r="AC668" s="57" t="s">
        <v>10</v>
      </c>
      <c r="AD668" t="s">
        <v>10</v>
      </c>
    </row>
    <row r="669" spans="2:30" x14ac:dyDescent="0.2">
      <c r="B669" s="216" t="s">
        <v>260</v>
      </c>
      <c r="C669" s="217" t="s">
        <v>10</v>
      </c>
      <c r="D669" s="54" t="s">
        <v>10</v>
      </c>
      <c r="E669" s="54" t="s">
        <v>10</v>
      </c>
      <c r="F669" s="55" t="s">
        <v>10</v>
      </c>
      <c r="G669" s="54" t="s">
        <v>10</v>
      </c>
      <c r="H669" s="54" t="s">
        <v>10</v>
      </c>
      <c r="I669" s="54" t="s">
        <v>10</v>
      </c>
      <c r="J669" s="54" t="s">
        <v>10</v>
      </c>
      <c r="K669" s="56" t="s">
        <v>10</v>
      </c>
      <c r="L669" s="53" t="s">
        <v>10</v>
      </c>
      <c r="M669" s="55" t="s">
        <v>10</v>
      </c>
      <c r="N669" s="53" t="s">
        <v>10</v>
      </c>
      <c r="O669" s="53" t="s">
        <v>10</v>
      </c>
      <c r="P669" s="53" t="s">
        <v>10</v>
      </c>
      <c r="Q669" s="55" t="s">
        <v>10</v>
      </c>
      <c r="R669" s="54" t="s">
        <v>10</v>
      </c>
      <c r="S669" s="53" t="s">
        <v>10</v>
      </c>
      <c r="T669" s="55" t="s">
        <v>10</v>
      </c>
      <c r="U669" s="56" t="s">
        <v>10</v>
      </c>
      <c r="V669" s="53" t="s">
        <v>10</v>
      </c>
      <c r="W669" s="53" t="s">
        <v>10</v>
      </c>
      <c r="X669" s="53" t="s">
        <v>10</v>
      </c>
      <c r="Y669" s="55" t="s">
        <v>10</v>
      </c>
      <c r="Z669" s="55">
        <f>(cell_HGL)</f>
        <v>382.27</v>
      </c>
      <c r="AA669" s="55" t="s">
        <v>10</v>
      </c>
      <c r="AB669" s="55" t="s">
        <v>10</v>
      </c>
      <c r="AC669" s="57" t="s">
        <v>10</v>
      </c>
      <c r="AD669" t="s">
        <v>10</v>
      </c>
    </row>
    <row r="670" spans="2:30" x14ac:dyDescent="0.2">
      <c r="B670" s="216" t="s">
        <v>10</v>
      </c>
      <c r="C670" s="217" t="s">
        <v>10</v>
      </c>
      <c r="D670" s="54" t="s">
        <v>10</v>
      </c>
      <c r="E670" s="54" t="s">
        <v>10</v>
      </c>
      <c r="F670" s="55" t="s">
        <v>10</v>
      </c>
      <c r="G670" s="54" t="s">
        <v>10</v>
      </c>
      <c r="H670" s="54" t="s">
        <v>10</v>
      </c>
      <c r="I670" s="54" t="s">
        <v>10</v>
      </c>
      <c r="J670" s="54" t="s">
        <v>10</v>
      </c>
      <c r="K670" s="56" t="s">
        <v>10</v>
      </c>
      <c r="L670" s="53" t="s">
        <v>10</v>
      </c>
      <c r="M670" s="55" t="s">
        <v>10</v>
      </c>
      <c r="N670" s="53" t="s">
        <v>10</v>
      </c>
      <c r="O670" s="53" t="s">
        <v>10</v>
      </c>
      <c r="P670" s="53" t="s">
        <v>10</v>
      </c>
      <c r="Q670" s="55" t="s">
        <v>10</v>
      </c>
      <c r="R670" s="54" t="s">
        <v>10</v>
      </c>
      <c r="S670" s="53" t="s">
        <v>10</v>
      </c>
      <c r="T670" s="55" t="s">
        <v>10</v>
      </c>
      <c r="U670" s="56" t="s">
        <v>10</v>
      </c>
      <c r="V670" s="53" t="s">
        <v>10</v>
      </c>
      <c r="W670" s="53" t="s">
        <v>10</v>
      </c>
      <c r="X670" s="53" t="s">
        <v>10</v>
      </c>
      <c r="Y670" s="55" t="s">
        <v>10</v>
      </c>
      <c r="Z670" s="55" t="s">
        <v>10</v>
      </c>
      <c r="AA670" s="55" t="s">
        <v>10</v>
      </c>
      <c r="AB670" s="55" t="s">
        <v>10</v>
      </c>
      <c r="AC670" s="57" t="s">
        <v>10</v>
      </c>
      <c r="AD670" t="s">
        <v>10</v>
      </c>
    </row>
    <row r="671" spans="2:30" x14ac:dyDescent="0.2">
      <c r="B671" s="216" t="s">
        <v>10</v>
      </c>
      <c r="C671" s="215">
        <v>233</v>
      </c>
      <c r="D671" s="54">
        <f>VLOOKUP(C671,table_DI,2)</f>
        <v>3.91</v>
      </c>
      <c r="E671" s="54" t="s">
        <v>10</v>
      </c>
      <c r="F671" s="55">
        <f>VLOOKUP(C671,table_DI,5)</f>
        <v>0.24</v>
      </c>
      <c r="G671" s="54">
        <f>VLOOKUP(C671,table_DI,3)</f>
        <v>0.78200000000000003</v>
      </c>
      <c r="H671" s="54" t="s">
        <v>10</v>
      </c>
      <c r="I671" s="54">
        <f>VLOOKUP(C671,table_DI,4)</f>
        <v>0.93840000000000001</v>
      </c>
      <c r="J671" s="54" t="s">
        <v>10</v>
      </c>
      <c r="K671" s="56">
        <f>VLOOKUP(C671,table_DI,9)</f>
        <v>7.3333333333334852E-4</v>
      </c>
      <c r="L671" s="53">
        <f>VLOOKUP(C671,table_DI,8)</f>
        <v>1500</v>
      </c>
      <c r="M671" s="55">
        <f>(0.84*(K671^0.5)*(cell_GUTDEP^0.6666)/cell_NRD)</f>
        <v>0.79738487470741382</v>
      </c>
      <c r="N671" s="53">
        <f>VLOOKUP(C671,table_DI,10)</f>
        <v>25</v>
      </c>
      <c r="O671" s="53">
        <f>(L671/(M671*60))</f>
        <v>31.3524883566086</v>
      </c>
      <c r="P671" s="53">
        <f>N671+O671</f>
        <v>56.352488356608603</v>
      </c>
      <c r="Q671" s="55">
        <f>cell_P*(P671^cell_E)</f>
        <v>0.4437946307499383</v>
      </c>
      <c r="R671" s="54">
        <f>Q671*I671</f>
        <v>0.41645688149574212</v>
      </c>
      <c r="S671" s="53" t="s">
        <v>10</v>
      </c>
      <c r="T671" s="55" t="s">
        <v>10</v>
      </c>
      <c r="U671" s="56" t="s">
        <v>10</v>
      </c>
      <c r="V671" s="53" t="s">
        <v>10</v>
      </c>
      <c r="W671" s="53" t="s">
        <v>10</v>
      </c>
      <c r="X671" s="53" t="s">
        <v>10</v>
      </c>
      <c r="Y671" s="55" t="s">
        <v>10</v>
      </c>
      <c r="Z671" s="55" t="s">
        <v>10</v>
      </c>
      <c r="AA671" s="55" t="s">
        <v>10</v>
      </c>
      <c r="AB671" s="55" t="s">
        <v>10</v>
      </c>
      <c r="AC671" s="57" t="s">
        <v>10</v>
      </c>
      <c r="AD671" t="s">
        <v>10</v>
      </c>
    </row>
    <row r="672" spans="2:30" x14ac:dyDescent="0.2">
      <c r="B672" s="216">
        <v>185</v>
      </c>
      <c r="C672" s="217" t="s">
        <v>10</v>
      </c>
      <c r="D672" s="54" t="s">
        <v>10</v>
      </c>
      <c r="E672" s="54">
        <f>VLOOKUP(233,table_CIA_INLETS,2,FALSE)</f>
        <v>3.91</v>
      </c>
      <c r="F672" s="55" t="s">
        <v>10</v>
      </c>
      <c r="G672" s="54" t="s">
        <v>10</v>
      </c>
      <c r="H672" s="54">
        <f>VLOOKUP(233,table_CIA_INLETS,5,FALSE)</f>
        <v>0.78200000000000003</v>
      </c>
      <c r="I672" s="54" t="s">
        <v>10</v>
      </c>
      <c r="J672" s="54">
        <f>VLOOKUP(233,table_CIA_INLETS,7,FALSE)</f>
        <v>0.93840000000000001</v>
      </c>
      <c r="K672" s="56" t="s">
        <v>10</v>
      </c>
      <c r="L672" s="53" t="s">
        <v>10</v>
      </c>
      <c r="M672" s="55" t="s">
        <v>10</v>
      </c>
      <c r="N672" s="53" t="s">
        <v>10</v>
      </c>
      <c r="O672" s="53" t="s">
        <v>10</v>
      </c>
      <c r="P672" s="53">
        <f>VLOOKUP(233,table_CIA_INLETS,14,FALSE)</f>
        <v>56.352488356608603</v>
      </c>
      <c r="Q672" s="55">
        <f>cell_P*(P672^cell_E)</f>
        <v>0.4437946307499383</v>
      </c>
      <c r="R672" s="54">
        <f>J672*Q672</f>
        <v>0.41645688149574212</v>
      </c>
      <c r="S672" s="53">
        <v>18</v>
      </c>
      <c r="T672" s="55">
        <f>(4*R672)/(3.14159*(S672/12)^2)</f>
        <v>0.23566658581347782</v>
      </c>
      <c r="U672" s="56">
        <f>((R672/((0.463135/cell_NP)*((S672/12)^(8/3))))^2)*cell_FF</f>
        <v>1.8078235660554258E-5</v>
      </c>
      <c r="V672" s="53">
        <v>200</v>
      </c>
      <c r="W672" s="53">
        <f>V672/(T672*60)</f>
        <v>14.144276422672641</v>
      </c>
      <c r="X672" s="53">
        <f>W672+P672</f>
        <v>70.49676477928125</v>
      </c>
      <c r="Y672" s="55">
        <f>U672*V672</f>
        <v>3.6156471321108514E-3</v>
      </c>
      <c r="Z672" s="55">
        <f>IF(VLOOKUP(cell_BASIN,table_CIA_JCTS,25,FALSE)+VLOOKUP(185,table_CIA_JCTS,24,FALSE)&lt;VLOOKUP(185,table_CIA_JCTS,28,FALSE),VLOOKUP(185,table_CIA_JCTS,28,FALSE),VLOOKUP(cell_BASIN,table_CIA_JCTS,25,FALSE)+VLOOKUP(185,table_CIA_JCTS,24,FALSE))</f>
        <v>382.27361564713209</v>
      </c>
      <c r="AA672" s="55">
        <v>390</v>
      </c>
      <c r="AB672" s="55">
        <f>(AA672-0.5)-Z672</f>
        <v>7.2263843528679104</v>
      </c>
      <c r="AC672" s="57" t="s">
        <v>10</v>
      </c>
      <c r="AD672" t="s">
        <v>10</v>
      </c>
    </row>
    <row r="673" spans="2:30" x14ac:dyDescent="0.2">
      <c r="B673" s="216" t="s">
        <v>10</v>
      </c>
      <c r="C673" s="217" t="s">
        <v>10</v>
      </c>
      <c r="D673" s="54" t="s">
        <v>10</v>
      </c>
      <c r="E673" s="54" t="s">
        <v>10</v>
      </c>
      <c r="F673" s="55" t="s">
        <v>10</v>
      </c>
      <c r="G673" s="54" t="s">
        <v>10</v>
      </c>
      <c r="H673" s="54" t="s">
        <v>10</v>
      </c>
      <c r="I673" s="54" t="s">
        <v>10</v>
      </c>
      <c r="J673" s="54" t="s">
        <v>10</v>
      </c>
      <c r="K673" s="56" t="s">
        <v>10</v>
      </c>
      <c r="L673" s="53" t="s">
        <v>10</v>
      </c>
      <c r="M673" s="55" t="s">
        <v>10</v>
      </c>
      <c r="N673" s="53" t="s">
        <v>10</v>
      </c>
      <c r="O673" s="53" t="s">
        <v>10</v>
      </c>
      <c r="P673" s="53" t="s">
        <v>10</v>
      </c>
      <c r="Q673" s="55" t="s">
        <v>10</v>
      </c>
      <c r="R673" s="54" t="s">
        <v>10</v>
      </c>
      <c r="S673" s="53" t="s">
        <v>10</v>
      </c>
      <c r="T673" s="55" t="s">
        <v>10</v>
      </c>
      <c r="U673" s="56" t="s">
        <v>10</v>
      </c>
      <c r="V673" s="53" t="s">
        <v>10</v>
      </c>
      <c r="W673" s="53" t="s">
        <v>10</v>
      </c>
      <c r="X673" s="53" t="s">
        <v>10</v>
      </c>
      <c r="Y673" s="55" t="s">
        <v>10</v>
      </c>
      <c r="Z673" s="55" t="s">
        <v>10</v>
      </c>
      <c r="AA673" s="55" t="s">
        <v>10</v>
      </c>
      <c r="AB673" s="55" t="s">
        <v>10</v>
      </c>
      <c r="AC673" s="57" t="s">
        <v>10</v>
      </c>
      <c r="AD673" t="s">
        <v>10</v>
      </c>
    </row>
    <row r="674" spans="2:30" x14ac:dyDescent="0.2">
      <c r="B674" s="216" t="s">
        <v>260</v>
      </c>
      <c r="C674" s="217" t="s">
        <v>10</v>
      </c>
      <c r="D674" s="54" t="s">
        <v>10</v>
      </c>
      <c r="E674" s="54" t="s">
        <v>10</v>
      </c>
      <c r="F674" s="55" t="s">
        <v>10</v>
      </c>
      <c r="G674" s="54" t="s">
        <v>10</v>
      </c>
      <c r="H674" s="54" t="s">
        <v>10</v>
      </c>
      <c r="I674" s="54" t="s">
        <v>10</v>
      </c>
      <c r="J674" s="54" t="s">
        <v>10</v>
      </c>
      <c r="K674" s="56" t="s">
        <v>10</v>
      </c>
      <c r="L674" s="53" t="s">
        <v>10</v>
      </c>
      <c r="M674" s="55" t="s">
        <v>10</v>
      </c>
      <c r="N674" s="53" t="s">
        <v>10</v>
      </c>
      <c r="O674" s="53" t="s">
        <v>10</v>
      </c>
      <c r="P674" s="53" t="s">
        <v>10</v>
      </c>
      <c r="Q674" s="55" t="s">
        <v>10</v>
      </c>
      <c r="R674" s="54" t="s">
        <v>10</v>
      </c>
      <c r="S674" s="53" t="s">
        <v>10</v>
      </c>
      <c r="T674" s="55" t="s">
        <v>10</v>
      </c>
      <c r="U674" s="56" t="s">
        <v>10</v>
      </c>
      <c r="V674" s="53" t="s">
        <v>10</v>
      </c>
      <c r="W674" s="53" t="s">
        <v>10</v>
      </c>
      <c r="X674" s="53" t="s">
        <v>10</v>
      </c>
      <c r="Y674" s="55" t="s">
        <v>10</v>
      </c>
      <c r="Z674" s="55">
        <f>(cell_HGL)</f>
        <v>382.27</v>
      </c>
      <c r="AA674" s="55" t="s">
        <v>10</v>
      </c>
      <c r="AB674" s="55" t="s">
        <v>10</v>
      </c>
      <c r="AC674" s="57" t="s">
        <v>10</v>
      </c>
      <c r="AD674" t="s">
        <v>10</v>
      </c>
    </row>
    <row r="675" spans="2:30" x14ac:dyDescent="0.2">
      <c r="B675" s="216" t="s">
        <v>10</v>
      </c>
      <c r="C675" s="217" t="s">
        <v>10</v>
      </c>
      <c r="D675" s="54" t="s">
        <v>10</v>
      </c>
      <c r="E675" s="54" t="s">
        <v>10</v>
      </c>
      <c r="F675" s="55" t="s">
        <v>10</v>
      </c>
      <c r="G675" s="54" t="s">
        <v>10</v>
      </c>
      <c r="H675" s="54" t="s">
        <v>10</v>
      </c>
      <c r="I675" s="54" t="s">
        <v>10</v>
      </c>
      <c r="J675" s="54" t="s">
        <v>10</v>
      </c>
      <c r="K675" s="56" t="s">
        <v>10</v>
      </c>
      <c r="L675" s="53" t="s">
        <v>10</v>
      </c>
      <c r="M675" s="55" t="s">
        <v>10</v>
      </c>
      <c r="N675" s="53" t="s">
        <v>10</v>
      </c>
      <c r="O675" s="53" t="s">
        <v>10</v>
      </c>
      <c r="P675" s="53" t="s">
        <v>10</v>
      </c>
      <c r="Q675" s="55" t="s">
        <v>10</v>
      </c>
      <c r="R675" s="54" t="s">
        <v>10</v>
      </c>
      <c r="S675" s="53" t="s">
        <v>10</v>
      </c>
      <c r="T675" s="55" t="s">
        <v>10</v>
      </c>
      <c r="U675" s="56" t="s">
        <v>10</v>
      </c>
      <c r="V675" s="53" t="s">
        <v>10</v>
      </c>
      <c r="W675" s="53" t="s">
        <v>10</v>
      </c>
      <c r="X675" s="53" t="s">
        <v>10</v>
      </c>
      <c r="Y675" s="55" t="s">
        <v>10</v>
      </c>
      <c r="Z675" s="55" t="s">
        <v>10</v>
      </c>
      <c r="AA675" s="55" t="s">
        <v>10</v>
      </c>
      <c r="AB675" s="55" t="s">
        <v>10</v>
      </c>
      <c r="AC675" s="57" t="s">
        <v>10</v>
      </c>
      <c r="AD675" t="s">
        <v>10</v>
      </c>
    </row>
    <row r="676" spans="2:30" x14ac:dyDescent="0.2">
      <c r="B676" s="216" t="s">
        <v>10</v>
      </c>
      <c r="C676" s="215">
        <v>234</v>
      </c>
      <c r="D676" s="54">
        <f>VLOOKUP(C676,table_DI,2)</f>
        <v>0.8</v>
      </c>
      <c r="E676" s="54" t="s">
        <v>10</v>
      </c>
      <c r="F676" s="55">
        <f>VLOOKUP(C676,table_DI,5)</f>
        <v>0.24</v>
      </c>
      <c r="G676" s="54">
        <f>VLOOKUP(C676,table_DI,3)</f>
        <v>0.16</v>
      </c>
      <c r="H676" s="54" t="s">
        <v>10</v>
      </c>
      <c r="I676" s="54">
        <f>VLOOKUP(C676,table_DI,4)</f>
        <v>0.192</v>
      </c>
      <c r="J676" s="54" t="s">
        <v>10</v>
      </c>
      <c r="K676" s="56">
        <f>VLOOKUP(C676,table_DI,9)</f>
        <v>3.7566844919786125E-3</v>
      </c>
      <c r="L676" s="53">
        <f>VLOOKUP(C676,table_DI,8)</f>
        <v>748</v>
      </c>
      <c r="M676" s="55">
        <f>(0.84*(K676^0.5)*(cell_GUTDEP^0.6666)/cell_NRD)</f>
        <v>1.8047607668350505</v>
      </c>
      <c r="N676" s="53">
        <f>VLOOKUP(C676,table_DI,10)</f>
        <v>25</v>
      </c>
      <c r="O676" s="53">
        <f>(L676/(M676*60))</f>
        <v>6.9076560704104013</v>
      </c>
      <c r="P676" s="53">
        <f>N676+O676</f>
        <v>31.9076560704104</v>
      </c>
      <c r="Q676" s="55">
        <f>cell_P*(P676^cell_E)</f>
        <v>0.63367246745673667</v>
      </c>
      <c r="R676" s="54">
        <f>Q676*I676</f>
        <v>0.12166511375169345</v>
      </c>
      <c r="S676" s="53" t="s">
        <v>10</v>
      </c>
      <c r="T676" s="55" t="s">
        <v>10</v>
      </c>
      <c r="U676" s="56" t="s">
        <v>10</v>
      </c>
      <c r="V676" s="53" t="s">
        <v>10</v>
      </c>
      <c r="W676" s="53" t="s">
        <v>10</v>
      </c>
      <c r="X676" s="53" t="s">
        <v>10</v>
      </c>
      <c r="Y676" s="55" t="s">
        <v>10</v>
      </c>
      <c r="Z676" s="55" t="s">
        <v>10</v>
      </c>
      <c r="AA676" s="55" t="s">
        <v>10</v>
      </c>
      <c r="AB676" s="55" t="s">
        <v>10</v>
      </c>
      <c r="AC676" s="57" t="s">
        <v>10</v>
      </c>
      <c r="AD676" t="s">
        <v>10</v>
      </c>
    </row>
    <row r="677" spans="2:30" x14ac:dyDescent="0.2">
      <c r="B677" s="216">
        <v>186</v>
      </c>
      <c r="C677" s="217" t="s">
        <v>10</v>
      </c>
      <c r="D677" s="54" t="s">
        <v>10</v>
      </c>
      <c r="E677" s="54">
        <f>VLOOKUP(234,table_CIA_INLETS,2,FALSE)</f>
        <v>0.8</v>
      </c>
      <c r="F677" s="55" t="s">
        <v>10</v>
      </c>
      <c r="G677" s="54" t="s">
        <v>10</v>
      </c>
      <c r="H677" s="54">
        <f>VLOOKUP(234,table_CIA_INLETS,5,FALSE)</f>
        <v>0.16</v>
      </c>
      <c r="I677" s="54" t="s">
        <v>10</v>
      </c>
      <c r="J677" s="54">
        <f>VLOOKUP(234,table_CIA_INLETS,7,FALSE)</f>
        <v>0.192</v>
      </c>
      <c r="K677" s="56" t="s">
        <v>10</v>
      </c>
      <c r="L677" s="53" t="s">
        <v>10</v>
      </c>
      <c r="M677" s="55" t="s">
        <v>10</v>
      </c>
      <c r="N677" s="53" t="s">
        <v>10</v>
      </c>
      <c r="O677" s="53" t="s">
        <v>10</v>
      </c>
      <c r="P677" s="53">
        <f>VLOOKUP(234,table_CIA_INLETS,14,FALSE)</f>
        <v>31.9076560704104</v>
      </c>
      <c r="Q677" s="55">
        <f>cell_P*(P677^cell_E)</f>
        <v>0.63367246745673667</v>
      </c>
      <c r="R677" s="54">
        <f>J677*Q677</f>
        <v>0.12166511375169345</v>
      </c>
      <c r="S677" s="53">
        <v>8</v>
      </c>
      <c r="T677" s="55">
        <f>(4*R677)/(3.14159*(S677/12)^2)</f>
        <v>0.34854517100106669</v>
      </c>
      <c r="U677" s="56">
        <f>((R677/((0.463135/cell_NP)*((S677/12)^(8/3))))^2)*cell_FF</f>
        <v>1.1658826896690966E-4</v>
      </c>
      <c r="V677" s="53">
        <v>133</v>
      </c>
      <c r="W677" s="53">
        <f>V677/(T677*60)</f>
        <v>6.3597686931083102</v>
      </c>
      <c r="X677" s="53">
        <f>W677+P677</f>
        <v>38.267424763518711</v>
      </c>
      <c r="Y677" s="55">
        <f>U677*V677</f>
        <v>1.5506239772598985E-2</v>
      </c>
      <c r="Z677" s="55">
        <f>IF(VLOOKUP(cell_BASIN,table_CIA_JCTS,25,FALSE)+VLOOKUP(186,table_CIA_JCTS,24,FALSE)&lt;VLOOKUP(186,table_CIA_JCTS,28,FALSE),VLOOKUP(186,table_CIA_JCTS,28,FALSE),VLOOKUP(cell_BASIN,table_CIA_JCTS,25,FALSE)+VLOOKUP(186,table_CIA_JCTS,24,FALSE))</f>
        <v>382.28550623977259</v>
      </c>
      <c r="AA677" s="55">
        <v>388.94</v>
      </c>
      <c r="AB677" s="55">
        <f>(AA677-0.5)-Z677</f>
        <v>6.1544937602274103</v>
      </c>
      <c r="AC677" s="57" t="s">
        <v>10</v>
      </c>
      <c r="AD677" t="s">
        <v>10</v>
      </c>
    </row>
    <row r="678" spans="2:30" x14ac:dyDescent="0.2">
      <c r="B678" s="216" t="s">
        <v>10</v>
      </c>
      <c r="C678" s="217" t="s">
        <v>10</v>
      </c>
      <c r="D678" s="54" t="s">
        <v>10</v>
      </c>
      <c r="E678" s="54" t="s">
        <v>10</v>
      </c>
      <c r="F678" s="55" t="s">
        <v>10</v>
      </c>
      <c r="G678" s="54" t="s">
        <v>10</v>
      </c>
      <c r="H678" s="54" t="s">
        <v>10</v>
      </c>
      <c r="I678" s="54" t="s">
        <v>10</v>
      </c>
      <c r="J678" s="54" t="s">
        <v>10</v>
      </c>
      <c r="K678" s="56" t="s">
        <v>10</v>
      </c>
      <c r="L678" s="53" t="s">
        <v>10</v>
      </c>
      <c r="M678" s="55" t="s">
        <v>10</v>
      </c>
      <c r="N678" s="53" t="s">
        <v>10</v>
      </c>
      <c r="O678" s="53" t="s">
        <v>10</v>
      </c>
      <c r="P678" s="53" t="s">
        <v>10</v>
      </c>
      <c r="Q678" s="55" t="s">
        <v>10</v>
      </c>
      <c r="R678" s="54" t="s">
        <v>10</v>
      </c>
      <c r="S678" s="53" t="s">
        <v>10</v>
      </c>
      <c r="T678" s="55" t="s">
        <v>10</v>
      </c>
      <c r="U678" s="56" t="s">
        <v>10</v>
      </c>
      <c r="V678" s="53" t="s">
        <v>10</v>
      </c>
      <c r="W678" s="53" t="s">
        <v>10</v>
      </c>
      <c r="X678" s="53" t="s">
        <v>10</v>
      </c>
      <c r="Y678" s="55" t="s">
        <v>10</v>
      </c>
      <c r="Z678" s="55" t="s">
        <v>10</v>
      </c>
      <c r="AA678" s="55" t="s">
        <v>10</v>
      </c>
      <c r="AB678" s="55" t="s">
        <v>10</v>
      </c>
      <c r="AC678" s="57" t="s">
        <v>10</v>
      </c>
      <c r="AD678" t="s">
        <v>10</v>
      </c>
    </row>
    <row r="679" spans="2:30" x14ac:dyDescent="0.2">
      <c r="B679" s="216" t="s">
        <v>260</v>
      </c>
      <c r="C679" s="217" t="s">
        <v>10</v>
      </c>
      <c r="D679" s="54" t="s">
        <v>10</v>
      </c>
      <c r="E679" s="54" t="s">
        <v>10</v>
      </c>
      <c r="F679" s="55" t="s">
        <v>10</v>
      </c>
      <c r="G679" s="54" t="s">
        <v>10</v>
      </c>
      <c r="H679" s="54" t="s">
        <v>10</v>
      </c>
      <c r="I679" s="54" t="s">
        <v>10</v>
      </c>
      <c r="J679" s="54" t="s">
        <v>10</v>
      </c>
      <c r="K679" s="56" t="s">
        <v>10</v>
      </c>
      <c r="L679" s="53" t="s">
        <v>10</v>
      </c>
      <c r="M679" s="55" t="s">
        <v>10</v>
      </c>
      <c r="N679" s="53" t="s">
        <v>10</v>
      </c>
      <c r="O679" s="53" t="s">
        <v>10</v>
      </c>
      <c r="P679" s="53" t="s">
        <v>10</v>
      </c>
      <c r="Q679" s="55" t="s">
        <v>10</v>
      </c>
      <c r="R679" s="54" t="s">
        <v>10</v>
      </c>
      <c r="S679" s="53" t="s">
        <v>10</v>
      </c>
      <c r="T679" s="55" t="s">
        <v>10</v>
      </c>
      <c r="U679" s="56" t="s">
        <v>10</v>
      </c>
      <c r="V679" s="53" t="s">
        <v>10</v>
      </c>
      <c r="W679" s="53" t="s">
        <v>10</v>
      </c>
      <c r="X679" s="53" t="s">
        <v>10</v>
      </c>
      <c r="Y679" s="55" t="s">
        <v>10</v>
      </c>
      <c r="Z679" s="55">
        <f>(cell_HGL)</f>
        <v>382.27</v>
      </c>
      <c r="AA679" s="55" t="s">
        <v>10</v>
      </c>
      <c r="AB679" s="55" t="s">
        <v>10</v>
      </c>
      <c r="AC679" s="57" t="s">
        <v>10</v>
      </c>
      <c r="AD679" t="s">
        <v>10</v>
      </c>
    </row>
    <row r="680" spans="2:30" x14ac:dyDescent="0.2">
      <c r="B680" s="216" t="s">
        <v>10</v>
      </c>
      <c r="C680" s="217" t="s">
        <v>10</v>
      </c>
      <c r="D680" s="54" t="s">
        <v>10</v>
      </c>
      <c r="E680" s="54" t="s">
        <v>10</v>
      </c>
      <c r="F680" s="55" t="s">
        <v>10</v>
      </c>
      <c r="G680" s="54" t="s">
        <v>10</v>
      </c>
      <c r="H680" s="54" t="s">
        <v>10</v>
      </c>
      <c r="I680" s="54" t="s">
        <v>10</v>
      </c>
      <c r="J680" s="54" t="s">
        <v>10</v>
      </c>
      <c r="K680" s="56" t="s">
        <v>10</v>
      </c>
      <c r="L680" s="53" t="s">
        <v>10</v>
      </c>
      <c r="M680" s="55" t="s">
        <v>10</v>
      </c>
      <c r="N680" s="53" t="s">
        <v>10</v>
      </c>
      <c r="O680" s="53" t="s">
        <v>10</v>
      </c>
      <c r="P680" s="53" t="s">
        <v>10</v>
      </c>
      <c r="Q680" s="55" t="s">
        <v>10</v>
      </c>
      <c r="R680" s="54" t="s">
        <v>10</v>
      </c>
      <c r="S680" s="53" t="s">
        <v>10</v>
      </c>
      <c r="T680" s="55" t="s">
        <v>10</v>
      </c>
      <c r="U680" s="56" t="s">
        <v>10</v>
      </c>
      <c r="V680" s="53" t="s">
        <v>10</v>
      </c>
      <c r="W680" s="53" t="s">
        <v>10</v>
      </c>
      <c r="X680" s="53" t="s">
        <v>10</v>
      </c>
      <c r="Y680" s="55" t="s">
        <v>10</v>
      </c>
      <c r="Z680" s="55" t="s">
        <v>10</v>
      </c>
      <c r="AA680" s="55" t="s">
        <v>10</v>
      </c>
      <c r="AB680" s="55" t="s">
        <v>10</v>
      </c>
      <c r="AC680" s="57" t="s">
        <v>10</v>
      </c>
      <c r="AD680" t="s">
        <v>10</v>
      </c>
    </row>
    <row r="681" spans="2:30" x14ac:dyDescent="0.2">
      <c r="B681" s="216" t="s">
        <v>10</v>
      </c>
      <c r="C681" s="215">
        <v>235</v>
      </c>
      <c r="D681" s="54">
        <f>VLOOKUP(C681,table_DI,2)</f>
        <v>0.52</v>
      </c>
      <c r="E681" s="54" t="s">
        <v>10</v>
      </c>
      <c r="F681" s="55">
        <f>VLOOKUP(C681,table_DI,5)</f>
        <v>0.24</v>
      </c>
      <c r="G681" s="54">
        <f>VLOOKUP(C681,table_DI,3)</f>
        <v>0.104</v>
      </c>
      <c r="H681" s="54" t="s">
        <v>10</v>
      </c>
      <c r="I681" s="54">
        <f>VLOOKUP(C681,table_DI,4)</f>
        <v>0.12479999999999999</v>
      </c>
      <c r="J681" s="54" t="s">
        <v>10</v>
      </c>
      <c r="K681" s="56">
        <f>VLOOKUP(C681,table_DI,9)</f>
        <v>1.4285714285714828E-3</v>
      </c>
      <c r="L681" s="53">
        <f>VLOOKUP(C681,table_DI,8)</f>
        <v>420</v>
      </c>
      <c r="M681" s="55">
        <f>(0.84*(K681^0.5)*(cell_GUTDEP^0.6666)/cell_NRD)</f>
        <v>1.1129310532887271</v>
      </c>
      <c r="N681" s="53">
        <f>VLOOKUP(C681,table_DI,10)</f>
        <v>25</v>
      </c>
      <c r="O681" s="53">
        <f>(L681/(M681*60))</f>
        <v>6.2896978023165948</v>
      </c>
      <c r="P681" s="53">
        <f>N681+O681</f>
        <v>31.289697802316596</v>
      </c>
      <c r="Q681" s="55">
        <f>cell_P*(P681^cell_E)</f>
        <v>0.6414805434424975</v>
      </c>
      <c r="R681" s="54">
        <f>Q681*I681</f>
        <v>8.0056771821623685E-2</v>
      </c>
      <c r="S681" s="53" t="s">
        <v>10</v>
      </c>
      <c r="T681" s="55" t="s">
        <v>10</v>
      </c>
      <c r="U681" s="56" t="s">
        <v>10</v>
      </c>
      <c r="V681" s="53" t="s">
        <v>10</v>
      </c>
      <c r="W681" s="53" t="s">
        <v>10</v>
      </c>
      <c r="X681" s="53" t="s">
        <v>10</v>
      </c>
      <c r="Y681" s="55" t="s">
        <v>10</v>
      </c>
      <c r="Z681" s="55" t="s">
        <v>10</v>
      </c>
      <c r="AA681" s="55" t="s">
        <v>10</v>
      </c>
      <c r="AB681" s="55" t="s">
        <v>10</v>
      </c>
      <c r="AC681" s="57" t="s">
        <v>10</v>
      </c>
      <c r="AD681" t="s">
        <v>10</v>
      </c>
    </row>
    <row r="682" spans="2:30" x14ac:dyDescent="0.2">
      <c r="B682" s="216">
        <v>187</v>
      </c>
      <c r="C682" s="217" t="s">
        <v>10</v>
      </c>
      <c r="D682" s="54" t="s">
        <v>10</v>
      </c>
      <c r="E682" s="54">
        <f>VLOOKUP(235,table_CIA_INLETS,2,FALSE)</f>
        <v>0.52</v>
      </c>
      <c r="F682" s="55" t="s">
        <v>10</v>
      </c>
      <c r="G682" s="54" t="s">
        <v>10</v>
      </c>
      <c r="H682" s="54">
        <f>VLOOKUP(235,table_CIA_INLETS,5,FALSE)</f>
        <v>0.104</v>
      </c>
      <c r="I682" s="54" t="s">
        <v>10</v>
      </c>
      <c r="J682" s="54">
        <f>VLOOKUP(235,table_CIA_INLETS,7,FALSE)</f>
        <v>0.12479999999999999</v>
      </c>
      <c r="K682" s="56" t="s">
        <v>10</v>
      </c>
      <c r="L682" s="53" t="s">
        <v>10</v>
      </c>
      <c r="M682" s="55" t="s">
        <v>10</v>
      </c>
      <c r="N682" s="53" t="s">
        <v>10</v>
      </c>
      <c r="O682" s="53" t="s">
        <v>10</v>
      </c>
      <c r="P682" s="53">
        <f>VLOOKUP(235,table_CIA_INLETS,14,FALSE)</f>
        <v>31.289697802316596</v>
      </c>
      <c r="Q682" s="55">
        <f>cell_P*(P682^cell_E)</f>
        <v>0.6414805434424975</v>
      </c>
      <c r="R682" s="54">
        <f>J682*Q682</f>
        <v>8.0056771821623685E-2</v>
      </c>
      <c r="S682" s="53">
        <v>8</v>
      </c>
      <c r="T682" s="55">
        <f>(4*R682)/(3.14159*(S682/12)^2)</f>
        <v>0.22934595106128211</v>
      </c>
      <c r="U682" s="56">
        <f>((R682/((0.463135/cell_NP)*((S682/12)^(8/3))))^2)*cell_FF</f>
        <v>5.0479944504787392E-5</v>
      </c>
      <c r="V682" s="53">
        <v>185</v>
      </c>
      <c r="W682" s="53">
        <f>V682/(T682*60)</f>
        <v>13.444027762711428</v>
      </c>
      <c r="X682" s="53">
        <f>W682+P682</f>
        <v>44.733725565028024</v>
      </c>
      <c r="Y682" s="55">
        <f>U682*V682</f>
        <v>9.3387897333856683E-3</v>
      </c>
      <c r="Z682" s="55">
        <f>IF(VLOOKUP(cell_BASIN,table_CIA_JCTS,25,FALSE)+VLOOKUP(187,table_CIA_JCTS,24,FALSE)&lt;VLOOKUP(187,table_CIA_JCTS,28,FALSE),VLOOKUP(187,table_CIA_JCTS,28,FALSE),VLOOKUP(cell_BASIN,table_CIA_JCTS,25,FALSE)+VLOOKUP(187,table_CIA_JCTS,24,FALSE))</f>
        <v>382.27933878973334</v>
      </c>
      <c r="AA682" s="55">
        <v>389.4</v>
      </c>
      <c r="AB682" s="55">
        <f>(AA682-0.5)-Z682</f>
        <v>6.6206612102666327</v>
      </c>
      <c r="AC682" s="57" t="s">
        <v>10</v>
      </c>
      <c r="AD682" t="s">
        <v>10</v>
      </c>
    </row>
    <row r="683" spans="2:30" x14ac:dyDescent="0.2">
      <c r="B683" s="216" t="s">
        <v>10</v>
      </c>
      <c r="C683" s="217" t="s">
        <v>10</v>
      </c>
      <c r="D683" s="54" t="s">
        <v>10</v>
      </c>
      <c r="E683" s="54" t="s">
        <v>10</v>
      </c>
      <c r="F683" s="55" t="s">
        <v>10</v>
      </c>
      <c r="G683" s="54" t="s">
        <v>10</v>
      </c>
      <c r="H683" s="54" t="s">
        <v>10</v>
      </c>
      <c r="I683" s="54" t="s">
        <v>10</v>
      </c>
      <c r="J683" s="54" t="s">
        <v>10</v>
      </c>
      <c r="K683" s="56" t="s">
        <v>10</v>
      </c>
      <c r="L683" s="53" t="s">
        <v>10</v>
      </c>
      <c r="M683" s="55" t="s">
        <v>10</v>
      </c>
      <c r="N683" s="53" t="s">
        <v>10</v>
      </c>
      <c r="O683" s="53" t="s">
        <v>10</v>
      </c>
      <c r="P683" s="53" t="s">
        <v>10</v>
      </c>
      <c r="Q683" s="55" t="s">
        <v>10</v>
      </c>
      <c r="R683" s="54" t="s">
        <v>10</v>
      </c>
      <c r="S683" s="53" t="s">
        <v>10</v>
      </c>
      <c r="T683" s="55" t="s">
        <v>10</v>
      </c>
      <c r="U683" s="56" t="s">
        <v>10</v>
      </c>
      <c r="V683" s="53" t="s">
        <v>10</v>
      </c>
      <c r="W683" s="53" t="s">
        <v>10</v>
      </c>
      <c r="X683" s="53" t="s">
        <v>10</v>
      </c>
      <c r="Y683" s="55" t="s">
        <v>10</v>
      </c>
      <c r="Z683" s="55" t="s">
        <v>10</v>
      </c>
      <c r="AA683" s="55" t="s">
        <v>10</v>
      </c>
      <c r="AB683" s="55" t="s">
        <v>10</v>
      </c>
      <c r="AC683" s="57" t="s">
        <v>10</v>
      </c>
      <c r="AD683" t="s">
        <v>10</v>
      </c>
    </row>
    <row r="684" spans="2:30" x14ac:dyDescent="0.2">
      <c r="B684" s="216" t="s">
        <v>260</v>
      </c>
      <c r="C684" s="217" t="s">
        <v>10</v>
      </c>
      <c r="D684" s="54" t="s">
        <v>10</v>
      </c>
      <c r="E684" s="54" t="s">
        <v>10</v>
      </c>
      <c r="F684" s="55" t="s">
        <v>10</v>
      </c>
      <c r="G684" s="54" t="s">
        <v>10</v>
      </c>
      <c r="H684" s="54" t="s">
        <v>10</v>
      </c>
      <c r="I684" s="54" t="s">
        <v>10</v>
      </c>
      <c r="J684" s="54" t="s">
        <v>10</v>
      </c>
      <c r="K684" s="56" t="s">
        <v>10</v>
      </c>
      <c r="L684" s="53" t="s">
        <v>10</v>
      </c>
      <c r="M684" s="55" t="s">
        <v>10</v>
      </c>
      <c r="N684" s="53" t="s">
        <v>10</v>
      </c>
      <c r="O684" s="53" t="s">
        <v>10</v>
      </c>
      <c r="P684" s="53" t="s">
        <v>10</v>
      </c>
      <c r="Q684" s="55" t="s">
        <v>10</v>
      </c>
      <c r="R684" s="54" t="s">
        <v>10</v>
      </c>
      <c r="S684" s="53" t="s">
        <v>10</v>
      </c>
      <c r="T684" s="55" t="s">
        <v>10</v>
      </c>
      <c r="U684" s="56" t="s">
        <v>10</v>
      </c>
      <c r="V684" s="53" t="s">
        <v>10</v>
      </c>
      <c r="W684" s="53" t="s">
        <v>10</v>
      </c>
      <c r="X684" s="53" t="s">
        <v>10</v>
      </c>
      <c r="Y684" s="55" t="s">
        <v>10</v>
      </c>
      <c r="Z684" s="55">
        <f>(cell_HGL)</f>
        <v>382.27</v>
      </c>
      <c r="AA684" s="55" t="s">
        <v>10</v>
      </c>
      <c r="AB684" s="55" t="s">
        <v>10</v>
      </c>
      <c r="AC684" s="57" t="s">
        <v>10</v>
      </c>
      <c r="AD684" t="s">
        <v>10</v>
      </c>
    </row>
    <row r="685" spans="2:30" x14ac:dyDescent="0.2">
      <c r="B685" s="216" t="s">
        <v>10</v>
      </c>
      <c r="C685" s="217" t="s">
        <v>10</v>
      </c>
      <c r="D685" s="54" t="s">
        <v>10</v>
      </c>
      <c r="E685" s="54" t="s">
        <v>10</v>
      </c>
      <c r="F685" s="55" t="s">
        <v>10</v>
      </c>
      <c r="G685" s="54" t="s">
        <v>10</v>
      </c>
      <c r="H685" s="54" t="s">
        <v>10</v>
      </c>
      <c r="I685" s="54" t="s">
        <v>10</v>
      </c>
      <c r="J685" s="54" t="s">
        <v>10</v>
      </c>
      <c r="K685" s="56" t="s">
        <v>10</v>
      </c>
      <c r="L685" s="53" t="s">
        <v>10</v>
      </c>
      <c r="M685" s="55" t="s">
        <v>10</v>
      </c>
      <c r="N685" s="53" t="s">
        <v>10</v>
      </c>
      <c r="O685" s="53" t="s">
        <v>10</v>
      </c>
      <c r="P685" s="53" t="s">
        <v>10</v>
      </c>
      <c r="Q685" s="55" t="s">
        <v>10</v>
      </c>
      <c r="R685" s="54" t="s">
        <v>10</v>
      </c>
      <c r="S685" s="53" t="s">
        <v>10</v>
      </c>
      <c r="T685" s="55" t="s">
        <v>10</v>
      </c>
      <c r="U685" s="56" t="s">
        <v>10</v>
      </c>
      <c r="V685" s="53" t="s">
        <v>10</v>
      </c>
      <c r="W685" s="53" t="s">
        <v>10</v>
      </c>
      <c r="X685" s="53" t="s">
        <v>10</v>
      </c>
      <c r="Y685" s="55" t="s">
        <v>10</v>
      </c>
      <c r="Z685" s="55" t="s">
        <v>10</v>
      </c>
      <c r="AA685" s="55" t="s">
        <v>10</v>
      </c>
      <c r="AB685" s="55" t="s">
        <v>10</v>
      </c>
      <c r="AC685" s="57" t="s">
        <v>10</v>
      </c>
      <c r="AD685" t="s">
        <v>10</v>
      </c>
    </row>
    <row r="687" spans="2:30" x14ac:dyDescent="0.2">
      <c r="B687" s="456"/>
      <c r="C687" s="88" t="s">
        <v>511</v>
      </c>
      <c r="G687" s="585"/>
      <c r="H687" s="88" t="s">
        <v>576</v>
      </c>
    </row>
    <row r="688" spans="2:30" x14ac:dyDescent="0.2">
      <c r="B688" s="457"/>
      <c r="C688" s="88" t="s">
        <v>562</v>
      </c>
      <c r="G688" s="641"/>
      <c r="H688" s="88" t="s">
        <v>662</v>
      </c>
    </row>
    <row r="689" spans="2:3" x14ac:dyDescent="0.2">
      <c r="B689" s="458"/>
      <c r="C689" s="88" t="s">
        <v>504</v>
      </c>
    </row>
    <row r="690" spans="2:3" x14ac:dyDescent="0.2">
      <c r="B690" s="459"/>
      <c r="C690" s="88" t="s">
        <v>506</v>
      </c>
    </row>
    <row r="691" spans="2:3" x14ac:dyDescent="0.2">
      <c r="B691" s="460"/>
      <c r="C691" s="88" t="s">
        <v>507</v>
      </c>
    </row>
    <row r="692" spans="2:3" x14ac:dyDescent="0.2">
      <c r="B692" s="511"/>
      <c r="C692" s="88" t="s">
        <v>509</v>
      </c>
    </row>
    <row r="693" spans="2:3" x14ac:dyDescent="0.2">
      <c r="B693" s="461"/>
      <c r="C693" s="88" t="s">
        <v>510</v>
      </c>
    </row>
    <row r="694" spans="2:3" x14ac:dyDescent="0.2">
      <c r="B694" s="462"/>
      <c r="C694" s="88" t="s">
        <v>550</v>
      </c>
    </row>
    <row r="695" spans="2:3" x14ac:dyDescent="0.2">
      <c r="B695" s="463"/>
      <c r="C695" s="88" t="s">
        <v>551</v>
      </c>
    </row>
    <row r="696" spans="2:3" x14ac:dyDescent="0.2">
      <c r="B696" s="464"/>
      <c r="C696" s="88" t="s">
        <v>534</v>
      </c>
    </row>
    <row r="697" spans="2:3" x14ac:dyDescent="0.2">
      <c r="B697" s="470"/>
      <c r="C697" s="88" t="s">
        <v>549</v>
      </c>
    </row>
    <row r="698" spans="2:3" x14ac:dyDescent="0.2">
      <c r="C698" s="88"/>
    </row>
    <row r="709" spans="4:4" x14ac:dyDescent="0.2">
      <c r="D709" s="326"/>
    </row>
    <row r="741" spans="2:3" x14ac:dyDescent="0.2">
      <c r="C741" s="88"/>
    </row>
    <row r="742" spans="2:3" x14ac:dyDescent="0.2">
      <c r="C742" s="88"/>
    </row>
    <row r="743" spans="2:3" x14ac:dyDescent="0.2">
      <c r="C743" s="88"/>
    </row>
    <row r="744" spans="2:3" x14ac:dyDescent="0.2">
      <c r="C744" s="88"/>
    </row>
    <row r="745" spans="2:3" x14ac:dyDescent="0.2">
      <c r="C745" s="88"/>
    </row>
    <row r="746" spans="2:3" x14ac:dyDescent="0.2">
      <c r="B746" s="342"/>
      <c r="C746" s="88"/>
    </row>
    <row r="747" spans="2:3" x14ac:dyDescent="0.2">
      <c r="C747" s="88"/>
    </row>
    <row r="748" spans="2:3" x14ac:dyDescent="0.2">
      <c r="C748" s="88"/>
    </row>
    <row r="749" spans="2:3" x14ac:dyDescent="0.2">
      <c r="C749" s="88"/>
    </row>
  </sheetData>
  <mergeCells count="10">
    <mergeCell ref="A294:A298"/>
    <mergeCell ref="A307:A311"/>
    <mergeCell ref="A315:A328"/>
    <mergeCell ref="A287:A289"/>
    <mergeCell ref="A25:A28"/>
    <mergeCell ref="A186:A199"/>
    <mergeCell ref="A277:A281"/>
    <mergeCell ref="A169:A173"/>
    <mergeCell ref="A156:A157"/>
    <mergeCell ref="A204:A221"/>
  </mergeCells>
  <phoneticPr fontId="0" type="noConversion"/>
  <conditionalFormatting sqref="T207:T208 T221:T228 T594:T652 T656:T660 T82:T172 T1:T80 T174:T189 T191:T205 T315:T318 T297:T302 T482:T488 T305:T313 T664:T685 T687:T1048576 T232:T294 T320:T423 T490:T591 T425:T480">
    <cfRule type="cellIs" dxfId="39" priority="63" stopIfTrue="1" operator="between">
      <formula>0.0001</formula>
      <formula>$AA$3</formula>
    </cfRule>
    <cfRule type="cellIs" dxfId="38" priority="64" stopIfTrue="1" operator="between">
      <formula>$AC$3</formula>
      <formula>20</formula>
    </cfRule>
  </conditionalFormatting>
  <conditionalFormatting sqref="U207:U208 U221:U228 U594:U652 U656:U660 U82:U172 U1:U80 U174:U189 U191:U205 U315:U318 U297:U302 U482:U488 U305:U313 U664:U685 U687:U1048576 U232:U294 U320:U423 U490:U591 U425:U480">
    <cfRule type="cellIs" dxfId="37" priority="65" stopIfTrue="1" operator="between">
      <formula>0.0000001</formula>
      <formula>$AA$4</formula>
    </cfRule>
    <cfRule type="cellIs" dxfId="36" priority="66" stopIfTrue="1" operator="between">
      <formula>$AA$5</formula>
      <formula>1</formula>
    </cfRule>
  </conditionalFormatting>
  <conditionalFormatting sqref="T593">
    <cfRule type="cellIs" dxfId="35" priority="25" stopIfTrue="1" operator="between">
      <formula>0.0001</formula>
      <formula>$AA$3</formula>
    </cfRule>
    <cfRule type="cellIs" dxfId="34" priority="26" stopIfTrue="1" operator="between">
      <formula>$AC$3</formula>
      <formula>20</formula>
    </cfRule>
  </conditionalFormatting>
  <conditionalFormatting sqref="U593">
    <cfRule type="cellIs" dxfId="33" priority="27" stopIfTrue="1" operator="between">
      <formula>0.0000001</formula>
      <formula>$AA$4</formula>
    </cfRule>
    <cfRule type="cellIs" dxfId="32" priority="28" stopIfTrue="1" operator="between">
      <formula>$AA$5</formula>
      <formula>1</formula>
    </cfRule>
  </conditionalFormatting>
  <conditionalFormatting sqref="T592">
    <cfRule type="cellIs" dxfId="31" priority="33" stopIfTrue="1" operator="between">
      <formula>0.0001</formula>
      <formula>$AA$3</formula>
    </cfRule>
    <cfRule type="cellIs" dxfId="30" priority="34" stopIfTrue="1" operator="between">
      <formula>$AC$3</formula>
      <formula>20</formula>
    </cfRule>
  </conditionalFormatting>
  <conditionalFormatting sqref="U592">
    <cfRule type="cellIs" dxfId="29" priority="35" stopIfTrue="1" operator="between">
      <formula>0.0000001</formula>
      <formula>$AA$4</formula>
    </cfRule>
    <cfRule type="cellIs" dxfId="28" priority="36" stopIfTrue="1" operator="between">
      <formula>$AA$5</formula>
      <formula>1</formula>
    </cfRule>
  </conditionalFormatting>
  <conditionalFormatting sqref="T653:T655">
    <cfRule type="cellIs" dxfId="27" priority="17" stopIfTrue="1" operator="between">
      <formula>0.0001</formula>
      <formula>$AA$3</formula>
    </cfRule>
    <cfRule type="cellIs" dxfId="26" priority="18" stopIfTrue="1" operator="between">
      <formula>$AC$3</formula>
      <formula>20</formula>
    </cfRule>
  </conditionalFormatting>
  <conditionalFormatting sqref="U653:U655">
    <cfRule type="cellIs" dxfId="25" priority="19" stopIfTrue="1" operator="between">
      <formula>0.0000001</formula>
      <formula>$AA$4</formula>
    </cfRule>
    <cfRule type="cellIs" dxfId="24" priority="20" stopIfTrue="1" operator="between">
      <formula>$AA$5</formula>
      <formula>1</formula>
    </cfRule>
  </conditionalFormatting>
  <conditionalFormatting sqref="T661:T663">
    <cfRule type="cellIs" dxfId="23" priority="9" stopIfTrue="1" operator="between">
      <formula>0.0001</formula>
      <formula>$AA$3</formula>
    </cfRule>
    <cfRule type="cellIs" dxfId="22" priority="10" stopIfTrue="1" operator="between">
      <formula>$AC$3</formula>
      <formula>20</formula>
    </cfRule>
  </conditionalFormatting>
  <conditionalFormatting sqref="U661:U663">
    <cfRule type="cellIs" dxfId="21" priority="11" stopIfTrue="1" operator="between">
      <formula>0.0000001</formula>
      <formula>$AA$4</formula>
    </cfRule>
    <cfRule type="cellIs" dxfId="20" priority="12" stopIfTrue="1" operator="between">
      <formula>$AA$5</formula>
      <formula>1</formula>
    </cfRule>
  </conditionalFormatting>
  <conditionalFormatting sqref="T81">
    <cfRule type="cellIs" dxfId="19" priority="1" stopIfTrue="1" operator="between">
      <formula>0.0001</formula>
      <formula>$AA$3</formula>
    </cfRule>
    <cfRule type="cellIs" dxfId="18" priority="2" stopIfTrue="1" operator="between">
      <formula>$AC$3</formula>
      <formula>20</formula>
    </cfRule>
  </conditionalFormatting>
  <conditionalFormatting sqref="U81">
    <cfRule type="cellIs" dxfId="17" priority="3" stopIfTrue="1" operator="between">
      <formula>0.0000001</formula>
      <formula>$AA$4</formula>
    </cfRule>
    <cfRule type="cellIs" dxfId="16" priority="4" stopIfTrue="1" operator="between">
      <formula>$AA$5</formula>
      <formula>1</formula>
    </cfRule>
  </conditionalFormatting>
  <pageMargins left="0.5" right="0" top="0.5" bottom="0.75" header="0.5" footer="0.5"/>
  <pageSetup paperSize="5" scale="60" orientation="landscape" horizontalDpi="4294967292" r:id="rId1"/>
  <headerFooter alignWithMargins="0">
    <oddFooter>&amp;L&amp;F&amp;RPAGE &amp;P</oddFooter>
  </headerFooter>
  <rowBreaks count="11" manualBreakCount="11">
    <brk id="55" max="29" man="1"/>
    <brk id="102" max="29" man="1"/>
    <brk id="148" max="29" man="1"/>
    <brk id="194" max="29" man="1"/>
    <brk id="241" max="29" man="1"/>
    <brk id="286" max="29" man="1"/>
    <brk id="332" max="29" man="1"/>
    <brk id="443" max="29" man="1"/>
    <brk id="487" max="29" man="1"/>
    <brk id="559" max="29" man="1"/>
    <brk id="605" max="29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syncVertical="1" syncRef="A9" transitionEvaluation="1" transitionEntry="1" codeName="Sheet2"/>
  <dimension ref="A1:R455"/>
  <sheetViews>
    <sheetView showGridLines="0" tabSelected="1" view="pageBreakPreview" zoomScale="70" zoomScaleNormal="100" zoomScaleSheetLayoutView="70" workbookViewId="0">
      <pane ySplit="8" topLeftCell="A9" activePane="bottomLeft" state="frozen"/>
      <selection pane="bottomLeft" activeCell="B135" sqref="B135"/>
    </sheetView>
  </sheetViews>
  <sheetFormatPr defaultColWidth="9.77734375" defaultRowHeight="15" x14ac:dyDescent="0.2"/>
  <cols>
    <col min="1" max="1" width="9.77734375" style="601"/>
    <col min="2" max="2" width="8.77734375" style="90" customWidth="1"/>
    <col min="3" max="5" width="10.77734375" style="90" customWidth="1"/>
    <col min="6" max="6" width="8.77734375" style="90" customWidth="1"/>
    <col min="7" max="8" width="14.77734375" style="90" customWidth="1"/>
    <col min="9" max="9" width="10.77734375" style="90" customWidth="1"/>
    <col min="10" max="10" width="8.77734375" style="90" customWidth="1"/>
    <col min="11" max="11" width="10.77734375" style="90" customWidth="1"/>
    <col min="12" max="12" width="7.77734375" style="90" customWidth="1"/>
    <col min="13" max="16384" width="9.77734375" style="90"/>
  </cols>
  <sheetData>
    <row r="1" spans="1:16" s="1" customFormat="1" ht="18" x14ac:dyDescent="0.25">
      <c r="A1" s="600"/>
      <c r="B1" s="5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</row>
    <row r="2" spans="1:16" s="1" customFormat="1" ht="18" x14ac:dyDescent="0.25">
      <c r="A2" s="600"/>
      <c r="B2" s="5" t="s">
        <v>4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1:16" s="1" customFormat="1" ht="15.75" x14ac:dyDescent="0.25">
      <c r="A3" s="600"/>
      <c r="B3" s="6"/>
      <c r="C3" s="6"/>
      <c r="D3" s="6"/>
      <c r="E3" s="6"/>
      <c r="F3"/>
      <c r="G3" s="6"/>
      <c r="H3" s="6"/>
      <c r="I3" s="6"/>
      <c r="J3" s="6"/>
      <c r="K3" s="6"/>
      <c r="L3" s="6"/>
    </row>
    <row r="4" spans="1:16" s="1" customFormat="1" ht="15.75" x14ac:dyDescent="0.25">
      <c r="A4" s="600"/>
      <c r="B4" s="13" t="s">
        <v>9</v>
      </c>
      <c r="C4" s="6"/>
      <c r="D4" s="218" t="str">
        <f>cell_DA</f>
        <v>BX</v>
      </c>
      <c r="E4" s="6"/>
      <c r="F4"/>
      <c r="G4" s="6"/>
      <c r="H4" s="27" t="s">
        <v>11</v>
      </c>
      <c r="I4" s="28" t="str">
        <f>cell_DATE</f>
        <v>9-28-2018</v>
      </c>
      <c r="K4" s="219" t="s">
        <v>245</v>
      </c>
      <c r="L4" s="220">
        <v>1.75E-3</v>
      </c>
    </row>
    <row r="5" spans="1:16" s="1" customFormat="1" ht="15.75" x14ac:dyDescent="0.25">
      <c r="A5" s="600"/>
      <c r="B5" s="13" t="s">
        <v>15</v>
      </c>
      <c r="C5" s="6"/>
      <c r="D5" s="14" t="str">
        <f>cell_ALT</f>
        <v>2 yr Design Storm, All Branches updated for Entire System</v>
      </c>
      <c r="F5" s="6"/>
      <c r="G5" s="6"/>
      <c r="H5" s="16" t="s">
        <v>19</v>
      </c>
      <c r="I5" s="29" t="str">
        <f>cell_NAME</f>
        <v>BN</v>
      </c>
      <c r="K5" s="221" t="s">
        <v>249</v>
      </c>
      <c r="L5" s="222">
        <v>45.499000000000002</v>
      </c>
    </row>
    <row r="6" spans="1:16" s="1" customFormat="1" ht="16.5" thickBot="1" x14ac:dyDescent="0.3">
      <c r="A6" s="600"/>
      <c r="D6" s="513">
        <f>HYDROLOGY!E6</f>
        <v>0</v>
      </c>
      <c r="H6" s="354" t="str">
        <f>HYDROLOGY!P6</f>
        <v>REVISED BY:</v>
      </c>
      <c r="I6" s="414" t="str">
        <f>HYDROLOGY!Q6</f>
        <v>DW 10/30/2025</v>
      </c>
    </row>
    <row r="7" spans="1:16" s="1" customFormat="1" ht="15.75" x14ac:dyDescent="0.25">
      <c r="A7" s="600"/>
      <c r="B7" s="17" t="s">
        <v>24</v>
      </c>
      <c r="C7" s="17" t="s">
        <v>47</v>
      </c>
      <c r="D7" s="17" t="s">
        <v>27</v>
      </c>
      <c r="E7" s="17" t="s">
        <v>48</v>
      </c>
      <c r="F7" s="17" t="s">
        <v>26</v>
      </c>
      <c r="G7" s="17" t="s">
        <v>49</v>
      </c>
      <c r="H7" s="17" t="s">
        <v>50</v>
      </c>
      <c r="I7" s="17" t="s">
        <v>39</v>
      </c>
      <c r="J7" s="17" t="s">
        <v>29</v>
      </c>
      <c r="K7" s="17" t="s">
        <v>32</v>
      </c>
      <c r="L7" s="33" t="s">
        <v>34</v>
      </c>
    </row>
    <row r="8" spans="1:16" s="1" customFormat="1" ht="16.5" thickBot="1" x14ac:dyDescent="0.3">
      <c r="A8" s="600"/>
      <c r="B8" s="31" t="s">
        <v>66</v>
      </c>
      <c r="C8" s="31" t="s">
        <v>77</v>
      </c>
      <c r="D8" s="31" t="s">
        <v>67</v>
      </c>
      <c r="E8" s="31" t="s">
        <v>67</v>
      </c>
      <c r="F8" s="32"/>
      <c r="G8" s="31" t="s">
        <v>78</v>
      </c>
      <c r="H8" s="31" t="s">
        <v>78</v>
      </c>
      <c r="I8" s="31" t="s">
        <v>70</v>
      </c>
      <c r="J8" s="31" t="s">
        <v>69</v>
      </c>
      <c r="K8" s="31" t="s">
        <v>72</v>
      </c>
      <c r="L8" s="34" t="s">
        <v>72</v>
      </c>
    </row>
    <row r="9" spans="1:16" s="1" customFormat="1" ht="9.75" customHeight="1" thickTop="1" thickBot="1" x14ac:dyDescent="0.25">
      <c r="A9" s="600"/>
      <c r="B9" s="18"/>
      <c r="C9" s="19"/>
      <c r="D9" s="19"/>
      <c r="E9" s="19"/>
      <c r="F9" s="19"/>
      <c r="G9" s="19"/>
      <c r="H9" s="19"/>
      <c r="I9" s="19"/>
      <c r="J9" s="19"/>
      <c r="K9" s="19"/>
      <c r="L9" s="20"/>
    </row>
    <row r="10" spans="1:16" s="1" customFormat="1" ht="16.5" thickTop="1" thickBot="1" x14ac:dyDescent="0.25">
      <c r="A10" s="600"/>
      <c r="B10" s="206"/>
      <c r="C10" s="207"/>
      <c r="D10" s="207"/>
      <c r="E10" s="207"/>
      <c r="F10" s="207"/>
      <c r="G10" s="207"/>
      <c r="H10" s="207"/>
      <c r="I10" s="207"/>
      <c r="J10" s="207"/>
      <c r="K10" s="207"/>
      <c r="L10" s="208"/>
    </row>
    <row r="11" spans="1:16" ht="15.75" thickTop="1" x14ac:dyDescent="0.2">
      <c r="B11" s="514">
        <v>1</v>
      </c>
      <c r="C11" s="515">
        <v>14.7</v>
      </c>
      <c r="D11" s="515">
        <f>C11*0.65</f>
        <v>9.5549999999999997</v>
      </c>
      <c r="E11" s="515">
        <f>D11</f>
        <v>9.5549999999999997</v>
      </c>
      <c r="F11" s="516">
        <f t="shared" ref="F11:F74" si="0">E11/C11</f>
        <v>0.65</v>
      </c>
      <c r="G11" s="517" t="s">
        <v>254</v>
      </c>
      <c r="H11" s="517" t="s">
        <v>254</v>
      </c>
      <c r="I11" s="518" t="s">
        <v>254</v>
      </c>
      <c r="J11" s="519" t="s">
        <v>254</v>
      </c>
      <c r="K11" s="518">
        <v>10</v>
      </c>
      <c r="L11" s="518" t="s">
        <v>254</v>
      </c>
      <c r="M11" s="305" t="s">
        <v>493</v>
      </c>
      <c r="N11" s="22"/>
      <c r="O11" s="22"/>
      <c r="P11" s="22"/>
    </row>
    <row r="12" spans="1:16" x14ac:dyDescent="0.2">
      <c r="B12" s="244">
        <v>2</v>
      </c>
      <c r="C12" s="404">
        <v>6</v>
      </c>
      <c r="D12" s="404">
        <f>C12*0.9</f>
        <v>5.4</v>
      </c>
      <c r="E12" s="404">
        <f>D12</f>
        <v>5.4</v>
      </c>
      <c r="F12" s="405">
        <f t="shared" si="0"/>
        <v>0.9</v>
      </c>
      <c r="G12" s="246">
        <v>436.5</v>
      </c>
      <c r="H12" s="405">
        <v>427.03</v>
      </c>
      <c r="I12" s="520">
        <v>2150</v>
      </c>
      <c r="J12" s="248">
        <f t="shared" ref="J12:J74" si="1">(G12-H12)/I12</f>
        <v>4.4046511627907105E-3</v>
      </c>
      <c r="K12" s="247">
        <v>5</v>
      </c>
      <c r="L12" s="249">
        <f t="shared" ref="L12:L75" si="2">(I12)/((0.84*(J12^0.5)*(cell_GUTDEP^0.6666)/cell_NRD)*60)+K12</f>
        <v>23.336404022873594</v>
      </c>
      <c r="M12" s="88" t="s">
        <v>494</v>
      </c>
      <c r="N12" s="98"/>
      <c r="O12" s="98"/>
      <c r="P12" s="98"/>
    </row>
    <row r="13" spans="1:16" x14ac:dyDescent="0.2">
      <c r="B13" s="244">
        <v>3</v>
      </c>
      <c r="C13" s="404">
        <v>8.6</v>
      </c>
      <c r="D13" s="404">
        <f>0.42*1.4+0.65*5.4+0.7*1.7</f>
        <v>5.2880000000000003</v>
      </c>
      <c r="E13" s="404">
        <f>D13*1.1</f>
        <v>5.8168000000000006</v>
      </c>
      <c r="F13" s="405">
        <f t="shared" si="0"/>
        <v>0.67637209302325596</v>
      </c>
      <c r="G13" s="405">
        <v>432.8</v>
      </c>
      <c r="H13" s="405">
        <v>428.9</v>
      </c>
      <c r="I13" s="520">
        <v>650</v>
      </c>
      <c r="J13" s="248">
        <f t="shared" si="1"/>
        <v>6.0000000000000522E-3</v>
      </c>
      <c r="K13" s="247">
        <v>5</v>
      </c>
      <c r="L13" s="249">
        <f t="shared" si="2"/>
        <v>9.7497330400813151</v>
      </c>
      <c r="M13" s="88" t="s">
        <v>492</v>
      </c>
      <c r="N13" s="98"/>
      <c r="O13" s="98"/>
      <c r="P13" s="98"/>
    </row>
    <row r="14" spans="1:16" x14ac:dyDescent="0.2">
      <c r="B14" s="244">
        <v>5</v>
      </c>
      <c r="C14" s="245">
        <v>1.68</v>
      </c>
      <c r="D14" s="245">
        <v>1.512</v>
      </c>
      <c r="E14" s="245">
        <v>1.512</v>
      </c>
      <c r="F14" s="246">
        <f t="shared" si="0"/>
        <v>0.9</v>
      </c>
      <c r="G14" s="246">
        <v>428.7</v>
      </c>
      <c r="H14" s="246">
        <v>426.82</v>
      </c>
      <c r="I14" s="247">
        <v>690</v>
      </c>
      <c r="J14" s="248">
        <f t="shared" si="1"/>
        <v>2.7246376811594138E-3</v>
      </c>
      <c r="K14" s="247">
        <v>5</v>
      </c>
      <c r="L14" s="249">
        <f t="shared" si="2"/>
        <v>12.482146039982243</v>
      </c>
      <c r="M14" s="88" t="s">
        <v>268</v>
      </c>
      <c r="N14" s="98"/>
      <c r="O14" s="98"/>
      <c r="P14" s="98"/>
    </row>
    <row r="15" spans="1:16" ht="15.75" x14ac:dyDescent="0.25">
      <c r="B15" s="244">
        <v>6</v>
      </c>
      <c r="C15" s="245">
        <v>2.17</v>
      </c>
      <c r="D15" s="245">
        <v>0.434</v>
      </c>
      <c r="E15" s="245">
        <v>0.434</v>
      </c>
      <c r="F15" s="246">
        <f t="shared" si="0"/>
        <v>0.2</v>
      </c>
      <c r="G15" s="246">
        <v>428.45</v>
      </c>
      <c r="H15" s="246">
        <v>423</v>
      </c>
      <c r="I15" s="247">
        <v>1725</v>
      </c>
      <c r="J15" s="248">
        <f t="shared" si="1"/>
        <v>3.1594202898550658E-3</v>
      </c>
      <c r="K15" s="356">
        <v>10</v>
      </c>
      <c r="L15" s="249">
        <f t="shared" si="2"/>
        <v>27.37068189392371</v>
      </c>
      <c r="M15" s="88" t="s">
        <v>495</v>
      </c>
      <c r="N15" s="98"/>
      <c r="O15" s="98"/>
      <c r="P15" s="98"/>
    </row>
    <row r="16" spans="1:16" x14ac:dyDescent="0.2">
      <c r="B16" s="244">
        <v>6.1</v>
      </c>
      <c r="C16" s="245">
        <v>1.89</v>
      </c>
      <c r="D16" s="245">
        <v>0.53339999999999999</v>
      </c>
      <c r="E16" s="245">
        <v>1.1447000000000001</v>
      </c>
      <c r="F16" s="246">
        <f t="shared" si="0"/>
        <v>0.60566137566137568</v>
      </c>
      <c r="G16" s="246">
        <v>426.31</v>
      </c>
      <c r="H16" s="246">
        <v>423.33</v>
      </c>
      <c r="I16" s="247">
        <v>1228</v>
      </c>
      <c r="J16" s="248">
        <f t="shared" si="1"/>
        <v>2.4267100977198846E-3</v>
      </c>
      <c r="K16" s="247">
        <v>20</v>
      </c>
      <c r="L16" s="249">
        <f t="shared" si="2"/>
        <v>34.109800959387883</v>
      </c>
      <c r="M16" s="88" t="s">
        <v>269</v>
      </c>
      <c r="N16" s="98"/>
      <c r="O16" s="98"/>
      <c r="P16" s="98"/>
    </row>
    <row r="17" spans="1:16" x14ac:dyDescent="0.2">
      <c r="A17" s="602"/>
      <c r="B17" s="244">
        <v>7</v>
      </c>
      <c r="C17" s="245">
        <v>5.33</v>
      </c>
      <c r="D17" s="245">
        <v>2.2385999999999999</v>
      </c>
      <c r="E17" s="245">
        <v>2.4624999999999999</v>
      </c>
      <c r="F17" s="246">
        <f t="shared" si="0"/>
        <v>0.4620075046904315</v>
      </c>
      <c r="G17" s="246">
        <v>426.12</v>
      </c>
      <c r="H17" s="246">
        <v>423.38</v>
      </c>
      <c r="I17" s="247">
        <v>1136</v>
      </c>
      <c r="J17" s="248">
        <f t="shared" si="1"/>
        <v>2.4119718309859235E-3</v>
      </c>
      <c r="K17" s="247">
        <v>20</v>
      </c>
      <c r="L17" s="249">
        <f t="shared" si="2"/>
        <v>33.092533230933888</v>
      </c>
      <c r="M17" s="88" t="s">
        <v>270</v>
      </c>
      <c r="N17" s="98"/>
      <c r="O17" s="98"/>
      <c r="P17" s="98"/>
    </row>
    <row r="18" spans="1:16" ht="15.75" x14ac:dyDescent="0.25">
      <c r="A18" s="685" t="s">
        <v>560</v>
      </c>
      <c r="B18" s="384">
        <v>8</v>
      </c>
      <c r="C18" s="385">
        <v>9.8000000000000007</v>
      </c>
      <c r="D18" s="385">
        <f>C18*0.462</f>
        <v>4.5276000000000005</v>
      </c>
      <c r="E18" s="385">
        <f>D18*1.1</f>
        <v>4.980360000000001</v>
      </c>
      <c r="F18" s="386">
        <f t="shared" si="0"/>
        <v>0.5082000000000001</v>
      </c>
      <c r="G18" s="386">
        <v>427.7</v>
      </c>
      <c r="H18" s="386">
        <v>424.23</v>
      </c>
      <c r="I18" s="387">
        <v>1180</v>
      </c>
      <c r="J18" s="388">
        <f>((G18-0.38)-(H18-0.5))/I18</f>
        <v>3.0423728813559112E-3</v>
      </c>
      <c r="K18" s="387">
        <v>20</v>
      </c>
      <c r="L18" s="389">
        <f t="shared" si="2"/>
        <v>32.108971468560014</v>
      </c>
      <c r="M18" s="88" t="s">
        <v>501</v>
      </c>
      <c r="N18" s="98"/>
      <c r="O18" s="98"/>
      <c r="P18" s="98"/>
    </row>
    <row r="19" spans="1:16" ht="15.75" x14ac:dyDescent="0.25">
      <c r="A19" s="686"/>
      <c r="B19" s="390">
        <v>9</v>
      </c>
      <c r="C19" s="385">
        <v>3.6</v>
      </c>
      <c r="D19" s="385">
        <f>C19*0.462</f>
        <v>1.6632</v>
      </c>
      <c r="E19" s="385">
        <f>D19*1.1</f>
        <v>1.8295200000000003</v>
      </c>
      <c r="F19" s="391">
        <f t="shared" si="0"/>
        <v>0.5082000000000001</v>
      </c>
      <c r="G19" s="391">
        <v>428.7</v>
      </c>
      <c r="H19" s="391">
        <v>425.17</v>
      </c>
      <c r="I19" s="392">
        <v>865</v>
      </c>
      <c r="J19" s="393">
        <f t="shared" si="1"/>
        <v>4.0809248554912981E-3</v>
      </c>
      <c r="K19" s="392">
        <v>20</v>
      </c>
      <c r="L19" s="394">
        <f t="shared" si="2"/>
        <v>27.664225561498856</v>
      </c>
      <c r="M19" s="88" t="s">
        <v>502</v>
      </c>
      <c r="N19" s="98"/>
      <c r="O19" s="98"/>
      <c r="P19" s="98"/>
    </row>
    <row r="20" spans="1:16" x14ac:dyDescent="0.2">
      <c r="B20" s="244">
        <v>10</v>
      </c>
      <c r="C20" s="245">
        <v>6.18</v>
      </c>
      <c r="D20" s="245">
        <v>2.3946000000000001</v>
      </c>
      <c r="E20" s="245">
        <v>2.63</v>
      </c>
      <c r="F20" s="246">
        <f t="shared" si="0"/>
        <v>0.42556634304207119</v>
      </c>
      <c r="G20" s="246">
        <v>426.7</v>
      </c>
      <c r="H20" s="246">
        <v>421.46</v>
      </c>
      <c r="I20" s="247">
        <v>1330</v>
      </c>
      <c r="J20" s="248">
        <f t="shared" si="1"/>
        <v>3.9398496240601573E-3</v>
      </c>
      <c r="K20" s="247">
        <v>25</v>
      </c>
      <c r="L20" s="249">
        <f t="shared" si="2"/>
        <v>36.993426754750573</v>
      </c>
      <c r="M20" s="88" t="s">
        <v>271</v>
      </c>
      <c r="N20" s="98"/>
      <c r="O20" s="98"/>
      <c r="P20" s="98"/>
    </row>
    <row r="21" spans="1:16" x14ac:dyDescent="0.2">
      <c r="B21" s="244">
        <v>11</v>
      </c>
      <c r="C21" s="245">
        <v>3.36</v>
      </c>
      <c r="D21" s="245">
        <v>1.4112</v>
      </c>
      <c r="E21" s="245">
        <v>1.5523</v>
      </c>
      <c r="F21" s="246">
        <f t="shared" si="0"/>
        <v>0.46199404761904767</v>
      </c>
      <c r="G21" s="246">
        <v>424.85</v>
      </c>
      <c r="H21" s="246">
        <v>421.85</v>
      </c>
      <c r="I21" s="247">
        <v>561</v>
      </c>
      <c r="J21" s="248">
        <f t="shared" si="1"/>
        <v>5.3475935828877002E-3</v>
      </c>
      <c r="K21" s="247">
        <v>20</v>
      </c>
      <c r="L21" s="249">
        <f t="shared" si="2"/>
        <v>24.342253098675407</v>
      </c>
      <c r="M21" s="88" t="s">
        <v>272</v>
      </c>
      <c r="N21" s="98"/>
      <c r="O21" s="98"/>
      <c r="P21" s="98"/>
    </row>
    <row r="22" spans="1:16" x14ac:dyDescent="0.2">
      <c r="B22" s="244">
        <v>12</v>
      </c>
      <c r="C22" s="245">
        <v>1.95</v>
      </c>
      <c r="D22" s="245">
        <v>0.624</v>
      </c>
      <c r="E22" s="245">
        <v>0.6825</v>
      </c>
      <c r="F22" s="246">
        <f t="shared" si="0"/>
        <v>0.35000000000000003</v>
      </c>
      <c r="G22" s="246">
        <v>423.03</v>
      </c>
      <c r="H22" s="246">
        <v>422.02</v>
      </c>
      <c r="I22" s="247">
        <v>442</v>
      </c>
      <c r="J22" s="248">
        <f t="shared" si="1"/>
        <v>2.2850678733031468E-3</v>
      </c>
      <c r="K22" s="247">
        <v>25</v>
      </c>
      <c r="L22" s="249">
        <f t="shared" si="2"/>
        <v>30.233644101117648</v>
      </c>
      <c r="M22" s="88" t="s">
        <v>273</v>
      </c>
      <c r="N22" s="98"/>
      <c r="O22" s="98"/>
      <c r="P22" s="98"/>
    </row>
    <row r="23" spans="1:16" x14ac:dyDescent="0.2">
      <c r="B23" s="244">
        <v>13</v>
      </c>
      <c r="C23" s="245">
        <v>3.98</v>
      </c>
      <c r="D23" s="245">
        <v>1.2736000000000001</v>
      </c>
      <c r="E23" s="245">
        <v>1.393</v>
      </c>
      <c r="F23" s="246">
        <f t="shared" si="0"/>
        <v>0.35000000000000003</v>
      </c>
      <c r="G23" s="246">
        <v>423.86</v>
      </c>
      <c r="H23" s="246">
        <v>422</v>
      </c>
      <c r="I23" s="247">
        <v>680</v>
      </c>
      <c r="J23" s="248">
        <f t="shared" si="1"/>
        <v>2.7352941176470788E-3</v>
      </c>
      <c r="K23" s="247">
        <v>25</v>
      </c>
      <c r="L23" s="249">
        <f t="shared" si="2"/>
        <v>32.359331501425565</v>
      </c>
      <c r="M23" s="88" t="s">
        <v>274</v>
      </c>
      <c r="N23" s="98"/>
      <c r="O23" s="98"/>
      <c r="P23" s="98"/>
    </row>
    <row r="24" spans="1:16" x14ac:dyDescent="0.2">
      <c r="B24" s="244">
        <v>15</v>
      </c>
      <c r="C24" s="245">
        <v>4.8</v>
      </c>
      <c r="D24" s="245">
        <v>2.016</v>
      </c>
      <c r="E24" s="245">
        <v>2.2176</v>
      </c>
      <c r="F24" s="246">
        <f t="shared" si="0"/>
        <v>0.46200000000000002</v>
      </c>
      <c r="G24" s="246">
        <v>422.23</v>
      </c>
      <c r="H24" s="246">
        <v>417.6</v>
      </c>
      <c r="I24" s="247">
        <v>919</v>
      </c>
      <c r="J24" s="248">
        <f t="shared" si="1"/>
        <v>5.0380848748639772E-3</v>
      </c>
      <c r="K24" s="247">
        <v>20</v>
      </c>
      <c r="L24" s="249">
        <f t="shared" si="2"/>
        <v>27.328485633307189</v>
      </c>
      <c r="M24" s="88" t="s">
        <v>275</v>
      </c>
      <c r="N24" s="98"/>
      <c r="O24" s="98"/>
      <c r="P24" s="98"/>
    </row>
    <row r="25" spans="1:16" x14ac:dyDescent="0.2">
      <c r="B25" s="244">
        <v>16</v>
      </c>
      <c r="C25" s="245">
        <v>4.0999999999999996</v>
      </c>
      <c r="D25" s="245">
        <v>1.3120000000000001</v>
      </c>
      <c r="E25" s="245">
        <v>1.4350000000000001</v>
      </c>
      <c r="F25" s="246">
        <f t="shared" si="0"/>
        <v>0.35000000000000003</v>
      </c>
      <c r="G25" s="246">
        <v>423.03</v>
      </c>
      <c r="H25" s="246">
        <v>419.78</v>
      </c>
      <c r="I25" s="247">
        <v>1205</v>
      </c>
      <c r="J25" s="248">
        <f t="shared" si="1"/>
        <v>2.6970954356846473E-3</v>
      </c>
      <c r="K25" s="247">
        <v>25</v>
      </c>
      <c r="L25" s="249">
        <f t="shared" si="2"/>
        <v>38.133193985371648</v>
      </c>
      <c r="M25" s="88" t="s">
        <v>276</v>
      </c>
      <c r="N25" s="98"/>
      <c r="O25" s="98"/>
      <c r="P25" s="98"/>
    </row>
    <row r="26" spans="1:16" x14ac:dyDescent="0.2">
      <c r="B26" s="244">
        <v>17</v>
      </c>
      <c r="C26" s="245">
        <v>3.03</v>
      </c>
      <c r="D26" s="245">
        <v>0.96</v>
      </c>
      <c r="E26" s="245">
        <v>1.07</v>
      </c>
      <c r="F26" s="246">
        <f t="shared" si="0"/>
        <v>0.35313531353135319</v>
      </c>
      <c r="G26" s="246">
        <v>421</v>
      </c>
      <c r="H26" s="246">
        <v>418.37</v>
      </c>
      <c r="I26" s="247">
        <v>977</v>
      </c>
      <c r="J26" s="248">
        <f t="shared" si="1"/>
        <v>2.6919140225179074E-3</v>
      </c>
      <c r="K26" s="247">
        <v>25</v>
      </c>
      <c r="L26" s="249">
        <f t="shared" si="2"/>
        <v>35.658484072914263</v>
      </c>
      <c r="M26" s="88" t="s">
        <v>277</v>
      </c>
      <c r="N26" s="98"/>
      <c r="O26" s="98"/>
      <c r="P26" s="98"/>
    </row>
    <row r="27" spans="1:16" x14ac:dyDescent="0.2">
      <c r="B27" s="244">
        <v>18</v>
      </c>
      <c r="C27" s="245">
        <v>2.67</v>
      </c>
      <c r="D27" s="245">
        <v>1.1214</v>
      </c>
      <c r="E27" s="245">
        <v>1.2335</v>
      </c>
      <c r="F27" s="246">
        <f t="shared" si="0"/>
        <v>0.46198501872659181</v>
      </c>
      <c r="G27" s="246">
        <v>425.49</v>
      </c>
      <c r="H27" s="246">
        <v>417.61</v>
      </c>
      <c r="I27" s="247">
        <v>1328</v>
      </c>
      <c r="J27" s="248">
        <f t="shared" si="1"/>
        <v>5.9337349397590331E-3</v>
      </c>
      <c r="K27" s="247">
        <v>20</v>
      </c>
      <c r="L27" s="249">
        <f t="shared" si="2"/>
        <v>29.758104687686881</v>
      </c>
      <c r="M27" s="88" t="s">
        <v>278</v>
      </c>
      <c r="N27" s="98"/>
      <c r="O27" s="98"/>
      <c r="P27" s="98"/>
    </row>
    <row r="28" spans="1:16" x14ac:dyDescent="0.2">
      <c r="B28" s="244">
        <v>19</v>
      </c>
      <c r="C28" s="245">
        <v>4.1500000000000004</v>
      </c>
      <c r="D28" s="245">
        <v>3.7349999999999999</v>
      </c>
      <c r="E28" s="245">
        <v>3.7349999999999999</v>
      </c>
      <c r="F28" s="246">
        <f t="shared" si="0"/>
        <v>0.89999999999999991</v>
      </c>
      <c r="G28" s="246">
        <v>426.82</v>
      </c>
      <c r="H28" s="246">
        <v>419.4</v>
      </c>
      <c r="I28" s="247">
        <v>1630</v>
      </c>
      <c r="J28" s="248">
        <f t="shared" si="1"/>
        <v>4.5521472392638131E-3</v>
      </c>
      <c r="K28" s="247">
        <v>5</v>
      </c>
      <c r="L28" s="249">
        <f t="shared" si="2"/>
        <v>18.674483237200405</v>
      </c>
      <c r="M28" s="88" t="s">
        <v>279</v>
      </c>
      <c r="N28" s="98"/>
      <c r="O28" s="98"/>
      <c r="P28" s="98"/>
    </row>
    <row r="29" spans="1:16" x14ac:dyDescent="0.2">
      <c r="B29" s="244">
        <v>20</v>
      </c>
      <c r="C29" s="245">
        <v>2.5299999999999998</v>
      </c>
      <c r="D29" s="245">
        <v>2.2770000000000001</v>
      </c>
      <c r="E29" s="245">
        <v>2.2770000000000001</v>
      </c>
      <c r="F29" s="246">
        <f t="shared" si="0"/>
        <v>0.90000000000000013</v>
      </c>
      <c r="G29" s="246">
        <v>426.9</v>
      </c>
      <c r="H29" s="246">
        <v>419.46</v>
      </c>
      <c r="I29" s="247">
        <v>1568</v>
      </c>
      <c r="J29" s="248">
        <f t="shared" si="1"/>
        <v>4.7448979591836722E-3</v>
      </c>
      <c r="K29" s="247">
        <v>5</v>
      </c>
      <c r="L29" s="249">
        <f t="shared" si="2"/>
        <v>17.884396731348815</v>
      </c>
      <c r="M29" s="88" t="s">
        <v>280</v>
      </c>
      <c r="N29" s="98"/>
      <c r="O29" s="98"/>
      <c r="P29" s="98"/>
    </row>
    <row r="30" spans="1:16" x14ac:dyDescent="0.2">
      <c r="B30" s="244">
        <v>21</v>
      </c>
      <c r="C30" s="245">
        <v>9.3800000000000008</v>
      </c>
      <c r="D30" s="245">
        <v>3</v>
      </c>
      <c r="E30" s="245">
        <v>3.3</v>
      </c>
      <c r="F30" s="246">
        <f t="shared" si="0"/>
        <v>0.3518123667377398</v>
      </c>
      <c r="G30" s="246">
        <v>424.8</v>
      </c>
      <c r="H30" s="246">
        <v>419.63</v>
      </c>
      <c r="I30" s="247">
        <v>1735</v>
      </c>
      <c r="J30" s="248">
        <f t="shared" si="1"/>
        <v>2.9798270893371848E-3</v>
      </c>
      <c r="K30" s="247">
        <v>25</v>
      </c>
      <c r="L30" s="249">
        <f t="shared" si="2"/>
        <v>42.990176176233135</v>
      </c>
      <c r="M30" s="88" t="s">
        <v>281</v>
      </c>
      <c r="N30" s="98"/>
      <c r="O30" s="98"/>
      <c r="P30" s="98"/>
    </row>
    <row r="31" spans="1:16" x14ac:dyDescent="0.2">
      <c r="B31" s="244">
        <v>22</v>
      </c>
      <c r="C31" s="245">
        <v>8.27</v>
      </c>
      <c r="D31" s="245">
        <v>2.64</v>
      </c>
      <c r="E31" s="245">
        <v>2.91</v>
      </c>
      <c r="F31" s="246">
        <f t="shared" si="0"/>
        <v>0.35187424425634828</v>
      </c>
      <c r="G31" s="246">
        <v>424.8</v>
      </c>
      <c r="H31" s="246">
        <v>419.63</v>
      </c>
      <c r="I31" s="247">
        <v>1735</v>
      </c>
      <c r="J31" s="248">
        <f t="shared" si="1"/>
        <v>2.9798270893371848E-3</v>
      </c>
      <c r="K31" s="247">
        <v>25</v>
      </c>
      <c r="L31" s="249">
        <f t="shared" si="2"/>
        <v>42.990176176233135</v>
      </c>
      <c r="M31" s="88" t="s">
        <v>282</v>
      </c>
      <c r="N31" s="98"/>
      <c r="O31" s="98"/>
      <c r="P31" s="98"/>
    </row>
    <row r="32" spans="1:16" x14ac:dyDescent="0.2">
      <c r="B32" s="244">
        <v>23</v>
      </c>
      <c r="C32" s="245">
        <v>8.3800000000000008</v>
      </c>
      <c r="D32" s="245">
        <v>2.68</v>
      </c>
      <c r="E32" s="245">
        <v>2.95</v>
      </c>
      <c r="F32" s="246">
        <f t="shared" si="0"/>
        <v>0.35202863961813841</v>
      </c>
      <c r="G32" s="246">
        <v>418.8</v>
      </c>
      <c r="H32" s="246">
        <v>415.4</v>
      </c>
      <c r="I32" s="247">
        <v>1101</v>
      </c>
      <c r="J32" s="248">
        <f t="shared" si="1"/>
        <v>3.0881017257039364E-3</v>
      </c>
      <c r="K32" s="247">
        <v>25</v>
      </c>
      <c r="L32" s="249">
        <f t="shared" si="2"/>
        <v>36.214321153191349</v>
      </c>
      <c r="M32" s="88" t="s">
        <v>283</v>
      </c>
      <c r="N32" s="98"/>
      <c r="O32" s="98"/>
      <c r="P32" s="98"/>
    </row>
    <row r="33" spans="2:16" x14ac:dyDescent="0.2">
      <c r="B33" s="244">
        <v>24</v>
      </c>
      <c r="C33" s="245">
        <v>3.15</v>
      </c>
      <c r="D33" s="245">
        <v>1</v>
      </c>
      <c r="E33" s="245">
        <v>1.1000000000000001</v>
      </c>
      <c r="F33" s="246">
        <f t="shared" si="0"/>
        <v>0.34920634920634924</v>
      </c>
      <c r="G33" s="246">
        <v>416.5</v>
      </c>
      <c r="H33" s="246">
        <v>415.4</v>
      </c>
      <c r="I33" s="247">
        <v>634</v>
      </c>
      <c r="J33" s="248">
        <f t="shared" si="1"/>
        <v>1.7350157728706983E-3</v>
      </c>
      <c r="K33" s="247">
        <v>25</v>
      </c>
      <c r="L33" s="249">
        <f t="shared" si="2"/>
        <v>33.615272396702281</v>
      </c>
      <c r="M33" s="88" t="s">
        <v>284</v>
      </c>
      <c r="N33" s="98"/>
      <c r="O33" s="98"/>
      <c r="P33" s="98"/>
    </row>
    <row r="34" spans="2:16" x14ac:dyDescent="0.2">
      <c r="B34" s="244">
        <v>25</v>
      </c>
      <c r="C34" s="245">
        <v>7.23</v>
      </c>
      <c r="D34" s="245">
        <v>2.31</v>
      </c>
      <c r="E34" s="245">
        <v>2.5499999999999998</v>
      </c>
      <c r="F34" s="246">
        <f t="shared" si="0"/>
        <v>0.35269709543568462</v>
      </c>
      <c r="G34" s="246">
        <v>417.91</v>
      </c>
      <c r="H34" s="246">
        <v>413.1</v>
      </c>
      <c r="I34" s="247">
        <v>1539</v>
      </c>
      <c r="J34" s="248">
        <f t="shared" si="1"/>
        <v>3.1254061078622498E-3</v>
      </c>
      <c r="K34" s="247">
        <v>25</v>
      </c>
      <c r="L34" s="249">
        <f t="shared" si="2"/>
        <v>40.581772557487163</v>
      </c>
      <c r="M34" s="88" t="s">
        <v>285</v>
      </c>
      <c r="N34" s="98"/>
      <c r="O34" s="98"/>
      <c r="P34" s="98"/>
    </row>
    <row r="35" spans="2:16" x14ac:dyDescent="0.2">
      <c r="B35" s="244">
        <v>26</v>
      </c>
      <c r="C35" s="245">
        <v>3.01</v>
      </c>
      <c r="D35" s="245">
        <v>0.96</v>
      </c>
      <c r="E35" s="245">
        <v>1.06</v>
      </c>
      <c r="F35" s="246">
        <f t="shared" si="0"/>
        <v>0.35215946843853824</v>
      </c>
      <c r="G35" s="246">
        <v>417.75</v>
      </c>
      <c r="H35" s="246">
        <v>415.05</v>
      </c>
      <c r="I35" s="247">
        <v>844</v>
      </c>
      <c r="J35" s="248">
        <f t="shared" si="1"/>
        <v>3.1990521327014084E-3</v>
      </c>
      <c r="K35" s="247">
        <v>20</v>
      </c>
      <c r="L35" s="249">
        <f t="shared" si="2"/>
        <v>28.446236875524541</v>
      </c>
      <c r="M35" s="88" t="s">
        <v>286</v>
      </c>
      <c r="N35" s="98"/>
      <c r="O35" s="98"/>
      <c r="P35" s="98"/>
    </row>
    <row r="36" spans="2:16" x14ac:dyDescent="0.2">
      <c r="B36" s="244">
        <v>27</v>
      </c>
      <c r="C36" s="245">
        <v>5.67</v>
      </c>
      <c r="D36" s="245">
        <v>1.81</v>
      </c>
      <c r="E36" s="245">
        <v>2</v>
      </c>
      <c r="F36" s="246">
        <f t="shared" si="0"/>
        <v>0.35273368606701938</v>
      </c>
      <c r="G36" s="246">
        <v>417.68</v>
      </c>
      <c r="H36" s="246">
        <v>415.14</v>
      </c>
      <c r="I36" s="247">
        <v>834</v>
      </c>
      <c r="J36" s="248">
        <f t="shared" si="1"/>
        <v>3.0455635491606959E-3</v>
      </c>
      <c r="K36" s="247">
        <v>20</v>
      </c>
      <c r="L36" s="249">
        <f t="shared" si="2"/>
        <v>28.553890508050568</v>
      </c>
      <c r="M36" s="88" t="s">
        <v>287</v>
      </c>
      <c r="N36" s="98"/>
      <c r="O36" s="98"/>
      <c r="P36" s="98"/>
    </row>
    <row r="37" spans="2:16" x14ac:dyDescent="0.2">
      <c r="B37" s="244">
        <v>28</v>
      </c>
      <c r="C37" s="245">
        <v>0.85</v>
      </c>
      <c r="D37" s="245">
        <v>0.36</v>
      </c>
      <c r="E37" s="245">
        <v>0.39</v>
      </c>
      <c r="F37" s="246">
        <f t="shared" si="0"/>
        <v>0.45882352941176474</v>
      </c>
      <c r="G37" s="246">
        <v>414.66</v>
      </c>
      <c r="H37" s="246">
        <v>413.15</v>
      </c>
      <c r="I37" s="247">
        <v>285</v>
      </c>
      <c r="J37" s="248">
        <f t="shared" si="1"/>
        <v>5.298245614035255E-3</v>
      </c>
      <c r="K37" s="247">
        <v>20</v>
      </c>
      <c r="L37" s="249">
        <f t="shared" si="2"/>
        <v>22.216206812790436</v>
      </c>
      <c r="M37" s="88" t="s">
        <v>288</v>
      </c>
      <c r="N37" s="98"/>
      <c r="O37" s="98"/>
      <c r="P37" s="98"/>
    </row>
    <row r="38" spans="2:16" x14ac:dyDescent="0.2">
      <c r="B38" s="244">
        <v>29</v>
      </c>
      <c r="C38" s="245">
        <v>1.22</v>
      </c>
      <c r="D38" s="245">
        <v>0.51</v>
      </c>
      <c r="E38" s="245">
        <v>0.56000000000000005</v>
      </c>
      <c r="F38" s="246">
        <f t="shared" si="0"/>
        <v>0.45901639344262302</v>
      </c>
      <c r="G38" s="246">
        <v>414.24</v>
      </c>
      <c r="H38" s="246">
        <v>413.23</v>
      </c>
      <c r="I38" s="247">
        <v>359</v>
      </c>
      <c r="J38" s="248">
        <f t="shared" si="1"/>
        <v>2.8133704735375793E-3</v>
      </c>
      <c r="K38" s="247">
        <v>20</v>
      </c>
      <c r="L38" s="249">
        <f t="shared" si="2"/>
        <v>23.831002674803663</v>
      </c>
      <c r="M38" s="88" t="s">
        <v>289</v>
      </c>
      <c r="N38" s="98"/>
      <c r="O38" s="98"/>
      <c r="P38" s="98"/>
    </row>
    <row r="39" spans="2:16" x14ac:dyDescent="0.2">
      <c r="B39" s="244">
        <v>30</v>
      </c>
      <c r="C39" s="245">
        <v>4.1500000000000004</v>
      </c>
      <c r="D39" s="245">
        <v>1.74</v>
      </c>
      <c r="E39" s="245">
        <v>1.92</v>
      </c>
      <c r="F39" s="246">
        <f t="shared" si="0"/>
        <v>0.46265060240963851</v>
      </c>
      <c r="G39" s="246">
        <v>417.9</v>
      </c>
      <c r="H39" s="246">
        <v>413.76</v>
      </c>
      <c r="I39" s="247">
        <v>799</v>
      </c>
      <c r="J39" s="248">
        <f t="shared" si="1"/>
        <v>5.1814768460575547E-3</v>
      </c>
      <c r="K39" s="247">
        <v>20</v>
      </c>
      <c r="L39" s="249">
        <f t="shared" si="2"/>
        <v>26.282774431294914</v>
      </c>
      <c r="M39" s="88" t="s">
        <v>290</v>
      </c>
      <c r="N39" s="98"/>
      <c r="O39" s="98"/>
      <c r="P39" s="98"/>
    </row>
    <row r="40" spans="2:16" x14ac:dyDescent="0.2">
      <c r="B40" s="304">
        <v>30.1</v>
      </c>
      <c r="C40" s="60">
        <v>2.5499999999999998</v>
      </c>
      <c r="D40" s="60">
        <v>0.51</v>
      </c>
      <c r="E40" s="60">
        <v>0.51</v>
      </c>
      <c r="F40" s="61">
        <f t="shared" si="0"/>
        <v>0.2</v>
      </c>
      <c r="G40" s="61">
        <v>424.28</v>
      </c>
      <c r="H40" s="61">
        <v>410.93</v>
      </c>
      <c r="I40" s="62">
        <v>1903</v>
      </c>
      <c r="J40" s="63">
        <f t="shared" si="1"/>
        <v>7.015239096163934E-3</v>
      </c>
      <c r="K40" s="62">
        <v>25</v>
      </c>
      <c r="L40" s="64">
        <f t="shared" si="2"/>
        <v>37.860238379334852</v>
      </c>
      <c r="M40" s="88" t="s">
        <v>317</v>
      </c>
      <c r="N40" s="98"/>
      <c r="O40" s="98"/>
      <c r="P40" s="98"/>
    </row>
    <row r="41" spans="2:16" x14ac:dyDescent="0.2">
      <c r="B41" s="244">
        <v>31</v>
      </c>
      <c r="C41" s="245">
        <v>15.67</v>
      </c>
      <c r="D41" s="245">
        <v>6.58</v>
      </c>
      <c r="E41" s="245">
        <v>7.24</v>
      </c>
      <c r="F41" s="246">
        <f t="shared" si="0"/>
        <v>0.46202935545628593</v>
      </c>
      <c r="G41" s="246">
        <v>424.28</v>
      </c>
      <c r="H41" s="246">
        <v>414.47</v>
      </c>
      <c r="I41" s="247">
        <v>1936</v>
      </c>
      <c r="J41" s="248">
        <f t="shared" si="1"/>
        <v>5.0671487603305507E-3</v>
      </c>
      <c r="K41" s="247">
        <v>20</v>
      </c>
      <c r="L41" s="249">
        <f t="shared" si="2"/>
        <v>35.394124514354004</v>
      </c>
      <c r="M41" s="88" t="s">
        <v>291</v>
      </c>
      <c r="N41" s="98"/>
      <c r="O41" s="98"/>
      <c r="P41" s="98"/>
    </row>
    <row r="42" spans="2:16" x14ac:dyDescent="0.2">
      <c r="B42" s="244">
        <v>32</v>
      </c>
      <c r="C42" s="245">
        <v>13.61</v>
      </c>
      <c r="D42" s="245">
        <v>5.72</v>
      </c>
      <c r="E42" s="245">
        <v>6.28</v>
      </c>
      <c r="F42" s="246">
        <f t="shared" si="0"/>
        <v>0.46142542248346807</v>
      </c>
      <c r="G42" s="246">
        <v>425</v>
      </c>
      <c r="H42" s="246">
        <v>414.52</v>
      </c>
      <c r="I42" s="247">
        <v>2207</v>
      </c>
      <c r="J42" s="248">
        <f t="shared" si="1"/>
        <v>4.7485274127775342E-3</v>
      </c>
      <c r="K42" s="247">
        <v>20</v>
      </c>
      <c r="L42" s="249">
        <f t="shared" si="2"/>
        <v>38.128185128890564</v>
      </c>
      <c r="M42" s="88" t="s">
        <v>292</v>
      </c>
      <c r="N42" s="98"/>
      <c r="O42" s="98"/>
      <c r="P42" s="98"/>
    </row>
    <row r="43" spans="2:16" x14ac:dyDescent="0.2">
      <c r="B43" s="244">
        <v>33</v>
      </c>
      <c r="C43" s="245">
        <v>3.94</v>
      </c>
      <c r="D43" s="245">
        <v>1.6548</v>
      </c>
      <c r="E43" s="245">
        <v>1.8203</v>
      </c>
      <c r="F43" s="246">
        <f t="shared" si="0"/>
        <v>0.46200507614213199</v>
      </c>
      <c r="G43" s="246">
        <v>417.8</v>
      </c>
      <c r="H43" s="246">
        <v>414.17</v>
      </c>
      <c r="I43" s="247">
        <v>779</v>
      </c>
      <c r="J43" s="248">
        <f t="shared" si="1"/>
        <v>4.6598202824133447E-3</v>
      </c>
      <c r="K43" s="247">
        <v>20</v>
      </c>
      <c r="L43" s="249">
        <f t="shared" si="2"/>
        <v>26.459283454459161</v>
      </c>
      <c r="M43" s="88" t="s">
        <v>293</v>
      </c>
      <c r="N43" s="98"/>
      <c r="O43" s="98"/>
      <c r="P43" s="98"/>
    </row>
    <row r="44" spans="2:16" x14ac:dyDescent="0.2">
      <c r="B44" s="244">
        <v>34</v>
      </c>
      <c r="C44" s="245">
        <v>5.63</v>
      </c>
      <c r="D44" s="245">
        <v>2.36</v>
      </c>
      <c r="E44" s="245">
        <v>2.6</v>
      </c>
      <c r="F44" s="246">
        <f t="shared" si="0"/>
        <v>0.46181172291296629</v>
      </c>
      <c r="G44" s="246">
        <v>414.11</v>
      </c>
      <c r="H44" s="246">
        <v>411.61</v>
      </c>
      <c r="I44" s="247">
        <v>670</v>
      </c>
      <c r="J44" s="248">
        <f t="shared" si="1"/>
        <v>3.7313432835820895E-3</v>
      </c>
      <c r="K44" s="247">
        <v>20</v>
      </c>
      <c r="L44" s="249">
        <f t="shared" si="2"/>
        <v>26.20831392397314</v>
      </c>
      <c r="M44" s="88" t="s">
        <v>294</v>
      </c>
      <c r="N44" s="98"/>
      <c r="O44" s="98"/>
      <c r="P44" s="98"/>
    </row>
    <row r="45" spans="2:16" x14ac:dyDescent="0.2">
      <c r="B45" s="244">
        <v>35</v>
      </c>
      <c r="C45" s="245">
        <v>3.51</v>
      </c>
      <c r="D45" s="245">
        <v>1.47</v>
      </c>
      <c r="E45" s="245">
        <v>1.62</v>
      </c>
      <c r="F45" s="246">
        <f t="shared" si="0"/>
        <v>0.46153846153846162</v>
      </c>
      <c r="G45" s="246">
        <v>415.3</v>
      </c>
      <c r="H45" s="246">
        <v>412.5</v>
      </c>
      <c r="I45" s="247">
        <v>939</v>
      </c>
      <c r="J45" s="248">
        <f t="shared" si="1"/>
        <v>2.9818956336528342E-3</v>
      </c>
      <c r="K45" s="247">
        <v>20</v>
      </c>
      <c r="L45" s="249">
        <f t="shared" si="2"/>
        <v>29.733092302270069</v>
      </c>
      <c r="M45" s="88" t="s">
        <v>296</v>
      </c>
      <c r="N45" s="98"/>
      <c r="O45" s="98"/>
      <c r="P45" s="98"/>
    </row>
    <row r="46" spans="2:16" x14ac:dyDescent="0.2">
      <c r="B46" s="244">
        <v>36</v>
      </c>
      <c r="C46" s="245">
        <v>1.84</v>
      </c>
      <c r="D46" s="245">
        <v>0.77</v>
      </c>
      <c r="E46" s="245">
        <v>0.85</v>
      </c>
      <c r="F46" s="246">
        <f t="shared" si="0"/>
        <v>0.46195652173913038</v>
      </c>
      <c r="G46" s="246">
        <v>414.9</v>
      </c>
      <c r="H46" s="246">
        <v>412.61</v>
      </c>
      <c r="I46" s="247">
        <v>774</v>
      </c>
      <c r="J46" s="248">
        <f t="shared" si="1"/>
        <v>2.9586563307493069E-3</v>
      </c>
      <c r="K46" s="247">
        <v>20</v>
      </c>
      <c r="L46" s="249">
        <f t="shared" si="2"/>
        <v>28.054251174225293</v>
      </c>
      <c r="M46" s="88" t="s">
        <v>297</v>
      </c>
      <c r="N46" s="98"/>
      <c r="O46" s="98"/>
      <c r="P46" s="98"/>
    </row>
    <row r="47" spans="2:16" x14ac:dyDescent="0.2">
      <c r="B47" s="244">
        <v>37</v>
      </c>
      <c r="C47" s="245">
        <v>4.62</v>
      </c>
      <c r="D47" s="245">
        <v>1.94</v>
      </c>
      <c r="E47" s="245">
        <v>2.13</v>
      </c>
      <c r="F47" s="246">
        <f t="shared" si="0"/>
        <v>0.46103896103896103</v>
      </c>
      <c r="G47" s="246">
        <v>415.55</v>
      </c>
      <c r="H47" s="246">
        <v>413.01</v>
      </c>
      <c r="I47" s="247">
        <v>676</v>
      </c>
      <c r="J47" s="248">
        <f t="shared" si="1"/>
        <v>3.7573964497041724E-3</v>
      </c>
      <c r="K47" s="247">
        <v>20</v>
      </c>
      <c r="L47" s="249">
        <f t="shared" si="2"/>
        <v>26.242156528307824</v>
      </c>
      <c r="M47" s="88" t="s">
        <v>298</v>
      </c>
      <c r="N47" s="98"/>
      <c r="O47" s="98"/>
      <c r="P47" s="98"/>
    </row>
    <row r="48" spans="2:16" x14ac:dyDescent="0.2">
      <c r="B48" s="244">
        <v>38</v>
      </c>
      <c r="C48" s="245">
        <v>2.17</v>
      </c>
      <c r="D48" s="245">
        <v>0.91139999999999999</v>
      </c>
      <c r="E48" s="245">
        <v>1.0024999999999999</v>
      </c>
      <c r="F48" s="246">
        <f t="shared" si="0"/>
        <v>0.46198156682027647</v>
      </c>
      <c r="G48" s="246">
        <v>413.63</v>
      </c>
      <c r="H48" s="246">
        <v>410.59</v>
      </c>
      <c r="I48" s="247">
        <v>1309</v>
      </c>
      <c r="J48" s="248">
        <f t="shared" si="1"/>
        <v>2.3223834988541029E-3</v>
      </c>
      <c r="K48" s="247">
        <v>20</v>
      </c>
      <c r="L48" s="249">
        <f t="shared" si="2"/>
        <v>35.374611387571939</v>
      </c>
      <c r="M48" s="88" t="s">
        <v>295</v>
      </c>
      <c r="N48" s="98"/>
      <c r="O48" s="98"/>
      <c r="P48" s="98"/>
    </row>
    <row r="49" spans="2:16" x14ac:dyDescent="0.2">
      <c r="B49" s="244">
        <v>39</v>
      </c>
      <c r="C49" s="245">
        <v>3.69</v>
      </c>
      <c r="D49" s="245">
        <v>1.18</v>
      </c>
      <c r="E49" s="245">
        <v>1.3</v>
      </c>
      <c r="F49" s="246">
        <f t="shared" si="0"/>
        <v>0.35230352303523038</v>
      </c>
      <c r="G49" s="246">
        <v>411.19</v>
      </c>
      <c r="H49" s="246">
        <v>410.4</v>
      </c>
      <c r="I49" s="247">
        <v>100</v>
      </c>
      <c r="J49" s="248">
        <f t="shared" si="1"/>
        <v>7.9000000000002055E-3</v>
      </c>
      <c r="K49" s="247">
        <v>5</v>
      </c>
      <c r="L49" s="249">
        <f t="shared" si="2"/>
        <v>5.6368218023718617</v>
      </c>
      <c r="M49" s="88" t="s">
        <v>264</v>
      </c>
      <c r="N49" s="98"/>
      <c r="O49" s="98"/>
      <c r="P49" s="98"/>
    </row>
    <row r="50" spans="2:16" x14ac:dyDescent="0.2">
      <c r="B50" s="244">
        <v>40</v>
      </c>
      <c r="C50" s="245">
        <v>2.58</v>
      </c>
      <c r="D50" s="245">
        <v>1.08</v>
      </c>
      <c r="E50" s="245">
        <v>1.19</v>
      </c>
      <c r="F50" s="246">
        <f t="shared" si="0"/>
        <v>0.46124031007751937</v>
      </c>
      <c r="G50" s="246">
        <v>412.34</v>
      </c>
      <c r="H50" s="246">
        <v>409.77</v>
      </c>
      <c r="I50" s="247">
        <v>791</v>
      </c>
      <c r="J50" s="248">
        <f t="shared" si="1"/>
        <v>3.249051833122621E-3</v>
      </c>
      <c r="K50" s="247">
        <v>20</v>
      </c>
      <c r="L50" s="249">
        <f t="shared" si="2"/>
        <v>27.854700550349087</v>
      </c>
      <c r="M50" s="88" t="s">
        <v>299</v>
      </c>
      <c r="N50" s="98"/>
      <c r="O50" s="98"/>
      <c r="P50" s="98"/>
    </row>
    <row r="51" spans="2:16" x14ac:dyDescent="0.2">
      <c r="B51" s="244">
        <v>41</v>
      </c>
      <c r="C51" s="245">
        <v>3.45</v>
      </c>
      <c r="D51" s="245">
        <v>1.45</v>
      </c>
      <c r="E51" s="245">
        <v>1.59</v>
      </c>
      <c r="F51" s="246">
        <f t="shared" si="0"/>
        <v>0.46086956521739131</v>
      </c>
      <c r="G51" s="246">
        <v>412.95</v>
      </c>
      <c r="H51" s="246">
        <v>409.83</v>
      </c>
      <c r="I51" s="247">
        <v>1027</v>
      </c>
      <c r="J51" s="248">
        <f t="shared" si="1"/>
        <v>3.0379746835443081E-3</v>
      </c>
      <c r="K51" s="247">
        <v>20</v>
      </c>
      <c r="L51" s="249">
        <f t="shared" si="2"/>
        <v>30.546535955919353</v>
      </c>
      <c r="M51" s="88" t="s">
        <v>300</v>
      </c>
      <c r="N51" s="98"/>
      <c r="O51" s="98"/>
      <c r="P51" s="98"/>
    </row>
    <row r="52" spans="2:16" x14ac:dyDescent="0.2">
      <c r="B52" s="244">
        <v>42</v>
      </c>
      <c r="C52" s="245">
        <v>9.3000000000000007</v>
      </c>
      <c r="D52" s="245">
        <v>3.9060000000000001</v>
      </c>
      <c r="E52" s="245">
        <v>4.2965999999999998</v>
      </c>
      <c r="F52" s="246">
        <f t="shared" si="0"/>
        <v>0.46199999999999991</v>
      </c>
      <c r="G52" s="246">
        <v>412.88</v>
      </c>
      <c r="H52" s="246">
        <v>409.79</v>
      </c>
      <c r="I52" s="247">
        <v>952</v>
      </c>
      <c r="J52" s="248">
        <f t="shared" si="1"/>
        <v>3.2457983193277047E-3</v>
      </c>
      <c r="K52" s="247">
        <v>20</v>
      </c>
      <c r="L52" s="249">
        <f t="shared" si="2"/>
        <v>29.458181681628698</v>
      </c>
      <c r="M52" s="88" t="s">
        <v>301</v>
      </c>
      <c r="N52" s="98"/>
      <c r="O52" s="98"/>
      <c r="P52" s="98"/>
    </row>
    <row r="53" spans="2:16" x14ac:dyDescent="0.2">
      <c r="B53" s="244">
        <v>43</v>
      </c>
      <c r="C53" s="245">
        <v>5.47</v>
      </c>
      <c r="D53" s="245">
        <v>2.29</v>
      </c>
      <c r="E53" s="245">
        <v>2.52</v>
      </c>
      <c r="F53" s="246">
        <f t="shared" si="0"/>
        <v>0.46069469835466181</v>
      </c>
      <c r="G53" s="246">
        <v>412.85</v>
      </c>
      <c r="H53" s="246">
        <v>408.5</v>
      </c>
      <c r="I53" s="247">
        <v>1369</v>
      </c>
      <c r="J53" s="248">
        <f t="shared" si="1"/>
        <v>3.1775018261504914E-3</v>
      </c>
      <c r="K53" s="247">
        <v>20</v>
      </c>
      <c r="L53" s="249">
        <f t="shared" si="2"/>
        <v>33.746496092404271</v>
      </c>
      <c r="M53" s="88" t="s">
        <v>302</v>
      </c>
      <c r="N53" s="98"/>
      <c r="O53" s="98"/>
      <c r="P53" s="98"/>
    </row>
    <row r="54" spans="2:16" x14ac:dyDescent="0.2">
      <c r="B54" s="244">
        <v>43.1</v>
      </c>
      <c r="C54" s="245">
        <v>1.21</v>
      </c>
      <c r="D54" s="245">
        <v>0.66549999999999998</v>
      </c>
      <c r="E54" s="245">
        <v>0.73209999999999997</v>
      </c>
      <c r="F54" s="246">
        <f t="shared" si="0"/>
        <v>0.60504132231404961</v>
      </c>
      <c r="G54" s="246">
        <v>411.12</v>
      </c>
      <c r="H54" s="246">
        <v>408.58</v>
      </c>
      <c r="I54" s="247">
        <v>726</v>
      </c>
      <c r="J54" s="248">
        <f t="shared" si="1"/>
        <v>3.4986225895317084E-3</v>
      </c>
      <c r="K54" s="247">
        <v>20</v>
      </c>
      <c r="L54" s="249">
        <f t="shared" si="2"/>
        <v>26.947355810995187</v>
      </c>
      <c r="M54" s="88" t="s">
        <v>303</v>
      </c>
      <c r="N54" s="98"/>
      <c r="O54" s="98"/>
      <c r="P54" s="98"/>
    </row>
    <row r="55" spans="2:16" x14ac:dyDescent="0.2">
      <c r="B55" s="244">
        <v>44</v>
      </c>
      <c r="C55" s="245">
        <v>10.09</v>
      </c>
      <c r="D55" s="245">
        <v>3.23</v>
      </c>
      <c r="E55" s="245">
        <v>3.55</v>
      </c>
      <c r="F55" s="246">
        <f t="shared" si="0"/>
        <v>0.35183349851337958</v>
      </c>
      <c r="G55" s="246">
        <v>418.8</v>
      </c>
      <c r="H55" s="246">
        <v>414.99</v>
      </c>
      <c r="I55" s="247">
        <v>1256</v>
      </c>
      <c r="J55" s="248">
        <f t="shared" si="1"/>
        <v>3.0334394904458616E-3</v>
      </c>
      <c r="K55" s="247">
        <v>25</v>
      </c>
      <c r="L55" s="249">
        <f t="shared" si="2"/>
        <v>37.907836048730147</v>
      </c>
      <c r="M55" s="88" t="s">
        <v>304</v>
      </c>
      <c r="N55" s="98"/>
      <c r="O55" s="98"/>
      <c r="P55" s="98"/>
    </row>
    <row r="56" spans="2:16" x14ac:dyDescent="0.2">
      <c r="B56" s="244">
        <v>45</v>
      </c>
      <c r="C56" s="245">
        <v>8.2200000000000006</v>
      </c>
      <c r="D56" s="245">
        <v>2.63</v>
      </c>
      <c r="E56" s="245">
        <v>2.89</v>
      </c>
      <c r="F56" s="246">
        <f t="shared" si="0"/>
        <v>0.3515815085158151</v>
      </c>
      <c r="G56" s="246">
        <v>415.9</v>
      </c>
      <c r="H56" s="246">
        <v>413.02</v>
      </c>
      <c r="I56" s="247">
        <v>1060</v>
      </c>
      <c r="J56" s="248">
        <f t="shared" si="1"/>
        <v>2.7169811320754676E-3</v>
      </c>
      <c r="K56" s="247">
        <v>25</v>
      </c>
      <c r="L56" s="249">
        <f t="shared" si="2"/>
        <v>36.51049560207727</v>
      </c>
      <c r="M56" s="88" t="s">
        <v>305</v>
      </c>
      <c r="N56" s="98"/>
      <c r="O56" s="98"/>
      <c r="P56" s="98"/>
    </row>
    <row r="57" spans="2:16" x14ac:dyDescent="0.2">
      <c r="B57" s="244">
        <v>46</v>
      </c>
      <c r="C57" s="245">
        <v>8.8699999999999992</v>
      </c>
      <c r="D57" s="245">
        <v>2.84</v>
      </c>
      <c r="E57" s="245">
        <v>3.12</v>
      </c>
      <c r="F57" s="246">
        <f t="shared" si="0"/>
        <v>0.3517474633596393</v>
      </c>
      <c r="G57" s="246">
        <v>415.5</v>
      </c>
      <c r="H57" s="246">
        <v>410.4</v>
      </c>
      <c r="I57" s="247">
        <v>1780</v>
      </c>
      <c r="J57" s="248">
        <f t="shared" si="1"/>
        <v>2.8651685393258556E-3</v>
      </c>
      <c r="K57" s="247">
        <v>25</v>
      </c>
      <c r="L57" s="249">
        <f t="shared" si="2"/>
        <v>43.822460076281381</v>
      </c>
      <c r="M57" s="88" t="s">
        <v>306</v>
      </c>
      <c r="N57" s="98"/>
      <c r="O57" s="98"/>
      <c r="P57" s="98"/>
    </row>
    <row r="58" spans="2:16" x14ac:dyDescent="0.2">
      <c r="B58" s="244">
        <v>47</v>
      </c>
      <c r="C58" s="245">
        <v>1.74</v>
      </c>
      <c r="D58" s="245">
        <v>0.55679999999999996</v>
      </c>
      <c r="E58" s="245">
        <v>0.61</v>
      </c>
      <c r="F58" s="246">
        <f t="shared" si="0"/>
        <v>0.35057471264367818</v>
      </c>
      <c r="G58" s="246">
        <v>415.62</v>
      </c>
      <c r="H58" s="246">
        <v>410.63</v>
      </c>
      <c r="I58" s="247">
        <v>621</v>
      </c>
      <c r="J58" s="248">
        <f t="shared" si="1"/>
        <v>8.0354267310789197E-3</v>
      </c>
      <c r="K58" s="247">
        <v>25</v>
      </c>
      <c r="L58" s="249">
        <f t="shared" si="2"/>
        <v>28.921196412987321</v>
      </c>
      <c r="M58" s="88" t="s">
        <v>307</v>
      </c>
      <c r="N58" s="98"/>
      <c r="O58" s="98"/>
      <c r="P58" s="98"/>
    </row>
    <row r="59" spans="2:16" x14ac:dyDescent="0.2">
      <c r="B59" s="244">
        <v>48</v>
      </c>
      <c r="C59" s="245">
        <v>13.21</v>
      </c>
      <c r="D59" s="245">
        <v>5.55</v>
      </c>
      <c r="E59" s="245">
        <v>6.1</v>
      </c>
      <c r="F59" s="246">
        <f t="shared" si="0"/>
        <v>0.4617713853141559</v>
      </c>
      <c r="G59" s="246">
        <v>413</v>
      </c>
      <c r="H59" s="246">
        <v>408.5</v>
      </c>
      <c r="I59" s="247">
        <v>1213</v>
      </c>
      <c r="J59" s="248">
        <f t="shared" si="1"/>
        <v>3.709810387469085E-3</v>
      </c>
      <c r="K59" s="247">
        <v>5</v>
      </c>
      <c r="L59" s="249">
        <f t="shared" si="2"/>
        <v>16.272400580675946</v>
      </c>
      <c r="M59" s="88" t="s">
        <v>264</v>
      </c>
    </row>
    <row r="60" spans="2:16" x14ac:dyDescent="0.2">
      <c r="B60" s="244">
        <v>49</v>
      </c>
      <c r="C60" s="245">
        <v>3.67</v>
      </c>
      <c r="D60" s="245">
        <v>3.3</v>
      </c>
      <c r="E60" s="245">
        <v>3.3</v>
      </c>
      <c r="F60" s="246">
        <f t="shared" si="0"/>
        <v>0.89918256130790186</v>
      </c>
      <c r="G60" s="246">
        <v>413.1</v>
      </c>
      <c r="H60" s="246">
        <v>408.5</v>
      </c>
      <c r="I60" s="247">
        <v>1863</v>
      </c>
      <c r="J60" s="248">
        <f t="shared" si="1"/>
        <v>2.4691358024691479E-3</v>
      </c>
      <c r="K60" s="247">
        <v>5</v>
      </c>
      <c r="L60" s="249">
        <f t="shared" si="2"/>
        <v>26.221292710449358</v>
      </c>
      <c r="M60" s="88" t="s">
        <v>308</v>
      </c>
    </row>
    <row r="61" spans="2:16" x14ac:dyDescent="0.2">
      <c r="B61" s="244">
        <v>50</v>
      </c>
      <c r="C61" s="245">
        <v>14.87</v>
      </c>
      <c r="D61" s="245">
        <v>6.05</v>
      </c>
      <c r="E61" s="245">
        <v>6.65</v>
      </c>
      <c r="F61" s="246">
        <f t="shared" si="0"/>
        <v>0.44720914593140554</v>
      </c>
      <c r="G61" s="246">
        <v>413.87</v>
      </c>
      <c r="H61" s="246">
        <v>406.8</v>
      </c>
      <c r="I61" s="247">
        <v>2472</v>
      </c>
      <c r="J61" s="248">
        <f t="shared" si="1"/>
        <v>2.8600323624595443E-3</v>
      </c>
      <c r="K61" s="247">
        <v>20</v>
      </c>
      <c r="L61" s="249">
        <f t="shared" si="2"/>
        <v>46.1634169267247</v>
      </c>
      <c r="M61" s="270" t="s">
        <v>265</v>
      </c>
    </row>
    <row r="62" spans="2:16" ht="15.75" x14ac:dyDescent="0.25">
      <c r="B62" s="373">
        <v>51</v>
      </c>
      <c r="C62" s="374">
        <v>11</v>
      </c>
      <c r="D62" s="374">
        <f>C62*0.55</f>
        <v>6.0500000000000007</v>
      </c>
      <c r="E62" s="374">
        <f>D62*1.1</f>
        <v>6.6550000000000011</v>
      </c>
      <c r="F62" s="375">
        <f t="shared" si="0"/>
        <v>0.60500000000000009</v>
      </c>
      <c r="G62" s="375">
        <v>411.55</v>
      </c>
      <c r="H62" s="375">
        <v>407</v>
      </c>
      <c r="I62" s="376">
        <v>1015</v>
      </c>
      <c r="J62" s="377">
        <f t="shared" si="1"/>
        <v>4.4827586206896662E-3</v>
      </c>
      <c r="K62" s="376">
        <v>20</v>
      </c>
      <c r="L62" s="378">
        <f t="shared" si="2"/>
        <v>28.580741806054085</v>
      </c>
      <c r="M62" s="88" t="s">
        <v>497</v>
      </c>
    </row>
    <row r="63" spans="2:16" x14ac:dyDescent="0.2">
      <c r="B63" s="244">
        <v>52</v>
      </c>
      <c r="C63" s="245">
        <v>16.21</v>
      </c>
      <c r="D63" s="245">
        <v>5.1871999999999998</v>
      </c>
      <c r="E63" s="245">
        <v>5.6734999999999998</v>
      </c>
      <c r="F63" s="246">
        <f t="shared" si="0"/>
        <v>0.35</v>
      </c>
      <c r="G63" s="246">
        <v>410.68</v>
      </c>
      <c r="H63" s="246">
        <v>406.35</v>
      </c>
      <c r="I63" s="247">
        <v>1745</v>
      </c>
      <c r="J63" s="248">
        <f t="shared" si="1"/>
        <v>2.4813753581661799E-3</v>
      </c>
      <c r="K63" s="247">
        <v>25</v>
      </c>
      <c r="L63" s="249">
        <f t="shared" si="2"/>
        <v>44.828080252040465</v>
      </c>
      <c r="M63" s="88" t="s">
        <v>309</v>
      </c>
    </row>
    <row r="64" spans="2:16" x14ac:dyDescent="0.2">
      <c r="B64" s="304">
        <v>52.1</v>
      </c>
      <c r="C64" s="60">
        <v>6.18</v>
      </c>
      <c r="D64" s="60">
        <v>1.98</v>
      </c>
      <c r="E64" s="60">
        <v>2.1800000000000002</v>
      </c>
      <c r="F64" s="61">
        <f t="shared" si="0"/>
        <v>0.3527508090614887</v>
      </c>
      <c r="G64" s="61">
        <v>410.68</v>
      </c>
      <c r="H64" s="61">
        <v>406.15</v>
      </c>
      <c r="I64" s="62">
        <v>1828</v>
      </c>
      <c r="J64" s="63">
        <f t="shared" si="1"/>
        <v>2.478118161925618E-3</v>
      </c>
      <c r="K64" s="62">
        <v>25</v>
      </c>
      <c r="L64" s="64">
        <f t="shared" si="2"/>
        <v>45.784838546516582</v>
      </c>
      <c r="M64" s="88" t="s">
        <v>311</v>
      </c>
    </row>
    <row r="65" spans="1:13" x14ac:dyDescent="0.2">
      <c r="B65" s="244">
        <v>53</v>
      </c>
      <c r="C65" s="245">
        <v>5.37</v>
      </c>
      <c r="D65" s="245">
        <v>1.7183999999999999</v>
      </c>
      <c r="E65" s="245">
        <v>1.8794999999999999</v>
      </c>
      <c r="F65" s="246">
        <f t="shared" si="0"/>
        <v>0.35</v>
      </c>
      <c r="G65" s="246">
        <v>410.68</v>
      </c>
      <c r="H65" s="246">
        <v>406.15</v>
      </c>
      <c r="I65" s="247">
        <v>1585</v>
      </c>
      <c r="J65" s="248">
        <f t="shared" si="1"/>
        <v>2.8580441640378737E-3</v>
      </c>
      <c r="K65" s="247">
        <v>25</v>
      </c>
      <c r="L65" s="249">
        <f t="shared" si="2"/>
        <v>41.781325761184014</v>
      </c>
      <c r="M65" s="88" t="s">
        <v>310</v>
      </c>
    </row>
    <row r="66" spans="1:13" x14ac:dyDescent="0.2">
      <c r="B66" s="244">
        <v>54</v>
      </c>
      <c r="C66" s="245">
        <v>5.0999999999999996</v>
      </c>
      <c r="D66" s="245">
        <v>4.59</v>
      </c>
      <c r="E66" s="245">
        <v>4.59</v>
      </c>
      <c r="F66" s="246">
        <f t="shared" si="0"/>
        <v>0.9</v>
      </c>
      <c r="G66" s="246">
        <v>410.86</v>
      </c>
      <c r="H66" s="246">
        <v>404.67</v>
      </c>
      <c r="I66" s="247">
        <v>2284</v>
      </c>
      <c r="J66" s="248">
        <f t="shared" si="1"/>
        <v>2.7101576182136594E-3</v>
      </c>
      <c r="K66" s="247">
        <v>5</v>
      </c>
      <c r="L66" s="249">
        <f t="shared" si="2"/>
        <v>29.833063215446114</v>
      </c>
      <c r="M66" s="88" t="s">
        <v>312</v>
      </c>
    </row>
    <row r="67" spans="1:13" x14ac:dyDescent="0.2">
      <c r="B67" s="244">
        <v>55</v>
      </c>
      <c r="C67" s="245">
        <v>3.04</v>
      </c>
      <c r="D67" s="245">
        <v>2.74</v>
      </c>
      <c r="E67" s="245">
        <v>2.74</v>
      </c>
      <c r="F67" s="246">
        <f t="shared" si="0"/>
        <v>0.90131578947368429</v>
      </c>
      <c r="G67" s="246">
        <v>406.2</v>
      </c>
      <c r="H67" s="246">
        <v>404.68</v>
      </c>
      <c r="I67" s="247">
        <v>1769</v>
      </c>
      <c r="J67" s="248">
        <f t="shared" si="1"/>
        <v>8.592425098925844E-4</v>
      </c>
      <c r="K67" s="247">
        <v>5</v>
      </c>
      <c r="L67" s="249">
        <f t="shared" si="2"/>
        <v>39.158707119792751</v>
      </c>
      <c r="M67" s="88" t="s">
        <v>313</v>
      </c>
    </row>
    <row r="68" spans="1:13" x14ac:dyDescent="0.2">
      <c r="B68" s="244">
        <v>56</v>
      </c>
      <c r="C68" s="245">
        <v>2.46</v>
      </c>
      <c r="D68" s="245">
        <v>0.79</v>
      </c>
      <c r="E68" s="245">
        <v>0.87</v>
      </c>
      <c r="F68" s="246">
        <f t="shared" si="0"/>
        <v>0.35365853658536583</v>
      </c>
      <c r="G68" s="246">
        <v>407.15</v>
      </c>
      <c r="H68" s="246">
        <v>405.16</v>
      </c>
      <c r="I68" s="247">
        <v>595</v>
      </c>
      <c r="J68" s="248">
        <f t="shared" si="1"/>
        <v>3.3445378151259701E-3</v>
      </c>
      <c r="K68" s="247">
        <v>25</v>
      </c>
      <c r="L68" s="249">
        <f t="shared" si="2"/>
        <v>30.823450384002875</v>
      </c>
      <c r="M68" s="88" t="s">
        <v>266</v>
      </c>
    </row>
    <row r="69" spans="1:13" x14ac:dyDescent="0.2">
      <c r="B69" s="304">
        <v>56.1</v>
      </c>
      <c r="C69" s="60">
        <v>11</v>
      </c>
      <c r="D69" s="60">
        <v>3.19</v>
      </c>
      <c r="E69" s="60">
        <v>3.8279999999999998</v>
      </c>
      <c r="F69" s="61">
        <f t="shared" si="0"/>
        <v>0.34799999999999998</v>
      </c>
      <c r="G69" s="61">
        <v>407.7</v>
      </c>
      <c r="H69" s="61">
        <v>405.16</v>
      </c>
      <c r="I69" s="62">
        <v>892</v>
      </c>
      <c r="J69" s="63">
        <f t="shared" si="1"/>
        <v>2.8475336322869547E-3</v>
      </c>
      <c r="K69" s="62">
        <v>25</v>
      </c>
      <c r="L69" s="64">
        <f t="shared" si="2"/>
        <v>34.461541366763029</v>
      </c>
      <c r="M69" s="88" t="s">
        <v>266</v>
      </c>
    </row>
    <row r="70" spans="1:13" x14ac:dyDescent="0.2">
      <c r="B70" s="244">
        <v>57</v>
      </c>
      <c r="C70" s="245">
        <v>6.24</v>
      </c>
      <c r="D70" s="245">
        <v>3.5259999999999998</v>
      </c>
      <c r="E70" s="245">
        <v>3.8172000000000001</v>
      </c>
      <c r="F70" s="246">
        <f t="shared" si="0"/>
        <v>0.61173076923076919</v>
      </c>
      <c r="G70" s="246">
        <v>409.05</v>
      </c>
      <c r="H70" s="246">
        <v>404.82</v>
      </c>
      <c r="I70" s="247">
        <v>1526</v>
      </c>
      <c r="J70" s="248">
        <f t="shared" si="1"/>
        <v>2.7719528178243892E-3</v>
      </c>
      <c r="K70" s="247">
        <v>25</v>
      </c>
      <c r="L70" s="249">
        <f t="shared" si="2"/>
        <v>41.405636549919045</v>
      </c>
      <c r="M70" s="270" t="s">
        <v>315</v>
      </c>
    </row>
    <row r="71" spans="1:13" ht="15.75" x14ac:dyDescent="0.25">
      <c r="B71" s="395">
        <v>60</v>
      </c>
      <c r="C71" s="306">
        <v>8.58</v>
      </c>
      <c r="D71" s="306">
        <v>4.72</v>
      </c>
      <c r="E71" s="306">
        <v>5.19</v>
      </c>
      <c r="F71" s="317">
        <f t="shared" si="0"/>
        <v>0.6048951048951049</v>
      </c>
      <c r="G71" s="357">
        <v>408.69</v>
      </c>
      <c r="H71" s="317">
        <v>404.82</v>
      </c>
      <c r="I71" s="356">
        <v>1152</v>
      </c>
      <c r="J71" s="397">
        <f t="shared" si="1"/>
        <v>3.3593750000000039E-3</v>
      </c>
      <c r="K71" s="396">
        <v>20</v>
      </c>
      <c r="L71" s="398">
        <f t="shared" si="2"/>
        <v>31.250056546295767</v>
      </c>
      <c r="M71" s="88" t="s">
        <v>314</v>
      </c>
    </row>
    <row r="72" spans="1:13" ht="15.75" x14ac:dyDescent="0.25">
      <c r="A72" s="603" t="s">
        <v>561</v>
      </c>
      <c r="B72" s="379">
        <v>61</v>
      </c>
      <c r="C72" s="374">
        <v>16.899999999999999</v>
      </c>
      <c r="D72" s="374">
        <f>0.7*8.2+0.55*8.7</f>
        <v>10.524999999999999</v>
      </c>
      <c r="E72" s="374">
        <f>0.7*8.2*1.1+0.55*8.7*1.1</f>
        <v>11.577500000000001</v>
      </c>
      <c r="F72" s="380">
        <f t="shared" si="0"/>
        <v>0.68505917159763319</v>
      </c>
      <c r="G72" s="380">
        <v>406.5</v>
      </c>
      <c r="H72" s="380">
        <v>404.82</v>
      </c>
      <c r="I72" s="381">
        <v>922</v>
      </c>
      <c r="J72" s="382">
        <f t="shared" si="1"/>
        <v>1.8221258134490312E-3</v>
      </c>
      <c r="K72" s="381">
        <v>10</v>
      </c>
      <c r="L72" s="383">
        <f t="shared" si="2"/>
        <v>22.225685228969922</v>
      </c>
      <c r="M72" s="270" t="s">
        <v>500</v>
      </c>
    </row>
    <row r="73" spans="1:13" x14ac:dyDescent="0.2">
      <c r="A73" s="604"/>
      <c r="B73" s="244">
        <v>62</v>
      </c>
      <c r="C73" s="245">
        <v>1.35</v>
      </c>
      <c r="D73" s="245">
        <v>1.2150000000000001</v>
      </c>
      <c r="E73" s="245">
        <v>1.2150000000000001</v>
      </c>
      <c r="F73" s="246">
        <f t="shared" si="0"/>
        <v>0.9</v>
      </c>
      <c r="G73" s="246">
        <v>406.26</v>
      </c>
      <c r="H73" s="246">
        <v>404.7</v>
      </c>
      <c r="I73" s="247">
        <v>535</v>
      </c>
      <c r="J73" s="248">
        <f t="shared" si="1"/>
        <v>2.9158878504672941E-3</v>
      </c>
      <c r="K73" s="247">
        <v>5</v>
      </c>
      <c r="L73" s="249">
        <f t="shared" si="2"/>
        <v>10.607894607565498</v>
      </c>
      <c r="M73" s="88" t="s">
        <v>316</v>
      </c>
    </row>
    <row r="74" spans="1:13" x14ac:dyDescent="0.2">
      <c r="B74" s="244">
        <v>63</v>
      </c>
      <c r="C74" s="245">
        <v>3.32</v>
      </c>
      <c r="D74" s="245">
        <v>2.504</v>
      </c>
      <c r="E74" s="245">
        <v>2.6734</v>
      </c>
      <c r="F74" s="246">
        <f t="shared" si="0"/>
        <v>0.80524096385542177</v>
      </c>
      <c r="G74" s="399">
        <v>406.2</v>
      </c>
      <c r="H74" s="246">
        <v>404.69</v>
      </c>
      <c r="I74" s="400">
        <v>564</v>
      </c>
      <c r="J74" s="248">
        <f t="shared" si="1"/>
        <v>2.6773049645389909E-3</v>
      </c>
      <c r="K74" s="247">
        <v>10</v>
      </c>
      <c r="L74" s="249">
        <f t="shared" si="2"/>
        <v>16.169665968504109</v>
      </c>
      <c r="M74" s="270" t="s">
        <v>439</v>
      </c>
    </row>
    <row r="75" spans="1:13" x14ac:dyDescent="0.2">
      <c r="B75" s="244">
        <v>66</v>
      </c>
      <c r="C75" s="245">
        <v>12.16</v>
      </c>
      <c r="D75" s="245">
        <v>8.5120000000000005</v>
      </c>
      <c r="E75" s="245">
        <v>10.214399999999999</v>
      </c>
      <c r="F75" s="246">
        <f t="shared" ref="F75:F142" si="3">E75/C75</f>
        <v>0.84</v>
      </c>
      <c r="G75" s="246">
        <v>407.9</v>
      </c>
      <c r="H75" s="246">
        <v>405</v>
      </c>
      <c r="I75" s="247">
        <v>876</v>
      </c>
      <c r="J75" s="248">
        <f t="shared" ref="J75:J142" si="4">(G75-H75)/I75</f>
        <v>3.3105022831049968E-3</v>
      </c>
      <c r="K75" s="247">
        <v>10</v>
      </c>
      <c r="L75" s="249">
        <f t="shared" si="2"/>
        <v>18.617645594855709</v>
      </c>
      <c r="M75" s="88" t="s">
        <v>318</v>
      </c>
    </row>
    <row r="76" spans="1:13" x14ac:dyDescent="0.2">
      <c r="B76" s="244">
        <v>67</v>
      </c>
      <c r="C76" s="245">
        <v>15.28</v>
      </c>
      <c r="D76" s="245">
        <v>10.7</v>
      </c>
      <c r="E76" s="245">
        <v>12.85</v>
      </c>
      <c r="F76" s="246">
        <f t="shared" si="3"/>
        <v>0.84096858638743455</v>
      </c>
      <c r="G76" s="246">
        <v>407.9</v>
      </c>
      <c r="H76" s="246">
        <v>405</v>
      </c>
      <c r="I76" s="247">
        <v>886</v>
      </c>
      <c r="J76" s="248">
        <f t="shared" si="4"/>
        <v>3.2731376975169042E-3</v>
      </c>
      <c r="K76" s="247">
        <v>10</v>
      </c>
      <c r="L76" s="249">
        <f t="shared" ref="L76:L144" si="5">(I76)/((0.84*(J76^0.5)*(cell_GUTDEP^0.6666)/cell_NRD)*60)+K76</f>
        <v>18.765628347248132</v>
      </c>
      <c r="M76" s="88" t="s">
        <v>319</v>
      </c>
    </row>
    <row r="77" spans="1:13" x14ac:dyDescent="0.2">
      <c r="B77" s="244">
        <v>74</v>
      </c>
      <c r="C77" s="245">
        <v>1.5</v>
      </c>
      <c r="D77" s="245">
        <v>0.93200000000000005</v>
      </c>
      <c r="E77" s="245">
        <v>0.93200000000000005</v>
      </c>
      <c r="F77" s="246">
        <f t="shared" si="3"/>
        <v>0.6213333333333334</v>
      </c>
      <c r="G77" s="317">
        <v>401.02</v>
      </c>
      <c r="H77" s="317">
        <v>400.47</v>
      </c>
      <c r="I77" s="247">
        <v>383</v>
      </c>
      <c r="J77" s="248">
        <f t="shared" si="4"/>
        <v>1.4360313315925706E-3</v>
      </c>
      <c r="K77" s="247">
        <v>20</v>
      </c>
      <c r="L77" s="249">
        <f t="shared" si="5"/>
        <v>25.720688302522287</v>
      </c>
      <c r="M77" s="270" t="s">
        <v>321</v>
      </c>
    </row>
    <row r="78" spans="1:13" x14ac:dyDescent="0.2">
      <c r="B78" s="244">
        <v>75</v>
      </c>
      <c r="C78" s="245">
        <v>5.36</v>
      </c>
      <c r="D78" s="245">
        <v>2.8079999999999998</v>
      </c>
      <c r="E78" s="245">
        <v>2.8079999999999998</v>
      </c>
      <c r="F78" s="246">
        <f t="shared" si="3"/>
        <v>0.52388059701492529</v>
      </c>
      <c r="G78" s="317">
        <v>402.73</v>
      </c>
      <c r="H78" s="317">
        <v>400.46</v>
      </c>
      <c r="I78" s="247">
        <v>733</v>
      </c>
      <c r="J78" s="248">
        <f t="shared" si="4"/>
        <v>3.0968622100955505E-3</v>
      </c>
      <c r="K78" s="247">
        <v>20</v>
      </c>
      <c r="L78" s="249">
        <f t="shared" si="5"/>
        <v>27.455460997748069</v>
      </c>
      <c r="M78" s="88" t="s">
        <v>320</v>
      </c>
    </row>
    <row r="79" spans="1:13" x14ac:dyDescent="0.2">
      <c r="B79" s="244">
        <v>75.099999999999994</v>
      </c>
      <c r="C79" s="245">
        <v>9.4700000000000006</v>
      </c>
      <c r="D79" s="245">
        <v>4.9244000000000003</v>
      </c>
      <c r="E79" s="245">
        <v>4.9244000000000003</v>
      </c>
      <c r="F79" s="246">
        <f t="shared" si="3"/>
        <v>0.52</v>
      </c>
      <c r="G79" s="399">
        <v>403.55</v>
      </c>
      <c r="H79" s="399">
        <v>399.56</v>
      </c>
      <c r="I79" s="400">
        <v>1384</v>
      </c>
      <c r="J79" s="248">
        <f t="shared" si="4"/>
        <v>2.8829479768786191E-3</v>
      </c>
      <c r="K79" s="247">
        <v>20</v>
      </c>
      <c r="L79" s="249">
        <f t="shared" si="5"/>
        <v>34.589793886966667</v>
      </c>
      <c r="M79" s="88" t="s">
        <v>322</v>
      </c>
    </row>
    <row r="80" spans="1:13" x14ac:dyDescent="0.2">
      <c r="B80" s="244">
        <v>75.2</v>
      </c>
      <c r="C80" s="245">
        <v>2.83</v>
      </c>
      <c r="D80" s="245">
        <v>1.4716</v>
      </c>
      <c r="E80" s="245">
        <v>1.4716</v>
      </c>
      <c r="F80" s="246">
        <f t="shared" si="3"/>
        <v>0.52</v>
      </c>
      <c r="G80" s="399">
        <v>400.92</v>
      </c>
      <c r="H80" s="399">
        <v>399.49</v>
      </c>
      <c r="I80" s="400">
        <v>697</v>
      </c>
      <c r="J80" s="248">
        <f t="shared" si="4"/>
        <v>2.0516499282639982E-3</v>
      </c>
      <c r="K80" s="247">
        <v>20</v>
      </c>
      <c r="L80" s="249">
        <f t="shared" si="5"/>
        <v>28.70988894605447</v>
      </c>
      <c r="M80" s="88" t="s">
        <v>323</v>
      </c>
    </row>
    <row r="81" spans="2:13" x14ac:dyDescent="0.2">
      <c r="B81" s="304">
        <v>75.25</v>
      </c>
      <c r="C81" s="60">
        <v>11.36</v>
      </c>
      <c r="D81" s="60">
        <v>5.0191999999999997</v>
      </c>
      <c r="E81" s="60">
        <v>5.3033999999999999</v>
      </c>
      <c r="F81" s="61">
        <f t="shared" si="3"/>
        <v>0.46684859154929581</v>
      </c>
      <c r="G81" s="399">
        <v>405.43</v>
      </c>
      <c r="H81" s="399">
        <v>399.22</v>
      </c>
      <c r="I81" s="400">
        <v>1599</v>
      </c>
      <c r="J81" s="63">
        <f t="shared" si="4"/>
        <v>3.8836772983114319E-3</v>
      </c>
      <c r="K81" s="62">
        <v>20</v>
      </c>
      <c r="L81" s="64">
        <f t="shared" si="5"/>
        <v>34.523067797368839</v>
      </c>
      <c r="M81" s="270" t="s">
        <v>324</v>
      </c>
    </row>
    <row r="82" spans="2:13" x14ac:dyDescent="0.2">
      <c r="B82" s="244">
        <v>75.3</v>
      </c>
      <c r="C82" s="245">
        <v>8</v>
      </c>
      <c r="D82" s="245">
        <v>4.16</v>
      </c>
      <c r="E82" s="245">
        <v>4.16</v>
      </c>
      <c r="F82" s="246">
        <f t="shared" si="3"/>
        <v>0.52</v>
      </c>
      <c r="G82" s="317">
        <v>401.33</v>
      </c>
      <c r="H82" s="317">
        <v>398.03</v>
      </c>
      <c r="I82" s="247">
        <v>1359</v>
      </c>
      <c r="J82" s="248">
        <f t="shared" si="4"/>
        <v>2.4282560706401848E-3</v>
      </c>
      <c r="K82" s="247">
        <v>20</v>
      </c>
      <c r="L82" s="249">
        <f t="shared" si="5"/>
        <v>35.610028083592965</v>
      </c>
      <c r="M82" s="88" t="s">
        <v>325</v>
      </c>
    </row>
    <row r="83" spans="2:13" x14ac:dyDescent="0.2">
      <c r="B83" s="315">
        <v>75.400000000000006</v>
      </c>
      <c r="C83" s="245">
        <v>3.35</v>
      </c>
      <c r="D83" s="245">
        <v>1.742</v>
      </c>
      <c r="E83" s="245">
        <v>1.742</v>
      </c>
      <c r="F83" s="246">
        <f t="shared" si="3"/>
        <v>0.52</v>
      </c>
      <c r="G83" s="317">
        <v>399.89</v>
      </c>
      <c r="H83" s="317">
        <v>397.99</v>
      </c>
      <c r="I83" s="247">
        <v>414</v>
      </c>
      <c r="J83" s="248">
        <f t="shared" si="4"/>
        <v>4.5893719806762738E-3</v>
      </c>
      <c r="K83" s="247">
        <v>20</v>
      </c>
      <c r="L83" s="249">
        <f t="shared" si="5"/>
        <v>23.459036784270552</v>
      </c>
      <c r="M83" s="88" t="s">
        <v>326</v>
      </c>
    </row>
    <row r="84" spans="2:13" x14ac:dyDescent="0.2">
      <c r="B84" s="315">
        <v>75.5</v>
      </c>
      <c r="C84" s="245">
        <v>3.08</v>
      </c>
      <c r="D84" s="245">
        <v>1.6015999999999999</v>
      </c>
      <c r="E84" s="245">
        <v>1.6015999999999999</v>
      </c>
      <c r="F84" s="246">
        <f t="shared" si="3"/>
        <v>0.51999999999999991</v>
      </c>
      <c r="G84" s="246">
        <v>401</v>
      </c>
      <c r="H84" s="246">
        <v>399.57</v>
      </c>
      <c r="I84" s="247">
        <v>561</v>
      </c>
      <c r="J84" s="248">
        <f t="shared" si="4"/>
        <v>2.5490196078431495E-3</v>
      </c>
      <c r="K84" s="247">
        <v>20</v>
      </c>
      <c r="L84" s="249">
        <f t="shared" si="5"/>
        <v>26.289378654473623</v>
      </c>
      <c r="M84" s="88" t="s">
        <v>327</v>
      </c>
    </row>
    <row r="85" spans="2:13" x14ac:dyDescent="0.2">
      <c r="B85" s="315">
        <v>75.599999999999994</v>
      </c>
      <c r="C85" s="245">
        <v>1.1200000000000001</v>
      </c>
      <c r="D85" s="245">
        <v>0.58240000000000003</v>
      </c>
      <c r="E85" s="245">
        <v>0.58240000000000003</v>
      </c>
      <c r="F85" s="246">
        <f t="shared" si="3"/>
        <v>0.52</v>
      </c>
      <c r="G85" s="246">
        <v>401.07</v>
      </c>
      <c r="H85" s="246">
        <v>399.55</v>
      </c>
      <c r="I85" s="247">
        <v>448</v>
      </c>
      <c r="J85" s="248">
        <f t="shared" si="4"/>
        <v>3.3928571428571024E-3</v>
      </c>
      <c r="K85" s="247">
        <v>20</v>
      </c>
      <c r="L85" s="249">
        <f t="shared" si="5"/>
        <v>24.353381188159393</v>
      </c>
      <c r="M85" s="88" t="s">
        <v>328</v>
      </c>
    </row>
    <row r="86" spans="2:13" ht="15.75" x14ac:dyDescent="0.25">
      <c r="B86" s="244">
        <v>76</v>
      </c>
      <c r="C86" s="245">
        <v>5.57</v>
      </c>
      <c r="D86" s="245">
        <v>2.8963999999999999</v>
      </c>
      <c r="E86" s="245">
        <v>2.8963999999999999</v>
      </c>
      <c r="F86" s="246">
        <f t="shared" si="3"/>
        <v>0.51999999999999991</v>
      </c>
      <c r="G86" s="399">
        <v>402.29</v>
      </c>
      <c r="H86" s="357">
        <v>398.34</v>
      </c>
      <c r="I86" s="400">
        <v>810</v>
      </c>
      <c r="J86" s="248">
        <f t="shared" si="4"/>
        <v>4.8765432098765993E-3</v>
      </c>
      <c r="K86" s="247">
        <v>20</v>
      </c>
      <c r="L86" s="249">
        <f t="shared" si="5"/>
        <v>26.565388796725664</v>
      </c>
      <c r="M86" s="270" t="s">
        <v>329</v>
      </c>
    </row>
    <row r="87" spans="2:13" ht="15.75" x14ac:dyDescent="0.25">
      <c r="B87" s="315">
        <v>76.099999999999994</v>
      </c>
      <c r="C87" s="355">
        <v>2.2000000000000002</v>
      </c>
      <c r="D87" s="355">
        <f>C87*0.52</f>
        <v>1.1440000000000001</v>
      </c>
      <c r="E87" s="355">
        <f>D87</f>
        <v>1.1440000000000001</v>
      </c>
      <c r="F87" s="246">
        <f t="shared" si="3"/>
        <v>0.52</v>
      </c>
      <c r="G87" s="399">
        <v>400.27</v>
      </c>
      <c r="H87" s="357">
        <v>398.33</v>
      </c>
      <c r="I87" s="400">
        <v>468</v>
      </c>
      <c r="J87" s="248">
        <f t="shared" si="4"/>
        <v>4.1452991452991406E-3</v>
      </c>
      <c r="K87" s="247">
        <v>20</v>
      </c>
      <c r="L87" s="249">
        <f t="shared" si="5"/>
        <v>24.114332476965632</v>
      </c>
      <c r="M87" s="88" t="s">
        <v>515</v>
      </c>
    </row>
    <row r="88" spans="2:13" ht="15.75" x14ac:dyDescent="0.25">
      <c r="B88" s="315">
        <v>76.2</v>
      </c>
      <c r="C88" s="355">
        <v>0.2</v>
      </c>
      <c r="D88" s="355">
        <f>C88*0.9</f>
        <v>0.18000000000000002</v>
      </c>
      <c r="E88" s="355">
        <f>D88</f>
        <v>0.18000000000000002</v>
      </c>
      <c r="F88" s="246">
        <f t="shared" si="3"/>
        <v>0.9</v>
      </c>
      <c r="G88" s="399">
        <v>398.89</v>
      </c>
      <c r="H88" s="399">
        <v>398.37</v>
      </c>
      <c r="I88" s="400">
        <v>209</v>
      </c>
      <c r="J88" s="248">
        <f t="shared" si="4"/>
        <v>2.4880382775118747E-3</v>
      </c>
      <c r="K88" s="247">
        <v>5</v>
      </c>
      <c r="L88" s="249">
        <f t="shared" si="5"/>
        <v>7.3716425122876021</v>
      </c>
      <c r="M88" s="88" t="s">
        <v>330</v>
      </c>
    </row>
    <row r="89" spans="2:13" ht="15.75" x14ac:dyDescent="0.25">
      <c r="B89" s="315">
        <v>76.3</v>
      </c>
      <c r="C89" s="355">
        <v>1.74</v>
      </c>
      <c r="D89" s="355">
        <f>C89*0.52</f>
        <v>0.90480000000000005</v>
      </c>
      <c r="E89" s="355">
        <f>D89</f>
        <v>0.90480000000000005</v>
      </c>
      <c r="F89" s="246">
        <f t="shared" si="3"/>
        <v>0.52</v>
      </c>
      <c r="G89" s="399">
        <v>398.87</v>
      </c>
      <c r="H89" s="399">
        <v>397.43</v>
      </c>
      <c r="I89" s="247">
        <v>231</v>
      </c>
      <c r="J89" s="248">
        <f t="shared" si="4"/>
        <v>6.2337662337662242E-3</v>
      </c>
      <c r="K89" s="247">
        <v>20</v>
      </c>
      <c r="L89" s="249">
        <f t="shared" si="5"/>
        <v>21.656029973271711</v>
      </c>
      <c r="M89" s="88" t="s">
        <v>517</v>
      </c>
    </row>
    <row r="90" spans="2:13" ht="15.75" x14ac:dyDescent="0.25">
      <c r="B90" s="315">
        <v>76.41</v>
      </c>
      <c r="C90" s="355">
        <v>2.2999999999999998</v>
      </c>
      <c r="D90" s="355">
        <f>C90*0.32</f>
        <v>0.73599999999999999</v>
      </c>
      <c r="E90" s="355">
        <f>D90*1.2</f>
        <v>0.88319999999999999</v>
      </c>
      <c r="F90" s="246">
        <f t="shared" si="3"/>
        <v>0.38400000000000001</v>
      </c>
      <c r="G90" s="246">
        <v>397</v>
      </c>
      <c r="H90" s="399">
        <v>396.31</v>
      </c>
      <c r="I90" s="247">
        <v>290</v>
      </c>
      <c r="J90" s="248">
        <f t="shared" si="4"/>
        <v>2.3793103448275783E-3</v>
      </c>
      <c r="K90" s="247">
        <v>25</v>
      </c>
      <c r="L90" s="249">
        <f t="shared" si="5"/>
        <v>28.365146073384647</v>
      </c>
      <c r="M90" s="88" t="s">
        <v>516</v>
      </c>
    </row>
    <row r="91" spans="2:13" ht="15.75" x14ac:dyDescent="0.25">
      <c r="B91" s="315">
        <v>76.42</v>
      </c>
      <c r="C91" s="245">
        <v>8.27</v>
      </c>
      <c r="D91" s="245">
        <v>2.6463999999999999</v>
      </c>
      <c r="E91" s="245">
        <v>3.1757</v>
      </c>
      <c r="F91" s="246">
        <f t="shared" si="3"/>
        <v>0.38400241837968563</v>
      </c>
      <c r="G91" s="246">
        <v>398</v>
      </c>
      <c r="H91" s="399">
        <v>396.31</v>
      </c>
      <c r="I91" s="247">
        <v>433</v>
      </c>
      <c r="J91" s="248">
        <f t="shared" si="4"/>
        <v>3.9030023094688169E-3</v>
      </c>
      <c r="K91" s="247">
        <v>25</v>
      </c>
      <c r="L91" s="249">
        <f t="shared" si="5"/>
        <v>28.923014934579975</v>
      </c>
      <c r="M91" s="88" t="s">
        <v>519</v>
      </c>
    </row>
    <row r="92" spans="2:13" ht="15.75" x14ac:dyDescent="0.25">
      <c r="B92" s="315">
        <v>76.430000000000007</v>
      </c>
      <c r="C92" s="245">
        <v>0.59</v>
      </c>
      <c r="D92" s="245">
        <v>0.53</v>
      </c>
      <c r="E92" s="245">
        <v>0.53</v>
      </c>
      <c r="F92" s="246">
        <f t="shared" si="3"/>
        <v>0.89830508474576276</v>
      </c>
      <c r="G92" s="246">
        <v>400</v>
      </c>
      <c r="H92" s="246">
        <v>397.76</v>
      </c>
      <c r="I92" s="247">
        <v>528</v>
      </c>
      <c r="J92" s="248">
        <f t="shared" si="4"/>
        <v>4.2424242424242593E-3</v>
      </c>
      <c r="K92" s="247">
        <v>5</v>
      </c>
      <c r="L92" s="249">
        <f t="shared" si="5"/>
        <v>9.5883690734312523</v>
      </c>
      <c r="M92" s="88" t="s">
        <v>520</v>
      </c>
    </row>
    <row r="93" spans="2:13" ht="15.75" x14ac:dyDescent="0.25">
      <c r="B93" s="315">
        <v>76.5</v>
      </c>
      <c r="C93" s="245">
        <v>19.64</v>
      </c>
      <c r="D93" s="245">
        <v>5.6955999999999998</v>
      </c>
      <c r="E93" s="245">
        <v>6.8346999999999998</v>
      </c>
      <c r="F93" s="246">
        <f t="shared" si="3"/>
        <v>0.3479989816700611</v>
      </c>
      <c r="G93" s="246">
        <v>399</v>
      </c>
      <c r="H93" s="246">
        <v>397.41</v>
      </c>
      <c r="I93" s="247">
        <v>1089</v>
      </c>
      <c r="J93" s="248">
        <f t="shared" si="4"/>
        <v>1.4600550964187099E-3</v>
      </c>
      <c r="K93" s="247">
        <v>25</v>
      </c>
      <c r="L93" s="249">
        <f t="shared" si="5"/>
        <v>41.131499042787937</v>
      </c>
      <c r="M93" s="88" t="s">
        <v>518</v>
      </c>
    </row>
    <row r="94" spans="2:13" ht="15.75" x14ac:dyDescent="0.25">
      <c r="B94" s="286">
        <v>77</v>
      </c>
      <c r="C94" s="343">
        <v>2.8</v>
      </c>
      <c r="D94" s="343">
        <f>C94*0.5</f>
        <v>1.4</v>
      </c>
      <c r="E94" s="343">
        <f>D94</f>
        <v>1.4</v>
      </c>
      <c r="F94" s="287">
        <f t="shared" si="3"/>
        <v>0.5</v>
      </c>
      <c r="G94" s="287">
        <v>397.51</v>
      </c>
      <c r="H94" s="345">
        <v>394.14</v>
      </c>
      <c r="I94" s="347">
        <v>382</v>
      </c>
      <c r="J94" s="289">
        <f t="shared" si="4"/>
        <v>8.8219895287958237E-3</v>
      </c>
      <c r="K94" s="288">
        <v>20</v>
      </c>
      <c r="L94" s="290">
        <f t="shared" si="5"/>
        <v>22.302033096184743</v>
      </c>
      <c r="M94" s="88" t="s">
        <v>486</v>
      </c>
    </row>
    <row r="95" spans="2:13" ht="15.75" x14ac:dyDescent="0.25">
      <c r="B95" s="291">
        <v>77.099999999999994</v>
      </c>
      <c r="C95" s="343">
        <v>2.2999999999999998</v>
      </c>
      <c r="D95" s="343">
        <f>C95*0.5</f>
        <v>1.1499999999999999</v>
      </c>
      <c r="E95" s="343">
        <f>D95</f>
        <v>1.1499999999999999</v>
      </c>
      <c r="F95" s="277">
        <f t="shared" si="3"/>
        <v>0.5</v>
      </c>
      <c r="G95" s="277">
        <v>397.51</v>
      </c>
      <c r="H95" s="345">
        <v>394.14</v>
      </c>
      <c r="I95" s="293">
        <v>498</v>
      </c>
      <c r="J95" s="294">
        <f t="shared" si="4"/>
        <v>6.7670682730923788E-3</v>
      </c>
      <c r="K95" s="293">
        <v>20</v>
      </c>
      <c r="L95" s="295">
        <f t="shared" si="5"/>
        <v>23.426577295596314</v>
      </c>
      <c r="M95" s="88" t="s">
        <v>487</v>
      </c>
    </row>
    <row r="96" spans="2:13" ht="15.75" x14ac:dyDescent="0.25">
      <c r="B96" s="291">
        <v>77.2</v>
      </c>
      <c r="C96" s="292">
        <v>3</v>
      </c>
      <c r="D96" s="292">
        <v>1.5</v>
      </c>
      <c r="E96" s="292">
        <v>1.5</v>
      </c>
      <c r="F96" s="277">
        <f t="shared" si="3"/>
        <v>0.5</v>
      </c>
      <c r="G96" s="345">
        <v>395.74</v>
      </c>
      <c r="H96" s="345">
        <v>394.25</v>
      </c>
      <c r="I96" s="347">
        <v>642</v>
      </c>
      <c r="J96" s="294">
        <f t="shared" si="4"/>
        <v>2.3208722741433164E-3</v>
      </c>
      <c r="K96" s="293">
        <v>20</v>
      </c>
      <c r="L96" s="295">
        <f t="shared" si="5"/>
        <v>27.542943890072348</v>
      </c>
      <c r="M96" s="88" t="s">
        <v>331</v>
      </c>
    </row>
    <row r="97" spans="2:13" ht="15.75" x14ac:dyDescent="0.25">
      <c r="B97" s="291">
        <v>77.3</v>
      </c>
      <c r="C97" s="343">
        <v>2.2000000000000002</v>
      </c>
      <c r="D97" s="343">
        <f>C97*0.5</f>
        <v>1.1000000000000001</v>
      </c>
      <c r="E97" s="343">
        <f>D97</f>
        <v>1.1000000000000001</v>
      </c>
      <c r="F97" s="277">
        <f t="shared" si="3"/>
        <v>0.5</v>
      </c>
      <c r="G97" s="345">
        <v>398.94</v>
      </c>
      <c r="H97" s="345">
        <v>397.77</v>
      </c>
      <c r="I97" s="347">
        <v>463</v>
      </c>
      <c r="J97" s="294">
        <f t="shared" si="4"/>
        <v>2.5269978401728206E-3</v>
      </c>
      <c r="K97" s="293">
        <v>20</v>
      </c>
      <c r="L97" s="295">
        <f t="shared" si="5"/>
        <v>25.21326768165483</v>
      </c>
      <c r="M97" s="88" t="s">
        <v>484</v>
      </c>
    </row>
    <row r="98" spans="2:13" ht="15.75" x14ac:dyDescent="0.25">
      <c r="B98" s="291">
        <v>77.400000000000006</v>
      </c>
      <c r="C98" s="343">
        <v>5.27</v>
      </c>
      <c r="D98" s="343">
        <f>C98*0.5</f>
        <v>2.6349999999999998</v>
      </c>
      <c r="E98" s="343">
        <f>D98</f>
        <v>2.6349999999999998</v>
      </c>
      <c r="F98" s="277">
        <f t="shared" si="3"/>
        <v>0.5</v>
      </c>
      <c r="G98" s="345">
        <v>400.61</v>
      </c>
      <c r="H98" s="345">
        <v>397.78</v>
      </c>
      <c r="I98" s="347">
        <v>851</v>
      </c>
      <c r="J98" s="294">
        <f t="shared" si="4"/>
        <v>3.3254994124559821E-3</v>
      </c>
      <c r="K98" s="293">
        <v>20</v>
      </c>
      <c r="L98" s="295">
        <f t="shared" si="5"/>
        <v>28.352809786572266</v>
      </c>
      <c r="M98" s="88" t="s">
        <v>485</v>
      </c>
    </row>
    <row r="99" spans="2:13" ht="15.75" x14ac:dyDescent="0.25">
      <c r="B99" s="291">
        <v>77.5</v>
      </c>
      <c r="C99" s="343">
        <v>1.4</v>
      </c>
      <c r="D99" s="343">
        <f>C99*0.5</f>
        <v>0.7</v>
      </c>
      <c r="E99" s="343">
        <f>D99</f>
        <v>0.7</v>
      </c>
      <c r="F99" s="277">
        <f t="shared" si="3"/>
        <v>0.5</v>
      </c>
      <c r="G99" s="345">
        <v>395.74</v>
      </c>
      <c r="H99" s="345">
        <v>395.07</v>
      </c>
      <c r="I99" s="347">
        <v>365</v>
      </c>
      <c r="J99" s="294">
        <f t="shared" si="4"/>
        <v>1.8356164383562081E-3</v>
      </c>
      <c r="K99" s="293">
        <v>20</v>
      </c>
      <c r="L99" s="295">
        <f t="shared" si="5"/>
        <v>24.82206837897926</v>
      </c>
      <c r="M99" s="88" t="s">
        <v>488</v>
      </c>
    </row>
    <row r="100" spans="2:13" ht="15.75" x14ac:dyDescent="0.25">
      <c r="B100" s="291">
        <v>77.599999999999994</v>
      </c>
      <c r="C100" s="343">
        <v>2.6</v>
      </c>
      <c r="D100" s="343">
        <f>C100*0.5</f>
        <v>1.3</v>
      </c>
      <c r="E100" s="343">
        <f>D100</f>
        <v>1.3</v>
      </c>
      <c r="F100" s="277">
        <f t="shared" si="3"/>
        <v>0.5</v>
      </c>
      <c r="G100" s="345">
        <v>395.74</v>
      </c>
      <c r="H100" s="345">
        <v>395</v>
      </c>
      <c r="I100" s="347">
        <v>401</v>
      </c>
      <c r="J100" s="294">
        <f t="shared" si="4"/>
        <v>1.8453865336658581E-3</v>
      </c>
      <c r="K100" s="293">
        <v>20</v>
      </c>
      <c r="L100" s="295">
        <f t="shared" si="5"/>
        <v>25.283627212705166</v>
      </c>
      <c r="M100" s="88" t="s">
        <v>489</v>
      </c>
    </row>
    <row r="101" spans="2:13" x14ac:dyDescent="0.2">
      <c r="B101" s="244">
        <v>79</v>
      </c>
      <c r="C101" s="245">
        <v>9.57</v>
      </c>
      <c r="D101" s="245">
        <v>2.7753000000000001</v>
      </c>
      <c r="E101" s="245">
        <v>3.0528</v>
      </c>
      <c r="F101" s="246">
        <f t="shared" si="3"/>
        <v>0.31899686520376175</v>
      </c>
      <c r="G101" s="246">
        <v>395.86</v>
      </c>
      <c r="H101" s="246">
        <v>392.51</v>
      </c>
      <c r="I101" s="247">
        <v>1679</v>
      </c>
      <c r="J101" s="248">
        <f t="shared" si="4"/>
        <v>1.9952352590828009E-3</v>
      </c>
      <c r="K101" s="247">
        <v>25</v>
      </c>
      <c r="L101" s="249">
        <f t="shared" si="5"/>
        <v>46.27576133632013</v>
      </c>
      <c r="M101" s="88" t="s">
        <v>332</v>
      </c>
    </row>
    <row r="102" spans="2:13" x14ac:dyDescent="0.2">
      <c r="B102" s="244">
        <v>80</v>
      </c>
      <c r="C102" s="245">
        <v>8.02</v>
      </c>
      <c r="D102" s="245">
        <v>2.33</v>
      </c>
      <c r="E102" s="245">
        <v>2.56</v>
      </c>
      <c r="F102" s="246">
        <f t="shared" si="3"/>
        <v>0.31920199501246888</v>
      </c>
      <c r="G102" s="246">
        <v>395.86</v>
      </c>
      <c r="H102" s="246">
        <v>392.28</v>
      </c>
      <c r="I102" s="247">
        <v>1940</v>
      </c>
      <c r="J102" s="248">
        <f t="shared" si="4"/>
        <v>1.8453608247422891E-3</v>
      </c>
      <c r="K102" s="247">
        <v>25</v>
      </c>
      <c r="L102" s="249">
        <f t="shared" si="5"/>
        <v>50.561865819854887</v>
      </c>
      <c r="M102" s="88" t="s">
        <v>333</v>
      </c>
    </row>
    <row r="103" spans="2:13" ht="15.75" x14ac:dyDescent="0.25">
      <c r="B103" s="244">
        <v>81</v>
      </c>
      <c r="C103" s="245">
        <v>4.33</v>
      </c>
      <c r="D103" s="355">
        <f>0.29*3.9+0.9*0.4</f>
        <v>1.4910000000000001</v>
      </c>
      <c r="E103" s="355">
        <f>0.29*3.9*1.1+0.9*0.4</f>
        <v>1.6041000000000003</v>
      </c>
      <c r="F103" s="246">
        <f t="shared" si="3"/>
        <v>0.37046189376443422</v>
      </c>
      <c r="G103" s="246">
        <v>395.69</v>
      </c>
      <c r="H103" s="246">
        <v>392.24</v>
      </c>
      <c r="I103" s="247">
        <v>1216</v>
      </c>
      <c r="J103" s="248">
        <f t="shared" si="4"/>
        <v>2.8371710526315696E-3</v>
      </c>
      <c r="K103" s="247">
        <v>25</v>
      </c>
      <c r="L103" s="249">
        <f t="shared" si="5"/>
        <v>37.921778257072646</v>
      </c>
      <c r="M103" s="371" t="s">
        <v>521</v>
      </c>
    </row>
    <row r="104" spans="2:13" x14ac:dyDescent="0.2">
      <c r="B104" s="304">
        <v>82</v>
      </c>
      <c r="C104" s="60">
        <v>0.57999999999999996</v>
      </c>
      <c r="D104" s="60">
        <v>0.52200000000000002</v>
      </c>
      <c r="E104" s="60">
        <v>0.52200000000000002</v>
      </c>
      <c r="F104" s="61">
        <f t="shared" si="3"/>
        <v>0.90000000000000013</v>
      </c>
      <c r="G104" s="61">
        <v>392.6</v>
      </c>
      <c r="H104" s="61">
        <v>391.26</v>
      </c>
      <c r="I104" s="62">
        <v>398</v>
      </c>
      <c r="J104" s="63">
        <f t="shared" si="4"/>
        <v>3.3668341708543515E-3</v>
      </c>
      <c r="K104" s="62">
        <v>5</v>
      </c>
      <c r="L104" s="64">
        <f t="shared" si="5"/>
        <v>8.8824303932880255</v>
      </c>
      <c r="M104" s="88" t="s">
        <v>334</v>
      </c>
    </row>
    <row r="105" spans="2:13" x14ac:dyDescent="0.2">
      <c r="B105" s="304">
        <v>83</v>
      </c>
      <c r="C105" s="60">
        <v>17.22</v>
      </c>
      <c r="D105" s="60">
        <v>5.5103999999999997</v>
      </c>
      <c r="E105" s="60">
        <v>6.0270000000000001</v>
      </c>
      <c r="F105" s="61">
        <f t="shared" si="3"/>
        <v>0.35000000000000003</v>
      </c>
      <c r="G105" s="61">
        <v>417.66</v>
      </c>
      <c r="H105" s="61">
        <v>411.37</v>
      </c>
      <c r="I105" s="62">
        <v>2130</v>
      </c>
      <c r="J105" s="63">
        <f t="shared" si="4"/>
        <v>2.9530516431924979E-3</v>
      </c>
      <c r="K105" s="62">
        <v>25</v>
      </c>
      <c r="L105" s="64">
        <f t="shared" si="5"/>
        <v>47.185823400028653</v>
      </c>
      <c r="M105" s="88" t="s">
        <v>335</v>
      </c>
    </row>
    <row r="106" spans="2:13" x14ac:dyDescent="0.2">
      <c r="B106" s="304">
        <v>84</v>
      </c>
      <c r="C106" s="60">
        <v>12.49</v>
      </c>
      <c r="D106" s="60">
        <v>3.9967999999999999</v>
      </c>
      <c r="E106" s="60">
        <v>4.3715000000000002</v>
      </c>
      <c r="F106" s="61">
        <f t="shared" si="3"/>
        <v>0.35000000000000003</v>
      </c>
      <c r="G106" s="61">
        <v>417.66</v>
      </c>
      <c r="H106" s="61">
        <v>411.28</v>
      </c>
      <c r="I106" s="62">
        <v>2215</v>
      </c>
      <c r="J106" s="63">
        <f t="shared" si="4"/>
        <v>2.8803611738149222E-3</v>
      </c>
      <c r="K106" s="62">
        <v>25</v>
      </c>
      <c r="L106" s="64">
        <f t="shared" si="5"/>
        <v>48.360478036754152</v>
      </c>
      <c r="M106" s="88" t="s">
        <v>336</v>
      </c>
    </row>
    <row r="107" spans="2:13" x14ac:dyDescent="0.2">
      <c r="B107" s="304">
        <v>85</v>
      </c>
      <c r="C107" s="60">
        <v>6.88</v>
      </c>
      <c r="D107" s="60">
        <v>6.1920000000000002</v>
      </c>
      <c r="E107" s="60">
        <v>6.1920000000000002</v>
      </c>
      <c r="F107" s="61">
        <f t="shared" si="3"/>
        <v>0.9</v>
      </c>
      <c r="G107" s="61">
        <v>419.5</v>
      </c>
      <c r="H107" s="61">
        <v>409.13</v>
      </c>
      <c r="I107" s="62">
        <v>3792</v>
      </c>
      <c r="J107" s="63">
        <f t="shared" si="4"/>
        <v>2.7347046413502122E-3</v>
      </c>
      <c r="K107" s="62">
        <v>5</v>
      </c>
      <c r="L107" s="64">
        <f t="shared" si="5"/>
        <v>46.043518497353809</v>
      </c>
      <c r="M107" s="88" t="s">
        <v>337</v>
      </c>
    </row>
    <row r="108" spans="2:13" x14ac:dyDescent="0.2">
      <c r="B108" s="304">
        <v>86</v>
      </c>
      <c r="C108" s="60">
        <v>0.81</v>
      </c>
      <c r="D108" s="60">
        <v>0.72899999999999998</v>
      </c>
      <c r="E108" s="60">
        <v>0.72899999999999998</v>
      </c>
      <c r="F108" s="61">
        <f t="shared" si="3"/>
        <v>0.89999999999999991</v>
      </c>
      <c r="G108" s="61">
        <v>410.54</v>
      </c>
      <c r="H108" s="61">
        <v>409.5</v>
      </c>
      <c r="I108" s="62">
        <v>567</v>
      </c>
      <c r="J108" s="63">
        <f t="shared" si="4"/>
        <v>1.834215167548537E-3</v>
      </c>
      <c r="K108" s="62">
        <v>5</v>
      </c>
      <c r="L108" s="64">
        <f t="shared" si="5"/>
        <v>12.493580686878142</v>
      </c>
      <c r="M108" s="88" t="s">
        <v>338</v>
      </c>
    </row>
    <row r="109" spans="2:13" x14ac:dyDescent="0.2">
      <c r="B109" s="304">
        <v>87</v>
      </c>
      <c r="C109" s="60">
        <v>9.18</v>
      </c>
      <c r="D109" s="60">
        <v>2.9376000000000002</v>
      </c>
      <c r="E109" s="60">
        <v>3.2130000000000001</v>
      </c>
      <c r="F109" s="61">
        <f t="shared" si="3"/>
        <v>0.35000000000000003</v>
      </c>
      <c r="G109" s="61">
        <v>408.24</v>
      </c>
      <c r="H109" s="61">
        <v>406.27</v>
      </c>
      <c r="I109" s="62">
        <v>1010</v>
      </c>
      <c r="J109" s="63">
        <f t="shared" si="4"/>
        <v>1.9504950495049776E-3</v>
      </c>
      <c r="K109" s="62">
        <v>25</v>
      </c>
      <c r="L109" s="64">
        <f t="shared" si="5"/>
        <v>37.944355054571773</v>
      </c>
      <c r="M109" s="88" t="s">
        <v>339</v>
      </c>
    </row>
    <row r="110" spans="2:13" x14ac:dyDescent="0.2">
      <c r="B110" s="304">
        <v>88</v>
      </c>
      <c r="C110" s="60">
        <v>9.5399999999999991</v>
      </c>
      <c r="D110" s="60">
        <v>3.0528</v>
      </c>
      <c r="E110" s="60">
        <v>3.339</v>
      </c>
      <c r="F110" s="61">
        <f t="shared" si="3"/>
        <v>0.35000000000000003</v>
      </c>
      <c r="G110" s="61">
        <v>410.54</v>
      </c>
      <c r="H110" s="61">
        <v>405.98</v>
      </c>
      <c r="I110" s="62">
        <v>1238</v>
      </c>
      <c r="J110" s="63">
        <f t="shared" si="4"/>
        <v>3.6833602584814234E-3</v>
      </c>
      <c r="K110" s="62">
        <v>25</v>
      </c>
      <c r="L110" s="64">
        <f t="shared" si="5"/>
        <v>36.545959105031919</v>
      </c>
      <c r="M110" s="88" t="s">
        <v>340</v>
      </c>
    </row>
    <row r="111" spans="2:13" x14ac:dyDescent="0.2">
      <c r="B111" s="304">
        <v>89</v>
      </c>
      <c r="C111" s="60">
        <v>16.16</v>
      </c>
      <c r="D111" s="60">
        <v>5.1711999999999998</v>
      </c>
      <c r="E111" s="60">
        <v>5.6559999999999997</v>
      </c>
      <c r="F111" s="61">
        <f t="shared" si="3"/>
        <v>0.35</v>
      </c>
      <c r="G111" s="61">
        <v>410</v>
      </c>
      <c r="H111" s="61">
        <v>406.2</v>
      </c>
      <c r="I111" s="62">
        <v>1984</v>
      </c>
      <c r="J111" s="63">
        <f t="shared" si="4"/>
        <v>1.915322580645167E-3</v>
      </c>
      <c r="K111" s="62">
        <v>25</v>
      </c>
      <c r="L111" s="64">
        <f t="shared" si="5"/>
        <v>50.659735339656315</v>
      </c>
      <c r="M111" s="88" t="s">
        <v>341</v>
      </c>
    </row>
    <row r="112" spans="2:13" x14ac:dyDescent="0.2">
      <c r="B112" s="304">
        <v>90</v>
      </c>
      <c r="C112" s="60">
        <v>1.41</v>
      </c>
      <c r="D112" s="60">
        <v>0.45119999999999999</v>
      </c>
      <c r="E112" s="60">
        <v>0.49349999999999999</v>
      </c>
      <c r="F112" s="61">
        <f t="shared" si="3"/>
        <v>0.35000000000000003</v>
      </c>
      <c r="G112" s="61">
        <v>408.34</v>
      </c>
      <c r="H112" s="61">
        <v>406.17</v>
      </c>
      <c r="I112" s="62">
        <v>601</v>
      </c>
      <c r="J112" s="63">
        <f t="shared" si="4"/>
        <v>3.6106489184691498E-3</v>
      </c>
      <c r="K112" s="62">
        <v>25</v>
      </c>
      <c r="L112" s="64">
        <f t="shared" si="5"/>
        <v>30.661262730753876</v>
      </c>
      <c r="M112" s="88" t="s">
        <v>342</v>
      </c>
    </row>
    <row r="113" spans="1:13" x14ac:dyDescent="0.2">
      <c r="B113" s="304">
        <v>91</v>
      </c>
      <c r="C113" s="60">
        <v>0.85</v>
      </c>
      <c r="D113" s="60">
        <v>0.27200000000000002</v>
      </c>
      <c r="E113" s="60">
        <v>0.29749999999999999</v>
      </c>
      <c r="F113" s="61">
        <f t="shared" si="3"/>
        <v>0.35</v>
      </c>
      <c r="G113" s="61">
        <v>406.56</v>
      </c>
      <c r="H113" s="61">
        <v>406.14</v>
      </c>
      <c r="I113" s="62">
        <v>204</v>
      </c>
      <c r="J113" s="63">
        <f t="shared" si="4"/>
        <v>2.0588235294118429E-3</v>
      </c>
      <c r="K113" s="62">
        <v>25</v>
      </c>
      <c r="L113" s="64">
        <f t="shared" si="5"/>
        <v>27.544790736380321</v>
      </c>
      <c r="M113" s="88" t="s">
        <v>343</v>
      </c>
    </row>
    <row r="114" spans="1:13" x14ac:dyDescent="0.2">
      <c r="B114" s="304">
        <v>92</v>
      </c>
      <c r="C114" s="60">
        <v>6.04</v>
      </c>
      <c r="D114" s="60">
        <v>1.9328000000000001</v>
      </c>
      <c r="E114" s="60">
        <v>2.1139999999999999</v>
      </c>
      <c r="F114" s="61">
        <f t="shared" si="3"/>
        <v>0.35</v>
      </c>
      <c r="G114" s="61">
        <v>407.42</v>
      </c>
      <c r="H114" s="61">
        <v>402.5</v>
      </c>
      <c r="I114" s="62">
        <v>799</v>
      </c>
      <c r="J114" s="63">
        <f t="shared" si="4"/>
        <v>6.1576971214017725E-3</v>
      </c>
      <c r="K114" s="62">
        <v>25</v>
      </c>
      <c r="L114" s="64">
        <f t="shared" si="5"/>
        <v>30.763271602499756</v>
      </c>
      <c r="M114" s="88" t="s">
        <v>344</v>
      </c>
    </row>
    <row r="115" spans="1:13" x14ac:dyDescent="0.2">
      <c r="B115" s="304">
        <v>93</v>
      </c>
      <c r="C115" s="60">
        <v>1.83</v>
      </c>
      <c r="D115" s="60">
        <v>0.58560000000000001</v>
      </c>
      <c r="E115" s="60">
        <v>0.64049999999999996</v>
      </c>
      <c r="F115" s="61">
        <f t="shared" si="3"/>
        <v>0.35</v>
      </c>
      <c r="G115" s="61">
        <v>406.22</v>
      </c>
      <c r="H115" s="61">
        <v>402.5</v>
      </c>
      <c r="I115" s="62">
        <v>467</v>
      </c>
      <c r="J115" s="63">
        <f t="shared" si="4"/>
        <v>7.9657387580300363E-3</v>
      </c>
      <c r="K115" s="62">
        <v>25</v>
      </c>
      <c r="L115" s="64">
        <f t="shared" si="5"/>
        <v>27.961660820444909</v>
      </c>
      <c r="M115" s="88" t="s">
        <v>345</v>
      </c>
    </row>
    <row r="116" spans="1:13" x14ac:dyDescent="0.2">
      <c r="B116" s="304">
        <v>94</v>
      </c>
      <c r="C116" s="60">
        <v>5.51</v>
      </c>
      <c r="D116" s="60">
        <v>1.7632000000000001</v>
      </c>
      <c r="E116" s="60">
        <v>1.9285000000000001</v>
      </c>
      <c r="F116" s="61">
        <f t="shared" si="3"/>
        <v>0.35000000000000003</v>
      </c>
      <c r="G116" s="61">
        <v>404.36</v>
      </c>
      <c r="H116" s="61">
        <v>402.75</v>
      </c>
      <c r="I116" s="62">
        <v>705</v>
      </c>
      <c r="J116" s="63">
        <f t="shared" si="4"/>
        <v>2.2836879432624308E-3</v>
      </c>
      <c r="K116" s="62">
        <v>25</v>
      </c>
      <c r="L116" s="64">
        <f t="shared" si="5"/>
        <v>33.350302463100263</v>
      </c>
      <c r="M116" s="88" t="s">
        <v>346</v>
      </c>
    </row>
    <row r="117" spans="1:13" x14ac:dyDescent="0.2">
      <c r="B117" s="304">
        <v>95</v>
      </c>
      <c r="C117" s="60">
        <v>10.39</v>
      </c>
      <c r="D117" s="60">
        <v>3.3248000000000002</v>
      </c>
      <c r="E117" s="60">
        <v>3.9897999999999998</v>
      </c>
      <c r="F117" s="61">
        <f t="shared" si="3"/>
        <v>0.38400384985563035</v>
      </c>
      <c r="G117" s="61">
        <v>410</v>
      </c>
      <c r="H117" s="61">
        <v>407.6</v>
      </c>
      <c r="I117" s="62">
        <v>872</v>
      </c>
      <c r="J117" s="63">
        <f t="shared" si="4"/>
        <v>2.7522935779816255E-3</v>
      </c>
      <c r="K117" s="62">
        <v>25</v>
      </c>
      <c r="L117" s="64">
        <f t="shared" si="5"/>
        <v>34.408070773287243</v>
      </c>
      <c r="M117" s="88" t="s">
        <v>365</v>
      </c>
    </row>
    <row r="118" spans="1:13" x14ac:dyDescent="0.2">
      <c r="B118" s="304">
        <v>96</v>
      </c>
      <c r="C118" s="60">
        <v>10.36</v>
      </c>
      <c r="D118" s="60">
        <v>5.3872</v>
      </c>
      <c r="E118" s="60">
        <v>5.3872</v>
      </c>
      <c r="F118" s="61">
        <f t="shared" si="3"/>
        <v>0.52</v>
      </c>
      <c r="G118" s="61">
        <v>419.65</v>
      </c>
      <c r="H118" s="61">
        <v>409</v>
      </c>
      <c r="I118" s="62">
        <v>3974</v>
      </c>
      <c r="J118" s="63">
        <f t="shared" si="4"/>
        <v>2.6799194765978807E-3</v>
      </c>
      <c r="K118" s="62">
        <v>5</v>
      </c>
      <c r="L118" s="64">
        <f t="shared" si="5"/>
        <v>48.450868291351668</v>
      </c>
      <c r="M118" s="88" t="s">
        <v>347</v>
      </c>
    </row>
    <row r="119" spans="1:13" x14ac:dyDescent="0.2">
      <c r="B119" s="304">
        <v>97</v>
      </c>
      <c r="C119" s="60">
        <v>3.29</v>
      </c>
      <c r="D119" s="60">
        <v>2.9609999999999999</v>
      </c>
      <c r="E119" s="60">
        <v>2.9609999999999999</v>
      </c>
      <c r="F119" s="61">
        <f t="shared" si="3"/>
        <v>0.89999999999999991</v>
      </c>
      <c r="G119" s="61">
        <v>411.3</v>
      </c>
      <c r="H119" s="612">
        <v>409.05</v>
      </c>
      <c r="I119" s="62">
        <v>1282</v>
      </c>
      <c r="J119" s="63">
        <f t="shared" si="4"/>
        <v>1.7550702028081124E-3</v>
      </c>
      <c r="K119" s="62">
        <v>5</v>
      </c>
      <c r="L119" s="64">
        <f t="shared" si="5"/>
        <v>22.320971533599124</v>
      </c>
      <c r="M119" s="88" t="s">
        <v>348</v>
      </c>
    </row>
    <row r="120" spans="1:13" x14ac:dyDescent="0.2">
      <c r="A120" s="605"/>
      <c r="B120" s="304">
        <v>98</v>
      </c>
      <c r="C120" s="306">
        <v>37.520000000000003</v>
      </c>
      <c r="D120" s="306">
        <v>12.01</v>
      </c>
      <c r="E120" s="306">
        <v>14.41</v>
      </c>
      <c r="F120" s="317">
        <v>0.38406183368869934</v>
      </c>
      <c r="G120" s="317">
        <v>407.6</v>
      </c>
      <c r="H120" s="317">
        <v>404.95</v>
      </c>
      <c r="I120" s="396">
        <v>1450</v>
      </c>
      <c r="J120" s="397">
        <f t="shared" si="4"/>
        <v>1.8275862068965751E-3</v>
      </c>
      <c r="K120" s="396">
        <v>25</v>
      </c>
      <c r="L120" s="398">
        <f t="shared" si="5"/>
        <v>44.198201057748243</v>
      </c>
      <c r="M120" s="88" t="s">
        <v>589</v>
      </c>
    </row>
    <row r="121" spans="1:13" x14ac:dyDescent="0.2">
      <c r="A121" s="605"/>
      <c r="B121" s="304">
        <v>99</v>
      </c>
      <c r="C121" s="306">
        <v>1.37</v>
      </c>
      <c r="D121" s="306">
        <v>1.04</v>
      </c>
      <c r="E121" s="306">
        <v>1.04</v>
      </c>
      <c r="F121" s="317">
        <v>0.75912408759124084</v>
      </c>
      <c r="G121" s="317">
        <v>408.02</v>
      </c>
      <c r="H121" s="317">
        <v>404.95</v>
      </c>
      <c r="I121" s="396">
        <v>489</v>
      </c>
      <c r="J121" s="397">
        <f t="shared" si="4"/>
        <v>6.278118609406939E-3</v>
      </c>
      <c r="K121" s="396">
        <v>5</v>
      </c>
      <c r="L121" s="398">
        <f t="shared" si="5"/>
        <v>8.4932170415046073</v>
      </c>
      <c r="M121" s="88" t="s">
        <v>590</v>
      </c>
    </row>
    <row r="122" spans="1:13" x14ac:dyDescent="0.2">
      <c r="B122" s="304">
        <v>100</v>
      </c>
      <c r="C122" s="60">
        <v>1.21</v>
      </c>
      <c r="D122" s="60">
        <v>0.38719999999999999</v>
      </c>
      <c r="E122" s="60">
        <v>0.42349999999999999</v>
      </c>
      <c r="F122" s="61">
        <f t="shared" si="3"/>
        <v>0.35</v>
      </c>
      <c r="G122" s="317">
        <v>401.45</v>
      </c>
      <c r="H122" s="61">
        <v>398</v>
      </c>
      <c r="I122" s="62">
        <v>390</v>
      </c>
      <c r="J122" s="63">
        <f t="shared" si="4"/>
        <v>8.8461538461538178E-3</v>
      </c>
      <c r="K122" s="62">
        <v>25</v>
      </c>
      <c r="L122" s="64">
        <f t="shared" si="5"/>
        <v>27.347031034368634</v>
      </c>
      <c r="M122" s="88" t="s">
        <v>440</v>
      </c>
    </row>
    <row r="123" spans="1:13" x14ac:dyDescent="0.2">
      <c r="B123" s="304">
        <v>100.1</v>
      </c>
      <c r="C123" s="60">
        <v>1.77</v>
      </c>
      <c r="D123" s="60">
        <v>1.593</v>
      </c>
      <c r="E123" s="60">
        <v>1.593</v>
      </c>
      <c r="F123" s="61">
        <f t="shared" si="3"/>
        <v>0.9</v>
      </c>
      <c r="G123" s="61">
        <v>409</v>
      </c>
      <c r="H123" s="61">
        <v>401.2</v>
      </c>
      <c r="I123" s="62">
        <v>899</v>
      </c>
      <c r="J123" s="63">
        <f t="shared" si="4"/>
        <v>8.6763070077864428E-3</v>
      </c>
      <c r="K123" s="62">
        <v>5</v>
      </c>
      <c r="L123" s="64">
        <f t="shared" si="5"/>
        <v>10.462905720678389</v>
      </c>
      <c r="M123" s="88" t="s">
        <v>441</v>
      </c>
    </row>
    <row r="124" spans="1:13" x14ac:dyDescent="0.2">
      <c r="B124" s="304">
        <v>101</v>
      </c>
      <c r="C124" s="60">
        <v>25.62</v>
      </c>
      <c r="D124" s="60">
        <v>7.9955999999999996</v>
      </c>
      <c r="E124" s="60">
        <v>8.8703000000000003</v>
      </c>
      <c r="F124" s="61">
        <f t="shared" si="3"/>
        <v>0.34622560499609678</v>
      </c>
      <c r="G124" s="61">
        <v>408.2</v>
      </c>
      <c r="H124" s="61">
        <v>401.4</v>
      </c>
      <c r="I124" s="62">
        <v>1942</v>
      </c>
      <c r="J124" s="63">
        <f t="shared" si="4"/>
        <v>3.501544799176113E-3</v>
      </c>
      <c r="K124" s="62">
        <v>25</v>
      </c>
      <c r="L124" s="64">
        <f t="shared" si="5"/>
        <v>43.575942207230554</v>
      </c>
      <c r="M124" s="88" t="s">
        <v>349</v>
      </c>
    </row>
    <row r="125" spans="1:13" x14ac:dyDescent="0.2">
      <c r="B125" s="552">
        <v>102</v>
      </c>
      <c r="C125" s="550">
        <v>14.07</v>
      </c>
      <c r="D125" s="550">
        <v>6.17</v>
      </c>
      <c r="E125" s="550">
        <v>6.45</v>
      </c>
      <c r="F125" s="545">
        <f t="shared" si="3"/>
        <v>0.45842217484008529</v>
      </c>
      <c r="G125" s="549">
        <v>407.38</v>
      </c>
      <c r="H125" s="549">
        <v>400.44</v>
      </c>
      <c r="I125" s="551">
        <v>2263</v>
      </c>
      <c r="J125" s="546">
        <f t="shared" si="4"/>
        <v>3.0667255855059646E-3</v>
      </c>
      <c r="K125" s="547">
        <v>20</v>
      </c>
      <c r="L125" s="548">
        <f t="shared" si="5"/>
        <v>43.130156164107468</v>
      </c>
      <c r="M125" s="88" t="s">
        <v>567</v>
      </c>
    </row>
    <row r="126" spans="1:13" x14ac:dyDescent="0.2">
      <c r="B126" s="304">
        <v>103</v>
      </c>
      <c r="C126" s="60">
        <v>8.1</v>
      </c>
      <c r="D126" s="60">
        <v>4.05</v>
      </c>
      <c r="E126" s="60">
        <v>4.05</v>
      </c>
      <c r="F126" s="61">
        <f t="shared" si="3"/>
        <v>0.5</v>
      </c>
      <c r="G126" s="61">
        <v>404.32</v>
      </c>
      <c r="H126" s="61">
        <v>401.7</v>
      </c>
      <c r="I126" s="62">
        <v>1485</v>
      </c>
      <c r="J126" s="63">
        <f t="shared" si="4"/>
        <v>1.7643097643097673E-3</v>
      </c>
      <c r="K126" s="62">
        <v>20</v>
      </c>
      <c r="L126" s="64">
        <f t="shared" si="5"/>
        <v>40.011078887951129</v>
      </c>
      <c r="M126" s="88" t="s">
        <v>350</v>
      </c>
    </row>
    <row r="127" spans="1:13" x14ac:dyDescent="0.2">
      <c r="B127" s="304">
        <v>104</v>
      </c>
      <c r="C127" s="60">
        <v>1.41</v>
      </c>
      <c r="D127" s="60">
        <v>0.70499999999999996</v>
      </c>
      <c r="E127" s="60">
        <v>0.70499999999999996</v>
      </c>
      <c r="F127" s="61">
        <f t="shared" si="3"/>
        <v>0.5</v>
      </c>
      <c r="G127" s="61">
        <v>402.56</v>
      </c>
      <c r="H127" s="61">
        <v>401.71</v>
      </c>
      <c r="I127" s="62">
        <v>302</v>
      </c>
      <c r="J127" s="63">
        <f t="shared" si="4"/>
        <v>2.8145695364239164E-3</v>
      </c>
      <c r="K127" s="62">
        <v>20</v>
      </c>
      <c r="L127" s="64">
        <f t="shared" si="5"/>
        <v>23.222051077703362</v>
      </c>
      <c r="M127" s="88" t="s">
        <v>351</v>
      </c>
    </row>
    <row r="128" spans="1:13" x14ac:dyDescent="0.2">
      <c r="B128" s="304">
        <v>105</v>
      </c>
      <c r="C128" s="60">
        <v>5.67</v>
      </c>
      <c r="D128" s="60">
        <v>2.835</v>
      </c>
      <c r="E128" s="60">
        <v>2.835</v>
      </c>
      <c r="F128" s="61">
        <f t="shared" si="3"/>
        <v>0.5</v>
      </c>
      <c r="G128" s="61">
        <v>404.32</v>
      </c>
      <c r="H128" s="61">
        <v>401.91</v>
      </c>
      <c r="I128" s="62">
        <v>1142</v>
      </c>
      <c r="J128" s="63">
        <f t="shared" si="4"/>
        <v>2.1103327495621436E-3</v>
      </c>
      <c r="K128" s="62">
        <v>20</v>
      </c>
      <c r="L128" s="64">
        <f t="shared" si="5"/>
        <v>34.070907362171454</v>
      </c>
      <c r="M128" s="88" t="s">
        <v>352</v>
      </c>
    </row>
    <row r="129" spans="1:15" ht="15.75" x14ac:dyDescent="0.25">
      <c r="B129" s="577">
        <v>106</v>
      </c>
      <c r="C129" s="578">
        <v>6.03</v>
      </c>
      <c r="D129" s="578">
        <v>2.82</v>
      </c>
      <c r="E129" s="578">
        <v>2.88</v>
      </c>
      <c r="F129" s="61">
        <f t="shared" si="3"/>
        <v>0.4776119402985074</v>
      </c>
      <c r="G129" s="579">
        <v>408.69</v>
      </c>
      <c r="H129" s="579">
        <v>401.2</v>
      </c>
      <c r="I129" s="580">
        <v>1510</v>
      </c>
      <c r="J129" s="63">
        <f t="shared" si="4"/>
        <v>4.9602649006622573E-3</v>
      </c>
      <c r="K129" s="62">
        <v>20</v>
      </c>
      <c r="L129" s="64">
        <f t="shared" si="5"/>
        <v>32.135452684991328</v>
      </c>
      <c r="M129" s="88" t="s">
        <v>575</v>
      </c>
    </row>
    <row r="130" spans="1:15" ht="15.75" x14ac:dyDescent="0.25">
      <c r="B130" s="577">
        <v>106.1</v>
      </c>
      <c r="C130" s="578">
        <v>3.1</v>
      </c>
      <c r="D130" s="578">
        <v>1.55</v>
      </c>
      <c r="E130" s="578">
        <v>1.55</v>
      </c>
      <c r="F130" s="61">
        <f>E130/C130</f>
        <v>0.5</v>
      </c>
      <c r="G130" s="579">
        <v>405.9</v>
      </c>
      <c r="H130" s="579">
        <v>401.2</v>
      </c>
      <c r="I130" s="580">
        <v>691</v>
      </c>
      <c r="J130" s="63">
        <f>(G130-H130)/I130</f>
        <v>6.8017366136034572E-3</v>
      </c>
      <c r="K130" s="62">
        <v>20</v>
      </c>
      <c r="L130" s="64">
        <f>(I130)/((0.84*(J130^0.5)*(cell_GUTDEP^0.6666)/cell_NRD)*60)+K130</f>
        <v>24.742415608336881</v>
      </c>
      <c r="M130" s="88" t="s">
        <v>574</v>
      </c>
    </row>
    <row r="131" spans="1:15" ht="15.75" x14ac:dyDescent="0.25">
      <c r="B131" s="577">
        <v>107</v>
      </c>
      <c r="C131" s="581">
        <v>12.39</v>
      </c>
      <c r="D131" s="581">
        <f>C131*0.5</f>
        <v>6.1950000000000003</v>
      </c>
      <c r="E131" s="581">
        <f t="shared" ref="E131:E134" si="6">D131</f>
        <v>6.1950000000000003</v>
      </c>
      <c r="F131" s="61">
        <f t="shared" si="3"/>
        <v>0.5</v>
      </c>
      <c r="G131" s="61">
        <v>401.12</v>
      </c>
      <c r="H131" s="61">
        <v>397.04</v>
      </c>
      <c r="I131" s="356">
        <v>1315</v>
      </c>
      <c r="J131" s="63">
        <f t="shared" si="4"/>
        <v>3.1026615969581626E-3</v>
      </c>
      <c r="K131" s="62">
        <v>20</v>
      </c>
      <c r="L131" s="64">
        <f t="shared" si="5"/>
        <v>33.3625707275107</v>
      </c>
      <c r="M131" s="88" t="s">
        <v>353</v>
      </c>
    </row>
    <row r="132" spans="1:15" ht="15.75" x14ac:dyDescent="0.25">
      <c r="B132" s="577">
        <v>108</v>
      </c>
      <c r="C132" s="355">
        <v>10.83</v>
      </c>
      <c r="D132" s="355">
        <f>C132*0.5</f>
        <v>5.415</v>
      </c>
      <c r="E132" s="355">
        <f t="shared" si="6"/>
        <v>5.415</v>
      </c>
      <c r="F132" s="61">
        <f t="shared" si="3"/>
        <v>0.5</v>
      </c>
      <c r="G132" s="582">
        <v>401.42</v>
      </c>
      <c r="H132" s="61">
        <v>396.8</v>
      </c>
      <c r="I132" s="583">
        <v>1803</v>
      </c>
      <c r="J132" s="63">
        <f t="shared" si="4"/>
        <v>2.5623960066555765E-3</v>
      </c>
      <c r="K132" s="62">
        <v>20</v>
      </c>
      <c r="L132" s="64">
        <f t="shared" si="5"/>
        <v>40.160628712855598</v>
      </c>
      <c r="M132" s="88" t="s">
        <v>572</v>
      </c>
    </row>
    <row r="133" spans="1:15" ht="15.75" x14ac:dyDescent="0.25">
      <c r="B133" s="304">
        <v>109</v>
      </c>
      <c r="C133" s="355">
        <v>1.3</v>
      </c>
      <c r="D133" s="355">
        <f>C133*0.9</f>
        <v>1.1700000000000002</v>
      </c>
      <c r="E133" s="355">
        <f t="shared" si="6"/>
        <v>1.1700000000000002</v>
      </c>
      <c r="F133" s="61">
        <f t="shared" si="3"/>
        <v>0.90000000000000013</v>
      </c>
      <c r="G133" s="357">
        <v>399.3</v>
      </c>
      <c r="H133" s="357">
        <v>396.52</v>
      </c>
      <c r="I133" s="356">
        <v>667</v>
      </c>
      <c r="J133" s="63">
        <f t="shared" si="4"/>
        <v>4.1679160419790546E-3</v>
      </c>
      <c r="K133" s="62">
        <v>20</v>
      </c>
      <c r="L133" s="64">
        <f t="shared" si="5"/>
        <v>25.847871516096852</v>
      </c>
      <c r="M133" s="88" t="s">
        <v>491</v>
      </c>
    </row>
    <row r="134" spans="1:15" ht="15.75" x14ac:dyDescent="0.25">
      <c r="B134" s="568">
        <v>110</v>
      </c>
      <c r="C134" s="569">
        <v>0</v>
      </c>
      <c r="D134" s="569">
        <f>C134*0.5</f>
        <v>0</v>
      </c>
      <c r="E134" s="569">
        <f t="shared" si="6"/>
        <v>0</v>
      </c>
      <c r="F134" s="570" t="e">
        <f t="shared" si="3"/>
        <v>#DIV/0!</v>
      </c>
      <c r="G134" s="570">
        <v>397</v>
      </c>
      <c r="H134" s="570">
        <v>393.91</v>
      </c>
      <c r="I134" s="571">
        <v>600</v>
      </c>
      <c r="J134" s="572">
        <f t="shared" si="4"/>
        <v>5.1499999999999584E-3</v>
      </c>
      <c r="K134" s="571">
        <v>20</v>
      </c>
      <c r="L134" s="573">
        <f t="shared" si="5"/>
        <v>24.732374495197941</v>
      </c>
      <c r="M134" s="521" t="s">
        <v>569</v>
      </c>
      <c r="N134" s="521"/>
      <c r="O134" s="88"/>
    </row>
    <row r="135" spans="1:15" x14ac:dyDescent="0.2">
      <c r="A135" s="574"/>
      <c r="B135" s="564">
        <v>110.1</v>
      </c>
      <c r="C135" s="576">
        <v>17.8</v>
      </c>
      <c r="D135" s="576">
        <f>C135*0.5</f>
        <v>8.9</v>
      </c>
      <c r="E135" s="576">
        <f>C135*0.5</f>
        <v>8.9</v>
      </c>
      <c r="F135" s="349">
        <f>E135/C135</f>
        <v>0.5</v>
      </c>
      <c r="G135" s="565">
        <v>408.3</v>
      </c>
      <c r="H135" s="565">
        <v>398.34</v>
      </c>
      <c r="I135" s="566">
        <v>2240</v>
      </c>
      <c r="J135" s="351">
        <f>(G135-H135)/I135</f>
        <v>4.4464285714285873E-3</v>
      </c>
      <c r="K135" s="350">
        <v>20</v>
      </c>
      <c r="L135" s="352">
        <f>(I135)/((0.84*(J135^0.5)*(cell_GUTDEP^0.6666)/cell_NRD)*60)+K135</f>
        <v>39.014014795765526</v>
      </c>
      <c r="M135" s="270" t="s">
        <v>571</v>
      </c>
    </row>
    <row r="136" spans="1:15" ht="15.75" x14ac:dyDescent="0.25">
      <c r="B136" s="564">
        <v>111</v>
      </c>
      <c r="C136" s="576">
        <v>8.07</v>
      </c>
      <c r="D136" s="576">
        <v>3.62</v>
      </c>
      <c r="E136" s="576">
        <v>3.77</v>
      </c>
      <c r="F136" s="349">
        <f t="shared" si="3"/>
        <v>0.46716232961586118</v>
      </c>
      <c r="G136" s="565">
        <v>408</v>
      </c>
      <c r="H136" s="567">
        <v>399.77</v>
      </c>
      <c r="I136" s="566">
        <v>2609</v>
      </c>
      <c r="J136" s="351">
        <f t="shared" si="4"/>
        <v>3.1544653123802293E-3</v>
      </c>
      <c r="K136" s="350">
        <v>20</v>
      </c>
      <c r="L136" s="352">
        <f t="shared" si="5"/>
        <v>46.293153102264881</v>
      </c>
      <c r="M136" s="88" t="s">
        <v>573</v>
      </c>
    </row>
    <row r="137" spans="1:15" ht="15.75" x14ac:dyDescent="0.25">
      <c r="B137" s="304">
        <v>112</v>
      </c>
      <c r="C137" s="355">
        <v>8.3000000000000007</v>
      </c>
      <c r="D137" s="355">
        <f>0.5*3.4+0.29*0.9+0.32*3.8</f>
        <v>3.1769999999999996</v>
      </c>
      <c r="E137" s="355">
        <f>0.5*3.4+0.29*0.9*1.1+0.32*3.8*1.2</f>
        <v>3.4462999999999999</v>
      </c>
      <c r="F137" s="61">
        <f t="shared" si="3"/>
        <v>0.41521686746987946</v>
      </c>
      <c r="G137" s="61">
        <v>397</v>
      </c>
      <c r="H137" s="61">
        <v>391.1</v>
      </c>
      <c r="I137" s="62">
        <v>695</v>
      </c>
      <c r="J137" s="63">
        <f t="shared" si="4"/>
        <v>8.4892086330934924E-3</v>
      </c>
      <c r="K137" s="62">
        <v>20</v>
      </c>
      <c r="L137" s="64">
        <f t="shared" si="5"/>
        <v>24.269555568493814</v>
      </c>
      <c r="M137" s="371" t="s">
        <v>547</v>
      </c>
    </row>
    <row r="138" spans="1:15" ht="15.75" x14ac:dyDescent="0.25">
      <c r="B138" s="522">
        <v>112.1</v>
      </c>
      <c r="C138" s="523">
        <v>2.6</v>
      </c>
      <c r="D138" s="524">
        <v>1.3</v>
      </c>
      <c r="E138" s="524">
        <v>1.3</v>
      </c>
      <c r="F138" s="525">
        <f>E138/C138</f>
        <v>0.5</v>
      </c>
      <c r="G138" s="525">
        <v>397.32</v>
      </c>
      <c r="H138" s="525">
        <v>394</v>
      </c>
      <c r="I138" s="526">
        <v>768</v>
      </c>
      <c r="J138" s="527">
        <f>(G138-H138)/I138</f>
        <v>4.3229166666666581E-3</v>
      </c>
      <c r="K138" s="526">
        <v>20</v>
      </c>
      <c r="L138" s="528">
        <f>(I138)/((0.84*(J138^0.5)*(cell_GUTDEP^0.6666)/cell_NRD)*60)+K138</f>
        <v>26.611564778834754</v>
      </c>
      <c r="M138" s="371"/>
    </row>
    <row r="139" spans="1:15" ht="15.75" x14ac:dyDescent="0.25">
      <c r="B139" s="522">
        <v>112.2</v>
      </c>
      <c r="C139" s="524">
        <v>2</v>
      </c>
      <c r="D139" s="524">
        <v>1</v>
      </c>
      <c r="E139" s="524">
        <v>1</v>
      </c>
      <c r="F139" s="525">
        <f>E139/C139</f>
        <v>0.5</v>
      </c>
      <c r="G139" s="525">
        <v>397.32</v>
      </c>
      <c r="H139" s="525">
        <v>393.84</v>
      </c>
      <c r="I139" s="526">
        <v>530</v>
      </c>
      <c r="J139" s="527">
        <f>(G139-H139)/I139</f>
        <v>6.5660377358490911E-3</v>
      </c>
      <c r="K139" s="526">
        <v>20</v>
      </c>
      <c r="L139" s="528">
        <f>(I139)/((0.84*(J139^0.5)*(cell_GUTDEP^0.6666)/cell_NRD)*60)+K139</f>
        <v>23.702163985154694</v>
      </c>
      <c r="M139" s="371"/>
    </row>
    <row r="140" spans="1:15" x14ac:dyDescent="0.2">
      <c r="B140" s="522">
        <v>113</v>
      </c>
      <c r="C140" s="523">
        <v>4.7</v>
      </c>
      <c r="D140" s="523">
        <v>2.35</v>
      </c>
      <c r="E140" s="523">
        <v>2.35</v>
      </c>
      <c r="F140" s="525">
        <f t="shared" si="3"/>
        <v>0.5</v>
      </c>
      <c r="G140" s="525">
        <v>396.57</v>
      </c>
      <c r="H140" s="525">
        <v>393.84</v>
      </c>
      <c r="I140" s="526">
        <v>763</v>
      </c>
      <c r="J140" s="527">
        <f t="shared" si="4"/>
        <v>3.5779816513761705E-3</v>
      </c>
      <c r="K140" s="526">
        <v>20</v>
      </c>
      <c r="L140" s="528">
        <f t="shared" si="5"/>
        <v>27.219995928179646</v>
      </c>
      <c r="M140" s="88" t="s">
        <v>563</v>
      </c>
    </row>
    <row r="141" spans="1:15" ht="15.75" x14ac:dyDescent="0.25">
      <c r="B141" s="348">
        <v>114</v>
      </c>
      <c r="C141" s="469">
        <v>18</v>
      </c>
      <c r="D141" s="469">
        <f>C141*0.5</f>
        <v>9</v>
      </c>
      <c r="E141" s="469">
        <f>D141</f>
        <v>9</v>
      </c>
      <c r="F141" s="349">
        <f t="shared" si="3"/>
        <v>0.5</v>
      </c>
      <c r="G141" s="349">
        <v>398.21</v>
      </c>
      <c r="H141" s="349">
        <v>390.16</v>
      </c>
      <c r="I141" s="350">
        <v>1775</v>
      </c>
      <c r="J141" s="351">
        <f t="shared" si="4"/>
        <v>4.5352112676056086E-3</v>
      </c>
      <c r="K141" s="350">
        <v>20</v>
      </c>
      <c r="L141" s="352">
        <f t="shared" si="5"/>
        <v>34.918702896453446</v>
      </c>
      <c r="M141" s="88" t="s">
        <v>548</v>
      </c>
    </row>
    <row r="142" spans="1:15" x14ac:dyDescent="0.2">
      <c r="A142" s="606"/>
      <c r="B142" s="348">
        <v>115</v>
      </c>
      <c r="C142" s="439">
        <v>7.7</v>
      </c>
      <c r="D142" s="439">
        <v>3.85</v>
      </c>
      <c r="E142" s="439">
        <v>3.85</v>
      </c>
      <c r="F142" s="349">
        <f t="shared" si="3"/>
        <v>0.5</v>
      </c>
      <c r="G142" s="349">
        <v>391.5</v>
      </c>
      <c r="H142" s="349">
        <v>390.06</v>
      </c>
      <c r="I142" s="350">
        <v>648</v>
      </c>
      <c r="J142" s="351">
        <f t="shared" si="4"/>
        <v>2.2222222222222188E-3</v>
      </c>
      <c r="K142" s="350">
        <v>20</v>
      </c>
      <c r="L142" s="352">
        <f t="shared" si="5"/>
        <v>27.780593606741832</v>
      </c>
      <c r="M142" s="88" t="s">
        <v>354</v>
      </c>
    </row>
    <row r="143" spans="1:15" ht="15.75" x14ac:dyDescent="0.25">
      <c r="A143" s="606"/>
      <c r="B143" s="370">
        <v>115.1</v>
      </c>
      <c r="C143" s="355">
        <v>5</v>
      </c>
      <c r="D143" s="355">
        <f>C143*0.5</f>
        <v>2.5</v>
      </c>
      <c r="E143" s="355">
        <f>D143</f>
        <v>2.5</v>
      </c>
      <c r="F143" s="61">
        <f>E143/C143</f>
        <v>0.5</v>
      </c>
      <c r="G143" s="357">
        <v>393.28</v>
      </c>
      <c r="H143" s="357">
        <v>390</v>
      </c>
      <c r="I143" s="356">
        <v>681</v>
      </c>
      <c r="J143" s="63">
        <f>(G143-H143)/I143</f>
        <v>4.8164464023494457E-3</v>
      </c>
      <c r="K143" s="356">
        <v>20</v>
      </c>
      <c r="L143" s="64">
        <f>(I143)/((0.84*(J143^0.5)*(cell_GUTDEP^0.6666)/cell_NRD)*60)+K143</f>
        <v>25.554119444241685</v>
      </c>
      <c r="M143" s="367" t="s">
        <v>496</v>
      </c>
    </row>
    <row r="144" spans="1:15" ht="15.75" x14ac:dyDescent="0.25">
      <c r="A144" s="606"/>
      <c r="B144" s="437">
        <v>116</v>
      </c>
      <c r="C144" s="416">
        <v>2.6</v>
      </c>
      <c r="D144" s="416">
        <f t="shared" ref="D144:D150" si="7">C144*0.5</f>
        <v>1.3</v>
      </c>
      <c r="E144" s="416">
        <f t="shared" ref="E144:E150" si="8">D144</f>
        <v>1.3</v>
      </c>
      <c r="F144" s="417">
        <f t="shared" ref="F144:F251" si="9">E144/C144</f>
        <v>0.5</v>
      </c>
      <c r="G144" s="418">
        <v>389.91</v>
      </c>
      <c r="H144" s="418">
        <v>389.38</v>
      </c>
      <c r="I144" s="419">
        <v>347</v>
      </c>
      <c r="J144" s="420">
        <f t="shared" ref="J144:J251" si="10">(G144-H144)/I144</f>
        <v>1.527377521613918E-3</v>
      </c>
      <c r="K144" s="438">
        <v>20</v>
      </c>
      <c r="L144" s="421">
        <f t="shared" si="5"/>
        <v>25.025598004577326</v>
      </c>
      <c r="M144" s="270" t="s">
        <v>526</v>
      </c>
    </row>
    <row r="145" spans="1:18" ht="15.75" x14ac:dyDescent="0.25">
      <c r="A145" s="606"/>
      <c r="B145" s="422">
        <v>116.01</v>
      </c>
      <c r="C145" s="416">
        <v>1.8</v>
      </c>
      <c r="D145" s="416">
        <f>C145*0.5</f>
        <v>0.9</v>
      </c>
      <c r="E145" s="416">
        <f>D145</f>
        <v>0.9</v>
      </c>
      <c r="F145" s="418">
        <f>E145/C145</f>
        <v>0.5</v>
      </c>
      <c r="G145" s="418">
        <v>390.03</v>
      </c>
      <c r="H145" s="418">
        <v>389.51</v>
      </c>
      <c r="I145" s="419">
        <v>323</v>
      </c>
      <c r="J145" s="424">
        <f>(G145-H145)/I145</f>
        <v>1.6099071207429777E-3</v>
      </c>
      <c r="K145" s="419">
        <v>20</v>
      </c>
      <c r="L145" s="425">
        <f>(I145)/((0.84*(J145^0.5)*(cell_GUTDEP^0.6666)/cell_NRD)*60)+K145</f>
        <v>24.556523147969955</v>
      </c>
      <c r="M145" s="366" t="s">
        <v>527</v>
      </c>
    </row>
    <row r="146" spans="1:18" ht="15.75" x14ac:dyDescent="0.25">
      <c r="A146" s="606"/>
      <c r="B146" s="422">
        <v>116.02</v>
      </c>
      <c r="C146" s="416">
        <v>1.1000000000000001</v>
      </c>
      <c r="D146" s="416">
        <f>C146*0.5</f>
        <v>0.55000000000000004</v>
      </c>
      <c r="E146" s="416">
        <f>D146</f>
        <v>0.55000000000000004</v>
      </c>
      <c r="F146" s="418">
        <f>E146/C146</f>
        <v>0.5</v>
      </c>
      <c r="G146" s="418">
        <v>390</v>
      </c>
      <c r="H146" s="418">
        <v>389.5</v>
      </c>
      <c r="I146" s="419">
        <v>232</v>
      </c>
      <c r="J146" s="424">
        <f>(G146-H146)/I146</f>
        <v>2.1551724137931034E-3</v>
      </c>
      <c r="K146" s="419">
        <v>20</v>
      </c>
      <c r="L146" s="425">
        <f>(I146)/((0.84*(J146^0.5)*(cell_GUTDEP^0.6666)/cell_NRD)*60)+K146</f>
        <v>22.828644988639589</v>
      </c>
      <c r="M146" s="366" t="s">
        <v>528</v>
      </c>
    </row>
    <row r="147" spans="1:18" ht="15.75" x14ac:dyDescent="0.25">
      <c r="B147" s="422">
        <v>116.1</v>
      </c>
      <c r="C147" s="416">
        <v>11.5</v>
      </c>
      <c r="D147" s="416">
        <f t="shared" si="7"/>
        <v>5.75</v>
      </c>
      <c r="E147" s="416">
        <f t="shared" si="8"/>
        <v>5.75</v>
      </c>
      <c r="F147" s="423">
        <f t="shared" si="9"/>
        <v>0.5</v>
      </c>
      <c r="G147" s="418">
        <v>394.31</v>
      </c>
      <c r="H147" s="418">
        <v>389.34</v>
      </c>
      <c r="I147" s="419">
        <v>1697</v>
      </c>
      <c r="J147" s="424">
        <f t="shared" si="10"/>
        <v>2.9286977018267691E-3</v>
      </c>
      <c r="K147" s="419">
        <v>20</v>
      </c>
      <c r="L147" s="425">
        <f t="shared" ref="L147:L252" si="11">(I147)/((0.84*(J147^0.5)*(cell_GUTDEP^0.6666)/cell_NRD)*60)+K147</f>
        <v>37.749087824100059</v>
      </c>
      <c r="M147" s="88" t="s">
        <v>581</v>
      </c>
      <c r="R147" s="413" t="s">
        <v>529</v>
      </c>
    </row>
    <row r="148" spans="1:18" ht="15.75" x14ac:dyDescent="0.25">
      <c r="B148" s="422">
        <v>116.2</v>
      </c>
      <c r="C148" s="416">
        <v>0.8</v>
      </c>
      <c r="D148" s="416">
        <f>C148*0.5</f>
        <v>0.4</v>
      </c>
      <c r="E148" s="416">
        <f>D148</f>
        <v>0.4</v>
      </c>
      <c r="F148" s="417">
        <f t="shared" si="9"/>
        <v>0.5</v>
      </c>
      <c r="G148" s="418">
        <v>389.94</v>
      </c>
      <c r="H148" s="418">
        <v>389.51</v>
      </c>
      <c r="I148" s="419">
        <v>189</v>
      </c>
      <c r="J148" s="420">
        <f t="shared" si="10"/>
        <v>2.2751322751323111E-3</v>
      </c>
      <c r="K148" s="419">
        <v>20</v>
      </c>
      <c r="L148" s="425">
        <f t="shared" si="11"/>
        <v>22.242796902878418</v>
      </c>
      <c r="M148" s="371" t="s">
        <v>442</v>
      </c>
    </row>
    <row r="149" spans="1:18" ht="15.75" x14ac:dyDescent="0.25">
      <c r="B149" s="422">
        <v>116.3</v>
      </c>
      <c r="C149" s="416">
        <v>2.2999999999999998</v>
      </c>
      <c r="D149" s="416">
        <f t="shared" si="7"/>
        <v>1.1499999999999999</v>
      </c>
      <c r="E149" s="416">
        <f t="shared" si="8"/>
        <v>1.1499999999999999</v>
      </c>
      <c r="F149" s="417">
        <f>E149/C149</f>
        <v>0.5</v>
      </c>
      <c r="G149" s="418">
        <v>389.91</v>
      </c>
      <c r="H149" s="418">
        <v>389.38</v>
      </c>
      <c r="I149" s="419">
        <v>337</v>
      </c>
      <c r="J149" s="420">
        <f>(G149-H149)/I149</f>
        <v>1.5727002967359928E-3</v>
      </c>
      <c r="K149" s="419">
        <v>20</v>
      </c>
      <c r="L149" s="421">
        <f>(I149)/((0.84*(J149^0.5)*(cell_GUTDEP^0.6666)/cell_NRD)*60)+K149</f>
        <v>24.809925898870578</v>
      </c>
      <c r="M149" s="371" t="s">
        <v>498</v>
      </c>
    </row>
    <row r="150" spans="1:18" ht="15.75" x14ac:dyDescent="0.25">
      <c r="B150" s="422">
        <v>116.4</v>
      </c>
      <c r="C150" s="416">
        <v>1.2</v>
      </c>
      <c r="D150" s="416">
        <f t="shared" si="7"/>
        <v>0.6</v>
      </c>
      <c r="E150" s="416">
        <f t="shared" si="8"/>
        <v>0.6</v>
      </c>
      <c r="F150" s="417">
        <f>E150/C150</f>
        <v>0.5</v>
      </c>
      <c r="G150" s="418">
        <v>390.03</v>
      </c>
      <c r="H150" s="418">
        <v>389.51</v>
      </c>
      <c r="I150" s="419">
        <v>321</v>
      </c>
      <c r="J150" s="420">
        <f>(G150-H150)/I150</f>
        <v>1.6199376947039932E-3</v>
      </c>
      <c r="K150" s="419">
        <v>20</v>
      </c>
      <c r="L150" s="421">
        <f>(I150)/((0.84*(J150^0.5)*(cell_GUTDEP^0.6666)/cell_NRD)*60)+K150</f>
        <v>24.514268079141626</v>
      </c>
      <c r="M150" s="371" t="s">
        <v>499</v>
      </c>
    </row>
    <row r="151" spans="1:18" x14ac:dyDescent="0.2">
      <c r="A151" s="616"/>
      <c r="B151" s="620">
        <v>117</v>
      </c>
      <c r="C151" s="621">
        <v>11.44</v>
      </c>
      <c r="D151" s="621">
        <v>3</v>
      </c>
      <c r="E151" s="621">
        <v>3.41</v>
      </c>
      <c r="F151" s="622">
        <f t="shared" ref="F151:F194" si="12">E151/C151</f>
        <v>0.29807692307692313</v>
      </c>
      <c r="G151" s="623">
        <f>406.19-2.546</f>
        <v>403.64400000000001</v>
      </c>
      <c r="H151" s="623">
        <f>403.9-2.546</f>
        <v>401.35399999999998</v>
      </c>
      <c r="I151" s="624">
        <v>624</v>
      </c>
      <c r="J151" s="625">
        <f t="shared" si="10"/>
        <v>3.6698717948718275E-3</v>
      </c>
      <c r="K151" s="624">
        <v>20</v>
      </c>
      <c r="L151" s="626">
        <f t="shared" si="11"/>
        <v>25.830296113341888</v>
      </c>
      <c r="M151" s="270" t="s">
        <v>598</v>
      </c>
    </row>
    <row r="152" spans="1:18" x14ac:dyDescent="0.2">
      <c r="A152" s="616"/>
      <c r="B152" s="620">
        <v>117.1</v>
      </c>
      <c r="C152" s="627">
        <v>1.8499999999999999</v>
      </c>
      <c r="D152" s="627">
        <v>1.06</v>
      </c>
      <c r="E152" s="627">
        <v>1.1200000000000001</v>
      </c>
      <c r="F152" s="622">
        <f>E152/C152</f>
        <v>0.60540540540540555</v>
      </c>
      <c r="G152" s="623">
        <f>406.19-2.546</f>
        <v>403.64400000000001</v>
      </c>
      <c r="H152" s="622">
        <f>403.99-2.546</f>
        <v>401.44400000000002</v>
      </c>
      <c r="I152" s="624">
        <v>478</v>
      </c>
      <c r="J152" s="625">
        <f>(G152-H152)/I152</f>
        <v>4.602510460251022E-3</v>
      </c>
      <c r="K152" s="624">
        <v>20</v>
      </c>
      <c r="L152" s="626">
        <f>(I152)/((0.84*(J152^0.5)*(cell_GUTDEP^0.6666)/cell_NRD)*60)+K152</f>
        <v>23.988062664206506</v>
      </c>
      <c r="M152" s="270" t="s">
        <v>599</v>
      </c>
    </row>
    <row r="153" spans="1:18" x14ac:dyDescent="0.2">
      <c r="A153" s="616"/>
      <c r="B153" s="620">
        <v>117.2</v>
      </c>
      <c r="C153" s="627">
        <v>2.16</v>
      </c>
      <c r="D153" s="627">
        <v>1.19</v>
      </c>
      <c r="E153" s="627">
        <v>1.19</v>
      </c>
      <c r="F153" s="622">
        <f>E153/C153</f>
        <v>0.55092592592592582</v>
      </c>
      <c r="G153" s="622">
        <f>406.01-2.546</f>
        <v>403.464</v>
      </c>
      <c r="H153" s="622">
        <f>403.99-2.546</f>
        <v>401.44400000000002</v>
      </c>
      <c r="I153" s="624">
        <v>548</v>
      </c>
      <c r="J153" s="625">
        <f>(G153-H153)/I153</f>
        <v>3.6861313868612805E-3</v>
      </c>
      <c r="K153" s="624">
        <v>20</v>
      </c>
      <c r="L153" s="626">
        <f>(I153)/((0.84*(J153^0.5)*(cell_GUTDEP^0.6666)/cell_NRD)*60)+K153</f>
        <v>25.108890826838689</v>
      </c>
      <c r="M153" s="270" t="s">
        <v>600</v>
      </c>
    </row>
    <row r="154" spans="1:18" x14ac:dyDescent="0.2">
      <c r="A154" s="616"/>
      <c r="B154" s="620">
        <v>118</v>
      </c>
      <c r="C154" s="627">
        <v>5.3199999999999994</v>
      </c>
      <c r="D154" s="621">
        <v>2.78</v>
      </c>
      <c r="E154" s="621">
        <v>3.19</v>
      </c>
      <c r="F154" s="622">
        <f t="shared" si="12"/>
        <v>0.59962406015037595</v>
      </c>
      <c r="G154" s="622">
        <f>405.16-2.546</f>
        <v>402.61400000000003</v>
      </c>
      <c r="H154" s="623">
        <f>404.06-2.546</f>
        <v>401.51400000000001</v>
      </c>
      <c r="I154" s="624">
        <v>552</v>
      </c>
      <c r="J154" s="625">
        <f t="shared" si="10"/>
        <v>1.9927536231884469E-3</v>
      </c>
      <c r="K154" s="624">
        <v>10</v>
      </c>
      <c r="L154" s="626">
        <f t="shared" si="11"/>
        <v>16.99912489419841</v>
      </c>
      <c r="M154" s="615" t="s">
        <v>601</v>
      </c>
    </row>
    <row r="155" spans="1:18" x14ac:dyDescent="0.2">
      <c r="A155" s="616"/>
      <c r="B155" s="620">
        <v>118.1</v>
      </c>
      <c r="C155" s="627">
        <v>7.65</v>
      </c>
      <c r="D155" s="627">
        <v>4.21</v>
      </c>
      <c r="E155" s="627">
        <v>4.21</v>
      </c>
      <c r="F155" s="622">
        <f>E155/C155</f>
        <v>0.55032679738562085</v>
      </c>
      <c r="G155" s="622">
        <f>406.11-2.546</f>
        <v>403.56400000000002</v>
      </c>
      <c r="H155" s="623">
        <f>404.06-2.546</f>
        <v>401.51400000000001</v>
      </c>
      <c r="I155" s="624">
        <v>868</v>
      </c>
      <c r="J155" s="625">
        <f>(G155-H155)/I155</f>
        <v>2.361751152073746E-3</v>
      </c>
      <c r="K155" s="624">
        <v>20</v>
      </c>
      <c r="L155" s="626">
        <f>(I155)/((0.84*(J155^0.5)*(cell_GUTDEP^0.6666)/cell_NRD)*60)+K155</f>
        <v>30.109603584514193</v>
      </c>
      <c r="M155" s="615" t="s">
        <v>602</v>
      </c>
    </row>
    <row r="156" spans="1:18" x14ac:dyDescent="0.2">
      <c r="A156" s="617"/>
      <c r="B156" s="620">
        <v>119</v>
      </c>
      <c r="C156" s="621">
        <v>0.99</v>
      </c>
      <c r="D156" s="621">
        <v>0.54</v>
      </c>
      <c r="E156" s="621">
        <v>0.54</v>
      </c>
      <c r="F156" s="622">
        <f t="shared" si="12"/>
        <v>0.54545454545454553</v>
      </c>
      <c r="G156" s="623">
        <f>406.33-2.456</f>
        <v>403.87399999999997</v>
      </c>
      <c r="H156" s="623">
        <f>405.01-2.546</f>
        <v>402.464</v>
      </c>
      <c r="I156" s="628">
        <v>428</v>
      </c>
      <c r="J156" s="625">
        <f t="shared" si="10"/>
        <v>3.2943925233644114E-3</v>
      </c>
      <c r="K156" s="624">
        <v>20</v>
      </c>
      <c r="L156" s="626">
        <f t="shared" si="11"/>
        <v>24.220729953235839</v>
      </c>
      <c r="M156" s="270" t="s">
        <v>603</v>
      </c>
    </row>
    <row r="157" spans="1:18" x14ac:dyDescent="0.2">
      <c r="A157" s="617"/>
      <c r="B157" s="620">
        <v>119.1</v>
      </c>
      <c r="C157" s="627">
        <v>6.17</v>
      </c>
      <c r="D157" s="627">
        <v>2.59</v>
      </c>
      <c r="E157" s="627">
        <v>3.11</v>
      </c>
      <c r="F157" s="622">
        <f>E157/C157</f>
        <v>0.50405186385737433</v>
      </c>
      <c r="G157" s="623" t="s">
        <v>254</v>
      </c>
      <c r="H157" s="622">
        <f>404.95-2.546</f>
        <v>402.404</v>
      </c>
      <c r="I157" s="628" t="s">
        <v>254</v>
      </c>
      <c r="J157" s="629" t="s">
        <v>254</v>
      </c>
      <c r="K157" s="624">
        <v>20</v>
      </c>
      <c r="L157" s="626" t="e">
        <f>(I157)/((0.84*(J157^0.5)*(cell_GUTDEP^0.6666)/cell_NRD)*60)+K157</f>
        <v>#DIV/0!</v>
      </c>
      <c r="M157" s="270" t="s">
        <v>660</v>
      </c>
    </row>
    <row r="158" spans="1:18" x14ac:dyDescent="0.2">
      <c r="A158" s="617"/>
      <c r="B158" s="620">
        <v>119.2</v>
      </c>
      <c r="C158" s="627">
        <v>3.8600000000000003</v>
      </c>
      <c r="D158" s="627">
        <v>2.21</v>
      </c>
      <c r="E158" s="627">
        <v>2.6100000000000003</v>
      </c>
      <c r="F158" s="622">
        <f>E158/C158</f>
        <v>0.67616580310880836</v>
      </c>
      <c r="G158" s="622">
        <v>405.15</v>
      </c>
      <c r="H158" s="622">
        <f>404.95-2.546</f>
        <v>402.404</v>
      </c>
      <c r="I158" s="624">
        <v>1088</v>
      </c>
      <c r="J158" s="625">
        <f>(G158-H158)/I158</f>
        <v>2.5238970588235118E-3</v>
      </c>
      <c r="K158" s="624">
        <v>20</v>
      </c>
      <c r="L158" s="626">
        <f>(I158)/((0.84*(J158^0.5)*(cell_GUTDEP^0.6666)/cell_NRD)*60)+K158</f>
        <v>32.258139116827685</v>
      </c>
      <c r="M158" s="270" t="s">
        <v>604</v>
      </c>
    </row>
    <row r="159" spans="1:18" x14ac:dyDescent="0.2">
      <c r="A159" s="617"/>
      <c r="B159" s="620">
        <v>120</v>
      </c>
      <c r="C159" s="621">
        <v>0.2</v>
      </c>
      <c r="D159" s="621">
        <v>0.18</v>
      </c>
      <c r="E159" s="621">
        <v>0.18</v>
      </c>
      <c r="F159" s="622">
        <f t="shared" si="12"/>
        <v>0.89999999999999991</v>
      </c>
      <c r="G159" s="623">
        <f>408.38-2.546</f>
        <v>405.834</v>
      </c>
      <c r="H159" s="623">
        <f>405.58-2.546</f>
        <v>403.03399999999999</v>
      </c>
      <c r="I159" s="628">
        <v>203</v>
      </c>
      <c r="J159" s="625">
        <f t="shared" si="10"/>
        <v>1.3793103448275917E-2</v>
      </c>
      <c r="K159" s="624">
        <v>5</v>
      </c>
      <c r="L159" s="626">
        <f t="shared" si="11"/>
        <v>5.9783550936383651</v>
      </c>
      <c r="M159" s="88" t="s">
        <v>605</v>
      </c>
    </row>
    <row r="160" spans="1:18" x14ac:dyDescent="0.2">
      <c r="A160" s="617"/>
      <c r="B160" s="620">
        <v>121</v>
      </c>
      <c r="C160" s="621">
        <v>6.2899999999999991</v>
      </c>
      <c r="D160" s="621">
        <v>1.77</v>
      </c>
      <c r="E160" s="621">
        <v>1.9900000000000002</v>
      </c>
      <c r="F160" s="622">
        <f t="shared" si="12"/>
        <v>0.31637519872813996</v>
      </c>
      <c r="G160" s="623">
        <v>405.15</v>
      </c>
      <c r="H160" s="623">
        <f>405.55-2.546</f>
        <v>403.00400000000002</v>
      </c>
      <c r="I160" s="628">
        <v>1248</v>
      </c>
      <c r="J160" s="625">
        <f t="shared" si="10"/>
        <v>1.7195512820512486E-3</v>
      </c>
      <c r="K160" s="624">
        <v>20</v>
      </c>
      <c r="L160" s="626">
        <f t="shared" si="11"/>
        <v>37.034856851905062</v>
      </c>
      <c r="M160" s="88" t="s">
        <v>606</v>
      </c>
    </row>
    <row r="161" spans="1:13" x14ac:dyDescent="0.2">
      <c r="A161" s="617"/>
      <c r="B161" s="620">
        <v>122</v>
      </c>
      <c r="C161" s="627">
        <v>40.35</v>
      </c>
      <c r="D161" s="627">
        <v>9.52</v>
      </c>
      <c r="E161" s="627">
        <v>10.979999999999999</v>
      </c>
      <c r="F161" s="622">
        <f>E161/C161</f>
        <v>0.27211895910780665</v>
      </c>
      <c r="G161" s="622">
        <f>405.9-2.546</f>
        <v>403.35399999999998</v>
      </c>
      <c r="H161" s="622">
        <f>403.83-2.546</f>
        <v>401.28399999999999</v>
      </c>
      <c r="I161" s="624">
        <v>858</v>
      </c>
      <c r="J161" s="625">
        <f>(G161-H161)/I161</f>
        <v>2.4125874125874047E-3</v>
      </c>
      <c r="K161" s="624">
        <v>20</v>
      </c>
      <c r="L161" s="626">
        <f>(I161)/((0.84*(J161^0.5)*(cell_GUTDEP^0.6666)/cell_NRD)*60)+K161</f>
        <v>29.887288994219688</v>
      </c>
      <c r="M161" s="88" t="s">
        <v>607</v>
      </c>
    </row>
    <row r="162" spans="1:13" x14ac:dyDescent="0.2">
      <c r="A162" s="617"/>
      <c r="B162" s="620">
        <v>122.1</v>
      </c>
      <c r="C162" s="627">
        <v>4.04</v>
      </c>
      <c r="D162" s="627">
        <v>2.02</v>
      </c>
      <c r="E162" s="627">
        <v>2.02</v>
      </c>
      <c r="F162" s="622">
        <f>E162/C162</f>
        <v>0.5</v>
      </c>
      <c r="G162" s="622">
        <f>406.77-2.546</f>
        <v>404.22399999999999</v>
      </c>
      <c r="H162" s="622">
        <f>403.59-2.546</f>
        <v>401.04399999999998</v>
      </c>
      <c r="I162" s="624">
        <v>898</v>
      </c>
      <c r="J162" s="625">
        <f>(G162-H162)/I162</f>
        <v>3.5412026726057981E-3</v>
      </c>
      <c r="K162" s="624">
        <v>20</v>
      </c>
      <c r="L162" s="626">
        <f>(I162)/((0.84*(J162^0.5)*(cell_GUTDEP^0.6666)/cell_NRD)*60)+K162</f>
        <v>28.54146595590867</v>
      </c>
      <c r="M162" s="88" t="s">
        <v>608</v>
      </c>
    </row>
    <row r="163" spans="1:13" x14ac:dyDescent="0.2">
      <c r="A163" s="617"/>
      <c r="B163" s="620">
        <v>122.2</v>
      </c>
      <c r="C163" s="621">
        <v>4.8099999999999996</v>
      </c>
      <c r="D163" s="621">
        <v>2.41</v>
      </c>
      <c r="E163" s="621">
        <v>2.41</v>
      </c>
      <c r="F163" s="622">
        <f t="shared" si="12"/>
        <v>0.50103950103950112</v>
      </c>
      <c r="G163" s="623">
        <f>405.82-2.546</f>
        <v>403.274</v>
      </c>
      <c r="H163" s="622">
        <f>403.59-2.546</f>
        <v>401.04399999999998</v>
      </c>
      <c r="I163" s="628">
        <v>846</v>
      </c>
      <c r="J163" s="625">
        <f t="shared" si="10"/>
        <v>2.6359338061465935E-3</v>
      </c>
      <c r="K163" s="624">
        <v>20</v>
      </c>
      <c r="L163" s="626">
        <f t="shared" si="11"/>
        <v>29.326841195567734</v>
      </c>
      <c r="M163" s="615" t="s">
        <v>609</v>
      </c>
    </row>
    <row r="164" spans="1:13" x14ac:dyDescent="0.2">
      <c r="A164" s="617"/>
      <c r="B164" s="620">
        <v>123</v>
      </c>
      <c r="C164" s="627">
        <v>5.37</v>
      </c>
      <c r="D164" s="627">
        <v>2.95</v>
      </c>
      <c r="E164" s="627">
        <v>2.95</v>
      </c>
      <c r="F164" s="622">
        <f t="shared" si="12"/>
        <v>0.54934823091247675</v>
      </c>
      <c r="G164" s="622">
        <f>406.37-2.546</f>
        <v>403.82400000000001</v>
      </c>
      <c r="H164" s="622">
        <f>404.2-2.546</f>
        <v>401.654</v>
      </c>
      <c r="I164" s="624">
        <v>892</v>
      </c>
      <c r="J164" s="625">
        <f t="shared" si="10"/>
        <v>2.4327354260089864E-3</v>
      </c>
      <c r="K164" s="624">
        <v>20</v>
      </c>
      <c r="L164" s="626">
        <f t="shared" si="11"/>
        <v>30.236438554524678</v>
      </c>
      <c r="M164" s="615" t="s">
        <v>610</v>
      </c>
    </row>
    <row r="165" spans="1:13" x14ac:dyDescent="0.2">
      <c r="A165" s="617"/>
      <c r="B165" s="620">
        <v>123.1</v>
      </c>
      <c r="C165" s="627">
        <v>2.37</v>
      </c>
      <c r="D165" s="627">
        <v>1.3</v>
      </c>
      <c r="E165" s="627">
        <v>1.3</v>
      </c>
      <c r="F165" s="622">
        <f t="shared" si="12"/>
        <v>0.54852320675105481</v>
      </c>
      <c r="G165" s="622">
        <f>406.37-2.546</f>
        <v>403.82400000000001</v>
      </c>
      <c r="H165" s="622">
        <f>404.2-2.546</f>
        <v>401.654</v>
      </c>
      <c r="I165" s="624">
        <v>1004</v>
      </c>
      <c r="J165" s="625">
        <f>(G165-H165)/I165</f>
        <v>2.1613545816733227E-3</v>
      </c>
      <c r="K165" s="624">
        <v>20</v>
      </c>
      <c r="L165" s="626">
        <f>(I165)/((0.84*(J165^0.5)*(cell_GUTDEP^0.6666)/cell_NRD)*60)+K165</f>
        <v>32.223685612413142</v>
      </c>
      <c r="M165" s="88" t="s">
        <v>611</v>
      </c>
    </row>
    <row r="166" spans="1:13" x14ac:dyDescent="0.2">
      <c r="A166" s="617"/>
      <c r="B166" s="620">
        <v>123.2</v>
      </c>
      <c r="C166" s="627">
        <v>8.86</v>
      </c>
      <c r="D166" s="627">
        <v>4.99</v>
      </c>
      <c r="E166" s="627">
        <v>4.99</v>
      </c>
      <c r="F166" s="622">
        <f t="shared" si="12"/>
        <v>0.56320541760722354</v>
      </c>
      <c r="G166" s="622">
        <f>404.98-2.546</f>
        <v>402.43400000000003</v>
      </c>
      <c r="H166" s="622">
        <f>402.82-2.546</f>
        <v>400.274</v>
      </c>
      <c r="I166" s="624">
        <v>907</v>
      </c>
      <c r="J166" s="625">
        <f>(G166-H166)/I166</f>
        <v>2.3814773980154629E-3</v>
      </c>
      <c r="K166" s="624">
        <v>20</v>
      </c>
      <c r="L166" s="626">
        <f>(I166)/((0.84*(J166^0.5)*(cell_GUTDEP^0.6666)/cell_NRD)*60)+K166</f>
        <v>30.519994778161418</v>
      </c>
      <c r="M166" s="88" t="s">
        <v>612</v>
      </c>
    </row>
    <row r="167" spans="1:13" x14ac:dyDescent="0.2">
      <c r="A167" s="617"/>
      <c r="B167" s="620">
        <v>123.3</v>
      </c>
      <c r="C167" s="627">
        <v>1.84</v>
      </c>
      <c r="D167" s="627">
        <v>1.66</v>
      </c>
      <c r="E167" s="627">
        <v>1.66</v>
      </c>
      <c r="F167" s="622">
        <f t="shared" si="12"/>
        <v>0.90217391304347816</v>
      </c>
      <c r="G167" s="622">
        <f>405-2.546</f>
        <v>402.45400000000001</v>
      </c>
      <c r="H167" s="622">
        <f>402.82-2.546</f>
        <v>400.274</v>
      </c>
      <c r="I167" s="624">
        <v>590</v>
      </c>
      <c r="J167" s="625">
        <f>(G167-H167)/I167</f>
        <v>3.6949152542372996E-3</v>
      </c>
      <c r="K167" s="624">
        <v>5</v>
      </c>
      <c r="L167" s="626">
        <f>(I167)/((0.84*(J167^0.5)*(cell_GUTDEP^0.6666)/cell_NRD)*60)+K167</f>
        <v>10.493906195631435</v>
      </c>
      <c r="M167" s="88" t="s">
        <v>613</v>
      </c>
    </row>
    <row r="168" spans="1:13" x14ac:dyDescent="0.2">
      <c r="A168" s="617"/>
      <c r="B168" s="620">
        <v>123.4</v>
      </c>
      <c r="C168" s="627">
        <v>6.01</v>
      </c>
      <c r="D168" s="627">
        <v>3.01</v>
      </c>
      <c r="E168" s="627">
        <v>3.01</v>
      </c>
      <c r="F168" s="622">
        <f>E168/C168</f>
        <v>0.50083194675540765</v>
      </c>
      <c r="G168" s="622">
        <f>406.77-2.546</f>
        <v>404.22399999999999</v>
      </c>
      <c r="H168" s="622">
        <f>403.8-2.546</f>
        <v>401.25400000000002</v>
      </c>
      <c r="I168" s="624">
        <v>985</v>
      </c>
      <c r="J168" s="625">
        <f>(G168-H168)/I168</f>
        <v>3.015228426395909E-3</v>
      </c>
      <c r="K168" s="624">
        <v>20</v>
      </c>
      <c r="L168" s="626">
        <f>(I168)/((0.84*(J168^0.5)*(cell_GUTDEP^0.6666)/cell_NRD)*60)+K168</f>
        <v>30.15330869289059</v>
      </c>
      <c r="M168" s="88" t="s">
        <v>614</v>
      </c>
    </row>
    <row r="169" spans="1:13" x14ac:dyDescent="0.2">
      <c r="A169" s="617"/>
      <c r="B169" s="620">
        <v>124</v>
      </c>
      <c r="C169" s="627">
        <v>6.05</v>
      </c>
      <c r="D169" s="627">
        <v>3.03</v>
      </c>
      <c r="E169" s="627">
        <v>3.03</v>
      </c>
      <c r="F169" s="622">
        <f t="shared" si="12"/>
        <v>0.50082644628099171</v>
      </c>
      <c r="G169" s="622">
        <f>406.17-2.546</f>
        <v>403.62400000000002</v>
      </c>
      <c r="H169" s="622">
        <f>401.59-2.546</f>
        <v>399.04399999999998</v>
      </c>
      <c r="I169" s="624">
        <v>1095</v>
      </c>
      <c r="J169" s="625">
        <f t="shared" si="10"/>
        <v>4.1826484018265215E-3</v>
      </c>
      <c r="K169" s="624">
        <v>20</v>
      </c>
      <c r="L169" s="626">
        <f t="shared" si="11"/>
        <v>29.583406476965578</v>
      </c>
      <c r="M169" s="88" t="s">
        <v>615</v>
      </c>
    </row>
    <row r="170" spans="1:13" x14ac:dyDescent="0.2">
      <c r="A170" s="617"/>
      <c r="B170" s="620">
        <v>124.1</v>
      </c>
      <c r="C170" s="627">
        <v>5.07</v>
      </c>
      <c r="D170" s="627">
        <v>2.38</v>
      </c>
      <c r="E170" s="627">
        <v>2.4500000000000002</v>
      </c>
      <c r="F170" s="622">
        <f t="shared" si="12"/>
        <v>0.4832347140039448</v>
      </c>
      <c r="G170" s="622">
        <f>407.4-2.546</f>
        <v>404.85399999999998</v>
      </c>
      <c r="H170" s="622">
        <f>401.59-2.546</f>
        <v>399.04399999999998</v>
      </c>
      <c r="I170" s="624">
        <v>1237</v>
      </c>
      <c r="J170" s="625">
        <f t="shared" ref="J170:J175" si="13">(G170-H170)/I170</f>
        <v>4.6968472109943432E-3</v>
      </c>
      <c r="K170" s="624">
        <v>20</v>
      </c>
      <c r="L170" s="626">
        <f t="shared" ref="L170:L175" si="14">(I170)/((0.84*(J170^0.5)*(cell_GUTDEP^0.6666)/cell_NRD)*60)+K170</f>
        <v>30.216401507302905</v>
      </c>
      <c r="M170" s="88" t="s">
        <v>616</v>
      </c>
    </row>
    <row r="171" spans="1:13" x14ac:dyDescent="0.2">
      <c r="A171" s="617"/>
      <c r="B171" s="620">
        <v>124.2</v>
      </c>
      <c r="C171" s="627">
        <v>3.91</v>
      </c>
      <c r="D171" s="627">
        <v>2.0300000000000002</v>
      </c>
      <c r="E171" s="627">
        <v>2.0300000000000002</v>
      </c>
      <c r="F171" s="622">
        <f t="shared" si="12"/>
        <v>0.51918158567774941</v>
      </c>
      <c r="G171" s="622">
        <f>403.86-2.546</f>
        <v>401.31400000000002</v>
      </c>
      <c r="H171" s="622">
        <f>401.92-2.546</f>
        <v>399.37400000000002</v>
      </c>
      <c r="I171" s="624">
        <v>978</v>
      </c>
      <c r="J171" s="625">
        <f t="shared" si="13"/>
        <v>1.9836400817995889E-3</v>
      </c>
      <c r="K171" s="624">
        <v>20</v>
      </c>
      <c r="L171" s="626">
        <f t="shared" si="14"/>
        <v>32.429077226135149</v>
      </c>
      <c r="M171" s="88" t="s">
        <v>617</v>
      </c>
    </row>
    <row r="172" spans="1:13" x14ac:dyDescent="0.2">
      <c r="A172" s="617"/>
      <c r="B172" s="620">
        <v>124.3</v>
      </c>
      <c r="C172" s="627">
        <v>4.13</v>
      </c>
      <c r="D172" s="627">
        <v>2.09</v>
      </c>
      <c r="E172" s="627">
        <v>2.09</v>
      </c>
      <c r="F172" s="622">
        <f>E172/C172</f>
        <v>0.50605326876513312</v>
      </c>
      <c r="G172" s="622">
        <f>405.34-2.546</f>
        <v>402.79399999999998</v>
      </c>
      <c r="H172" s="622">
        <f>401.73-2.546</f>
        <v>399.18400000000003</v>
      </c>
      <c r="I172" s="624">
        <v>1157</v>
      </c>
      <c r="J172" s="625">
        <f t="shared" si="13"/>
        <v>3.1201382886775772E-3</v>
      </c>
      <c r="K172" s="624">
        <v>20</v>
      </c>
      <c r="L172" s="626">
        <f t="shared" si="14"/>
        <v>31.724056608084531</v>
      </c>
      <c r="M172" s="88" t="s">
        <v>618</v>
      </c>
    </row>
    <row r="173" spans="1:13" x14ac:dyDescent="0.2">
      <c r="A173" s="617"/>
      <c r="B173" s="620">
        <v>124.4</v>
      </c>
      <c r="C173" s="627">
        <v>17.350000000000001</v>
      </c>
      <c r="D173" s="627">
        <v>8.68</v>
      </c>
      <c r="E173" s="627">
        <v>8.68</v>
      </c>
      <c r="F173" s="622">
        <f>E173/C173</f>
        <v>0.50028818443804024</v>
      </c>
      <c r="G173" s="622">
        <f>406.25-2.546</f>
        <v>403.70400000000001</v>
      </c>
      <c r="H173" s="622">
        <f>401.77-2.546</f>
        <v>399.22399999999999</v>
      </c>
      <c r="I173" s="624">
        <v>1606</v>
      </c>
      <c r="J173" s="625">
        <f t="shared" si="13"/>
        <v>2.7895392278954037E-3</v>
      </c>
      <c r="K173" s="624">
        <v>20</v>
      </c>
      <c r="L173" s="626">
        <f t="shared" si="14"/>
        <v>37.211185034236408</v>
      </c>
      <c r="M173" s="88" t="s">
        <v>619</v>
      </c>
    </row>
    <row r="174" spans="1:13" x14ac:dyDescent="0.2">
      <c r="A174" s="617"/>
      <c r="B174" s="620">
        <v>124.5</v>
      </c>
      <c r="C174" s="627">
        <v>1.02</v>
      </c>
      <c r="D174" s="627">
        <v>0.61</v>
      </c>
      <c r="E174" s="627">
        <v>0.61</v>
      </c>
      <c r="F174" s="622">
        <f>E174/C174</f>
        <v>0.59803921568627449</v>
      </c>
      <c r="G174" s="622">
        <f>402.82-2.546</f>
        <v>400.274</v>
      </c>
      <c r="H174" s="622">
        <f>401.89-2.546</f>
        <v>399.34399999999999</v>
      </c>
      <c r="I174" s="624">
        <v>284</v>
      </c>
      <c r="J174" s="625">
        <f t="shared" si="13"/>
        <v>3.2746478873239677E-3</v>
      </c>
      <c r="K174" s="624">
        <v>20</v>
      </c>
      <c r="L174" s="626">
        <f t="shared" si="14"/>
        <v>22.809101974588618</v>
      </c>
      <c r="M174" s="88" t="s">
        <v>620</v>
      </c>
    </row>
    <row r="175" spans="1:13" x14ac:dyDescent="0.2">
      <c r="A175" s="617"/>
      <c r="B175" s="620">
        <v>124.6</v>
      </c>
      <c r="C175" s="627">
        <v>2.74</v>
      </c>
      <c r="D175" s="627">
        <v>1.37</v>
      </c>
      <c r="E175" s="627">
        <v>1.37</v>
      </c>
      <c r="F175" s="622">
        <f>E175/C175</f>
        <v>0.5</v>
      </c>
      <c r="G175" s="622">
        <f>403.69</f>
        <v>403.69</v>
      </c>
      <c r="H175" s="622">
        <f>401.89-2.546</f>
        <v>399.34399999999999</v>
      </c>
      <c r="I175" s="624">
        <v>644</v>
      </c>
      <c r="J175" s="625">
        <f t="shared" si="13"/>
        <v>6.7484472049689501E-3</v>
      </c>
      <c r="K175" s="624">
        <v>20</v>
      </c>
      <c r="L175" s="626">
        <f t="shared" si="14"/>
        <v>24.43726544017208</v>
      </c>
      <c r="M175" s="88" t="s">
        <v>621</v>
      </c>
    </row>
    <row r="176" spans="1:13" x14ac:dyDescent="0.2">
      <c r="A176" s="617"/>
      <c r="B176" s="620">
        <v>125</v>
      </c>
      <c r="C176" s="627">
        <v>5.07</v>
      </c>
      <c r="D176" s="627">
        <v>3.12</v>
      </c>
      <c r="E176" s="627">
        <v>3.12</v>
      </c>
      <c r="F176" s="622">
        <f t="shared" si="12"/>
        <v>0.61538461538461542</v>
      </c>
      <c r="G176" s="622">
        <f>405.46-2.546</f>
        <v>402.91399999999999</v>
      </c>
      <c r="H176" s="622">
        <f>402.96-2.546</f>
        <v>400.41399999999999</v>
      </c>
      <c r="I176" s="624">
        <v>1621</v>
      </c>
      <c r="J176" s="625">
        <f t="shared" si="10"/>
        <v>1.5422578655151142E-3</v>
      </c>
      <c r="K176" s="624">
        <v>20</v>
      </c>
      <c r="L176" s="626">
        <f t="shared" si="11"/>
        <v>43.363396915203616</v>
      </c>
      <c r="M176" s="88" t="s">
        <v>622</v>
      </c>
    </row>
    <row r="177" spans="1:13" x14ac:dyDescent="0.2">
      <c r="A177" s="617"/>
      <c r="B177" s="620">
        <v>126</v>
      </c>
      <c r="C177" s="621">
        <v>3.25</v>
      </c>
      <c r="D177" s="621">
        <v>1.76</v>
      </c>
      <c r="E177" s="621">
        <v>1.76</v>
      </c>
      <c r="F177" s="622">
        <f t="shared" si="12"/>
        <v>0.54153846153846152</v>
      </c>
      <c r="G177" s="622">
        <f>404.91-2.546</f>
        <v>402.36400000000003</v>
      </c>
      <c r="H177" s="622">
        <f>402.96-2.546</f>
        <v>400.41399999999999</v>
      </c>
      <c r="I177" s="628">
        <v>625</v>
      </c>
      <c r="J177" s="625">
        <f t="shared" si="10"/>
        <v>3.1200000000000728E-3</v>
      </c>
      <c r="K177" s="624">
        <v>20</v>
      </c>
      <c r="L177" s="626">
        <f t="shared" si="11"/>
        <v>26.333360214784953</v>
      </c>
      <c r="M177" s="88" t="s">
        <v>623</v>
      </c>
    </row>
    <row r="178" spans="1:13" x14ac:dyDescent="0.2">
      <c r="A178" s="617"/>
      <c r="B178" s="620">
        <v>127</v>
      </c>
      <c r="C178" s="627">
        <v>3.86</v>
      </c>
      <c r="D178" s="627">
        <v>2.12</v>
      </c>
      <c r="E178" s="627">
        <v>2.12</v>
      </c>
      <c r="F178" s="622">
        <f t="shared" si="12"/>
        <v>0.5492227979274612</v>
      </c>
      <c r="G178" s="622">
        <f>404.13-2.546</f>
        <v>401.584</v>
      </c>
      <c r="H178" s="622">
        <f>402.92-2.546</f>
        <v>400.37400000000002</v>
      </c>
      <c r="I178" s="624">
        <v>686</v>
      </c>
      <c r="J178" s="625">
        <f t="shared" si="10"/>
        <v>1.763848396501428E-3</v>
      </c>
      <c r="K178" s="624">
        <v>20</v>
      </c>
      <c r="L178" s="626">
        <f t="shared" si="11"/>
        <v>29.245384078168989</v>
      </c>
      <c r="M178" s="88" t="s">
        <v>624</v>
      </c>
    </row>
    <row r="179" spans="1:13" x14ac:dyDescent="0.2">
      <c r="A179" s="617"/>
      <c r="B179" s="620">
        <v>127.1</v>
      </c>
      <c r="C179" s="627">
        <v>0.73</v>
      </c>
      <c r="D179" s="627">
        <v>0.49</v>
      </c>
      <c r="E179" s="627">
        <v>0.49</v>
      </c>
      <c r="F179" s="622">
        <f>E179/C179</f>
        <v>0.67123287671232879</v>
      </c>
      <c r="G179" s="622">
        <f>403.66-2.546</f>
        <v>401.11400000000003</v>
      </c>
      <c r="H179" s="622">
        <f>402.92-2.546</f>
        <v>400.37400000000002</v>
      </c>
      <c r="I179" s="624">
        <v>317</v>
      </c>
      <c r="J179" s="625">
        <f>(G179-H179)/I179</f>
        <v>2.3343848580441927E-3</v>
      </c>
      <c r="K179" s="624">
        <v>20</v>
      </c>
      <c r="L179" s="626">
        <f>(I179)/((0.84*(J179^0.5)*(cell_GUTDEP^0.6666)/cell_NRD)*60)+K179</f>
        <v>23.713680204533013</v>
      </c>
      <c r="M179" s="88" t="s">
        <v>625</v>
      </c>
    </row>
    <row r="180" spans="1:13" x14ac:dyDescent="0.2">
      <c r="A180" s="617"/>
      <c r="B180" s="620">
        <v>127.2</v>
      </c>
      <c r="C180" s="627">
        <v>0.79</v>
      </c>
      <c r="D180" s="627">
        <v>0.71</v>
      </c>
      <c r="E180" s="627">
        <v>0.71</v>
      </c>
      <c r="F180" s="622">
        <f>E180/C180</f>
        <v>0.89873417721518978</v>
      </c>
      <c r="G180" s="622">
        <f>405-2.546</f>
        <v>402.45400000000001</v>
      </c>
      <c r="H180" s="622">
        <f>403-2.546</f>
        <v>400.45400000000001</v>
      </c>
      <c r="I180" s="624">
        <v>507</v>
      </c>
      <c r="J180" s="625">
        <f>(G180-H180)/I180</f>
        <v>3.9447731755424065E-3</v>
      </c>
      <c r="K180" s="624">
        <v>5</v>
      </c>
      <c r="L180" s="626">
        <f>(I180)/((0.84*(J180^0.5)*(cell_GUTDEP^0.6666)/cell_NRD)*60)+K180</f>
        <v>9.5690762989983895</v>
      </c>
      <c r="M180" s="88" t="s">
        <v>626</v>
      </c>
    </row>
    <row r="181" spans="1:13" x14ac:dyDescent="0.2">
      <c r="A181" s="617"/>
      <c r="B181" s="620">
        <v>128</v>
      </c>
      <c r="C181" s="627">
        <v>4.0199999999999996</v>
      </c>
      <c r="D181" s="627">
        <v>2.21</v>
      </c>
      <c r="E181" s="627">
        <v>2.21</v>
      </c>
      <c r="F181" s="622">
        <f t="shared" si="12"/>
        <v>0.54975124378109452</v>
      </c>
      <c r="G181" s="622">
        <f>404.87-2.546</f>
        <v>402.32400000000001</v>
      </c>
      <c r="H181" s="622">
        <f>403.35-2.546</f>
        <v>400.80400000000003</v>
      </c>
      <c r="I181" s="624">
        <v>579</v>
      </c>
      <c r="J181" s="625">
        <f t="shared" si="10"/>
        <v>2.6252158894645625E-3</v>
      </c>
      <c r="K181" s="624">
        <v>20</v>
      </c>
      <c r="L181" s="626">
        <f t="shared" si="11"/>
        <v>26.396280794215507</v>
      </c>
      <c r="M181" s="88" t="s">
        <v>627</v>
      </c>
    </row>
    <row r="182" spans="1:13" x14ac:dyDescent="0.2">
      <c r="A182" s="617"/>
      <c r="B182" s="620">
        <v>128.1</v>
      </c>
      <c r="C182" s="627">
        <v>1.07</v>
      </c>
      <c r="D182" s="627">
        <v>0.59</v>
      </c>
      <c r="E182" s="627">
        <v>0.59</v>
      </c>
      <c r="F182" s="622">
        <f>E182/C182</f>
        <v>0.55140186915887845</v>
      </c>
      <c r="G182" s="622">
        <f>404.75-2.546</f>
        <v>402.20400000000001</v>
      </c>
      <c r="H182" s="622">
        <f>403.35-2.546</f>
        <v>400.80400000000003</v>
      </c>
      <c r="I182" s="624">
        <v>603</v>
      </c>
      <c r="J182" s="625">
        <f>(G182-H182)/I182</f>
        <v>2.3217247097843735E-3</v>
      </c>
      <c r="K182" s="624">
        <v>20</v>
      </c>
      <c r="L182" s="626">
        <f>(I182)/((0.84*(J182^0.5)*(cell_GUTDEP^0.6666)/cell_NRD)*60)+K182</f>
        <v>27.083426952173919</v>
      </c>
      <c r="M182" s="88" t="s">
        <v>628</v>
      </c>
    </row>
    <row r="183" spans="1:13" x14ac:dyDescent="0.2">
      <c r="A183" s="617"/>
      <c r="B183" s="620">
        <v>128.19999999999999</v>
      </c>
      <c r="C183" s="627">
        <v>0.96</v>
      </c>
      <c r="D183" s="627">
        <v>0.86</v>
      </c>
      <c r="E183" s="627">
        <v>0.86</v>
      </c>
      <c r="F183" s="622">
        <f>E183/C183</f>
        <v>0.89583333333333337</v>
      </c>
      <c r="G183" s="622">
        <f>405-2.546</f>
        <v>402.45400000000001</v>
      </c>
      <c r="H183" s="622">
        <f>403-2.546</f>
        <v>400.45400000000001</v>
      </c>
      <c r="I183" s="624">
        <v>507</v>
      </c>
      <c r="J183" s="625">
        <f>(G183-H183)/I183</f>
        <v>3.9447731755424065E-3</v>
      </c>
      <c r="K183" s="624">
        <v>5</v>
      </c>
      <c r="L183" s="626">
        <f>(I183)/((0.84*(J183^0.5)*(cell_GUTDEP^0.6666)/cell_NRD)*60)+K183</f>
        <v>9.5690762989983895</v>
      </c>
      <c r="M183" s="88" t="s">
        <v>629</v>
      </c>
    </row>
    <row r="184" spans="1:13" x14ac:dyDescent="0.2">
      <c r="A184" s="617"/>
      <c r="B184" s="620">
        <v>129</v>
      </c>
      <c r="C184" s="627">
        <v>1.37</v>
      </c>
      <c r="D184" s="627">
        <v>0.75</v>
      </c>
      <c r="E184" s="627">
        <v>0.75</v>
      </c>
      <c r="F184" s="622">
        <f t="shared" si="12"/>
        <v>0.54744525547445255</v>
      </c>
      <c r="G184" s="622">
        <f>404.78-2.546</f>
        <v>402.23399999999998</v>
      </c>
      <c r="H184" s="622">
        <f>404.01-2.546</f>
        <v>401.464</v>
      </c>
      <c r="I184" s="624">
        <v>325</v>
      </c>
      <c r="J184" s="625">
        <f t="shared" si="10"/>
        <v>2.3692307692307134E-3</v>
      </c>
      <c r="K184" s="624">
        <v>20</v>
      </c>
      <c r="L184" s="626">
        <f t="shared" si="11"/>
        <v>23.779298090987972</v>
      </c>
      <c r="M184" s="88" t="s">
        <v>630</v>
      </c>
    </row>
    <row r="185" spans="1:13" x14ac:dyDescent="0.2">
      <c r="A185" s="617"/>
      <c r="B185" s="620">
        <v>129.1</v>
      </c>
      <c r="C185" s="627">
        <v>0.88</v>
      </c>
      <c r="D185" s="627">
        <v>0.48</v>
      </c>
      <c r="E185" s="627">
        <v>0.48</v>
      </c>
      <c r="F185" s="622">
        <f>E185/C185</f>
        <v>0.54545454545454541</v>
      </c>
      <c r="G185" s="622">
        <f>404.83-2.546</f>
        <v>402.28399999999999</v>
      </c>
      <c r="H185" s="622">
        <f>404.01-2.546</f>
        <v>401.464</v>
      </c>
      <c r="I185" s="624">
        <v>362</v>
      </c>
      <c r="J185" s="625">
        <f>(G185-H185)/I185</f>
        <v>2.265193370165727E-3</v>
      </c>
      <c r="K185" s="624">
        <v>20</v>
      </c>
      <c r="L185" s="626">
        <f>(I185)/((0.84*(J185^0.5)*(cell_GUTDEP^0.6666)/cell_NRD)*60)+K185</f>
        <v>24.305141188377004</v>
      </c>
      <c r="M185" s="88" t="s">
        <v>631</v>
      </c>
    </row>
    <row r="186" spans="1:13" x14ac:dyDescent="0.2">
      <c r="A186" s="617"/>
      <c r="B186" s="620">
        <v>129.19999999999999</v>
      </c>
      <c r="C186" s="627">
        <v>9</v>
      </c>
      <c r="D186" s="627">
        <v>3.78</v>
      </c>
      <c r="E186" s="627">
        <v>4.54</v>
      </c>
      <c r="F186" s="622">
        <f>E186/C186</f>
        <v>0.50444444444444447</v>
      </c>
      <c r="G186" s="623" t="s">
        <v>254</v>
      </c>
      <c r="H186" s="622">
        <f>404.38-2.546</f>
        <v>401.834</v>
      </c>
      <c r="I186" s="628" t="s">
        <v>254</v>
      </c>
      <c r="J186" s="629" t="s">
        <v>254</v>
      </c>
      <c r="K186" s="624">
        <v>20</v>
      </c>
      <c r="L186" s="626">
        <f>K186</f>
        <v>20</v>
      </c>
      <c r="M186" s="88" t="s">
        <v>632</v>
      </c>
    </row>
    <row r="187" spans="1:13" x14ac:dyDescent="0.2">
      <c r="A187" s="618"/>
      <c r="B187" s="620">
        <v>130</v>
      </c>
      <c r="C187" s="627">
        <v>0.87</v>
      </c>
      <c r="D187" s="627">
        <v>0.48</v>
      </c>
      <c r="E187" s="627">
        <v>0.48</v>
      </c>
      <c r="F187" s="622">
        <f t="shared" si="12"/>
        <v>0.55172413793103448</v>
      </c>
      <c r="G187" s="622">
        <f>405.11-2.546</f>
        <v>402.56400000000002</v>
      </c>
      <c r="H187" s="622">
        <f>403.37-2.546</f>
        <v>400.82400000000001</v>
      </c>
      <c r="I187" s="624">
        <v>552</v>
      </c>
      <c r="J187" s="625">
        <f t="shared" si="10"/>
        <v>3.1521739130434948E-3</v>
      </c>
      <c r="K187" s="624">
        <v>20</v>
      </c>
      <c r="L187" s="626">
        <f t="shared" si="11"/>
        <v>25.565003754635551</v>
      </c>
      <c r="M187" s="88" t="s">
        <v>633</v>
      </c>
    </row>
    <row r="188" spans="1:13" x14ac:dyDescent="0.2">
      <c r="A188" s="618"/>
      <c r="B188" s="620">
        <v>130.1</v>
      </c>
      <c r="C188" s="627">
        <v>0.5</v>
      </c>
      <c r="D188" s="627">
        <v>0.45</v>
      </c>
      <c r="E188" s="627">
        <v>0.45</v>
      </c>
      <c r="F188" s="622">
        <f>E188/C188</f>
        <v>0.9</v>
      </c>
      <c r="G188" s="622">
        <f>404.38-2.546</f>
        <v>401.834</v>
      </c>
      <c r="H188" s="622">
        <f>403.37-2.546</f>
        <v>400.82400000000001</v>
      </c>
      <c r="I188" s="624">
        <v>232</v>
      </c>
      <c r="J188" s="625">
        <f>(G188-H188)/I188</f>
        <v>4.3534482758620296E-3</v>
      </c>
      <c r="K188" s="624">
        <v>5</v>
      </c>
      <c r="L188" s="626">
        <f>(I188)/((0.84*(J188^0.5)*(cell_GUTDEP^0.6666)/cell_NRD)*60)+K188</f>
        <v>6.9902276689204683</v>
      </c>
      <c r="M188" s="88" t="s">
        <v>634</v>
      </c>
    </row>
    <row r="189" spans="1:13" x14ac:dyDescent="0.2">
      <c r="A189" s="618"/>
      <c r="B189" s="620">
        <v>130.19999999999999</v>
      </c>
      <c r="C189" s="627">
        <v>3</v>
      </c>
      <c r="D189" s="627">
        <v>1.79</v>
      </c>
      <c r="E189" s="627">
        <v>1.79</v>
      </c>
      <c r="F189" s="622">
        <f>E189/C189</f>
        <v>0.59666666666666668</v>
      </c>
      <c r="G189" s="622">
        <f>408.97-2.546</f>
        <v>406.42400000000004</v>
      </c>
      <c r="H189" s="622">
        <f>402.06-2.546</f>
        <v>399.51400000000001</v>
      </c>
      <c r="I189" s="624">
        <v>668</v>
      </c>
      <c r="J189" s="625">
        <f>(G189-H189)/I189</f>
        <v>1.0344311377245546E-2</v>
      </c>
      <c r="K189" s="624">
        <v>20</v>
      </c>
      <c r="L189" s="626">
        <f>(I189)/((0.84*(J189^0.5)*(cell_GUTDEP^0.6666)/cell_NRD)*60)+K189</f>
        <v>23.717552746774608</v>
      </c>
      <c r="M189" s="88" t="s">
        <v>635</v>
      </c>
    </row>
    <row r="190" spans="1:13" x14ac:dyDescent="0.2">
      <c r="A190" s="618"/>
      <c r="B190" s="620">
        <v>130.30000000000001</v>
      </c>
      <c r="C190" s="627">
        <v>0.57999999999999996</v>
      </c>
      <c r="D190" s="627">
        <v>0.52</v>
      </c>
      <c r="E190" s="627">
        <v>0.52</v>
      </c>
      <c r="F190" s="622">
        <f>E190/C190</f>
        <v>0.89655172413793116</v>
      </c>
      <c r="G190" s="622">
        <f>403.5-2.546</f>
        <v>400.95400000000001</v>
      </c>
      <c r="H190" s="622">
        <f>402.06-2.546</f>
        <v>399.51400000000001</v>
      </c>
      <c r="I190" s="624">
        <v>597</v>
      </c>
      <c r="J190" s="625">
        <f>(G190-H190)/I190</f>
        <v>2.4120603015075339E-3</v>
      </c>
      <c r="K190" s="624">
        <v>5</v>
      </c>
      <c r="L190" s="626">
        <f>(I190)/((0.84*(J190^0.5)*(cell_GUTDEP^0.6666)/cell_NRD)*60)+K190</f>
        <v>11.880368832664564</v>
      </c>
      <c r="M190" s="88" t="s">
        <v>636</v>
      </c>
    </row>
    <row r="191" spans="1:13" x14ac:dyDescent="0.2">
      <c r="A191" s="617"/>
      <c r="B191" s="620">
        <v>130.4</v>
      </c>
      <c r="C191" s="627">
        <v>0.48</v>
      </c>
      <c r="D191" s="627">
        <v>0.43</v>
      </c>
      <c r="E191" s="627">
        <v>0.43</v>
      </c>
      <c r="F191" s="622">
        <f>E191/C191</f>
        <v>0.89583333333333337</v>
      </c>
      <c r="G191" s="622">
        <f>403.6-2.546</f>
        <v>401.05400000000003</v>
      </c>
      <c r="H191" s="622">
        <f>403.24-2.546</f>
        <v>400.69400000000002</v>
      </c>
      <c r="I191" s="624">
        <v>174</v>
      </c>
      <c r="J191" s="625">
        <f>(G191-H191)/I191</f>
        <v>2.0689655172414579E-3</v>
      </c>
      <c r="K191" s="624">
        <v>5</v>
      </c>
      <c r="L191" s="626">
        <f>(I191)/((0.84*(J191^0.5)*(cell_GUTDEP^0.6666)/cell_NRD)*60)+K191</f>
        <v>7.1652302767648699</v>
      </c>
      <c r="M191" s="88" t="s">
        <v>637</v>
      </c>
    </row>
    <row r="192" spans="1:13" x14ac:dyDescent="0.2">
      <c r="A192" s="617"/>
      <c r="B192" s="620">
        <v>130.5</v>
      </c>
      <c r="C192" s="627">
        <v>0.72</v>
      </c>
      <c r="D192" s="627">
        <v>0.65</v>
      </c>
      <c r="E192" s="627">
        <v>0.65</v>
      </c>
      <c r="F192" s="622">
        <f>E192/C192</f>
        <v>0.90277777777777779</v>
      </c>
      <c r="G192" s="622">
        <f>403.99-2.546</f>
        <v>401.44400000000002</v>
      </c>
      <c r="H192" s="622">
        <f>403.24-2.546</f>
        <v>400.69400000000002</v>
      </c>
      <c r="I192" s="624">
        <v>373</v>
      </c>
      <c r="J192" s="625">
        <f>(G192-H192)/I192</f>
        <v>2.0107238605898124E-3</v>
      </c>
      <c r="K192" s="624">
        <v>5</v>
      </c>
      <c r="L192" s="626">
        <f>(I192)/((0.84*(J192^0.5)*(cell_GUTDEP^0.6666)/cell_NRD)*60)+K192</f>
        <v>9.7082995461697479</v>
      </c>
      <c r="M192" s="88" t="s">
        <v>638</v>
      </c>
    </row>
    <row r="193" spans="1:13" x14ac:dyDescent="0.2">
      <c r="A193" s="617"/>
      <c r="B193" s="620">
        <v>131</v>
      </c>
      <c r="C193" s="627">
        <v>12.61</v>
      </c>
      <c r="D193" s="627">
        <v>7.72</v>
      </c>
      <c r="E193" s="627">
        <v>8.4499999999999993</v>
      </c>
      <c r="F193" s="622">
        <f t="shared" si="12"/>
        <v>0.67010309278350511</v>
      </c>
      <c r="G193" s="622">
        <f>400.7-2.546</f>
        <v>398.154</v>
      </c>
      <c r="H193" s="622">
        <f>399.45-2.546</f>
        <v>396.904</v>
      </c>
      <c r="I193" s="624">
        <v>631</v>
      </c>
      <c r="J193" s="625">
        <f t="shared" si="10"/>
        <v>1.9809825673534074E-3</v>
      </c>
      <c r="K193" s="624">
        <v>10</v>
      </c>
      <c r="L193" s="626">
        <f t="shared" si="11"/>
        <v>18.024546566211761</v>
      </c>
      <c r="M193" s="88" t="s">
        <v>639</v>
      </c>
    </row>
    <row r="194" spans="1:13" x14ac:dyDescent="0.2">
      <c r="A194" s="617"/>
      <c r="B194" s="620">
        <v>132</v>
      </c>
      <c r="C194" s="621">
        <v>10.37</v>
      </c>
      <c r="D194" s="621">
        <v>7.48</v>
      </c>
      <c r="E194" s="621">
        <v>8.7799999999999994</v>
      </c>
      <c r="F194" s="622">
        <f t="shared" si="12"/>
        <v>0.84667309546769531</v>
      </c>
      <c r="G194" s="623">
        <v>399.3</v>
      </c>
      <c r="H194" s="622">
        <f>399.59-2.546</f>
        <v>397.04399999999998</v>
      </c>
      <c r="I194" s="624">
        <v>641</v>
      </c>
      <c r="J194" s="625">
        <f t="shared" si="10"/>
        <v>3.5195007800312458E-3</v>
      </c>
      <c r="K194" s="624">
        <v>10</v>
      </c>
      <c r="L194" s="626">
        <f t="shared" si="11"/>
        <v>16.115739323951416</v>
      </c>
      <c r="M194" s="88" t="s">
        <v>640</v>
      </c>
    </row>
    <row r="195" spans="1:13" x14ac:dyDescent="0.2">
      <c r="A195" s="90"/>
      <c r="B195" s="304">
        <v>133</v>
      </c>
      <c r="C195" s="60">
        <v>4.4400000000000004</v>
      </c>
      <c r="D195" s="60">
        <v>1.42</v>
      </c>
      <c r="E195" s="60">
        <v>1.554</v>
      </c>
      <c r="F195" s="61">
        <f t="shared" si="9"/>
        <v>0.35</v>
      </c>
      <c r="G195" s="61">
        <v>396.11</v>
      </c>
      <c r="H195" s="61">
        <v>394.57</v>
      </c>
      <c r="I195" s="62">
        <v>672</v>
      </c>
      <c r="J195" s="63">
        <f t="shared" si="10"/>
        <v>2.291666666666697E-3</v>
      </c>
      <c r="K195" s="62">
        <v>25</v>
      </c>
      <c r="L195" s="64">
        <f t="shared" si="11"/>
        <v>32.94556927325246</v>
      </c>
      <c r="M195" s="88" t="s">
        <v>355</v>
      </c>
    </row>
    <row r="196" spans="1:13" x14ac:dyDescent="0.2">
      <c r="A196" s="90"/>
      <c r="B196" s="304">
        <v>134</v>
      </c>
      <c r="C196" s="60">
        <v>1.07</v>
      </c>
      <c r="D196" s="60">
        <v>0.34239999999999998</v>
      </c>
      <c r="E196" s="60">
        <v>0.3745</v>
      </c>
      <c r="F196" s="61">
        <f t="shared" si="9"/>
        <v>0.35</v>
      </c>
      <c r="G196" s="61">
        <v>395.44</v>
      </c>
      <c r="H196" s="61">
        <v>394.57</v>
      </c>
      <c r="I196" s="62">
        <v>350</v>
      </c>
      <c r="J196" s="63">
        <f t="shared" si="10"/>
        <v>2.4857142857142986E-3</v>
      </c>
      <c r="K196" s="62">
        <v>25</v>
      </c>
      <c r="L196" s="64">
        <f t="shared" si="11"/>
        <v>28.973506332199015</v>
      </c>
      <c r="M196" s="88" t="s">
        <v>356</v>
      </c>
    </row>
    <row r="197" spans="1:13" x14ac:dyDescent="0.2">
      <c r="A197" s="90"/>
      <c r="B197" s="304">
        <v>135</v>
      </c>
      <c r="C197" s="60">
        <v>2.2200000000000002</v>
      </c>
      <c r="D197" s="60">
        <v>0.71040000000000003</v>
      </c>
      <c r="E197" s="60">
        <v>0.77700000000000002</v>
      </c>
      <c r="F197" s="61">
        <f t="shared" si="9"/>
        <v>0.35</v>
      </c>
      <c r="G197" s="61">
        <v>395.18</v>
      </c>
      <c r="H197" s="61">
        <v>393.5</v>
      </c>
      <c r="I197" s="62">
        <v>732</v>
      </c>
      <c r="J197" s="63">
        <f t="shared" si="10"/>
        <v>2.2950819672131239E-3</v>
      </c>
      <c r="K197" s="62">
        <v>25</v>
      </c>
      <c r="L197" s="64">
        <f t="shared" si="11"/>
        <v>33.648552975207011</v>
      </c>
      <c r="M197" s="88" t="s">
        <v>357</v>
      </c>
    </row>
    <row r="198" spans="1:13" x14ac:dyDescent="0.2">
      <c r="A198" s="90"/>
      <c r="B198" s="304">
        <v>136</v>
      </c>
      <c r="C198" s="60">
        <v>10.35</v>
      </c>
      <c r="D198" s="60">
        <v>3.3119999999999998</v>
      </c>
      <c r="E198" s="60">
        <v>3.6225000000000001</v>
      </c>
      <c r="F198" s="61">
        <f t="shared" si="9"/>
        <v>0.35000000000000003</v>
      </c>
      <c r="G198" s="61">
        <v>397.49</v>
      </c>
      <c r="H198" s="61">
        <v>393.48</v>
      </c>
      <c r="I198" s="62">
        <v>1773</v>
      </c>
      <c r="J198" s="63">
        <f t="shared" si="10"/>
        <v>2.2617033276931702E-3</v>
      </c>
      <c r="K198" s="62">
        <v>25</v>
      </c>
      <c r="L198" s="64">
        <f t="shared" si="11"/>
        <v>46.101940119877824</v>
      </c>
      <c r="M198" s="88" t="s">
        <v>358</v>
      </c>
    </row>
    <row r="199" spans="1:13" x14ac:dyDescent="0.2">
      <c r="A199" s="618"/>
      <c r="B199" s="620">
        <v>137</v>
      </c>
      <c r="C199" s="627">
        <v>2.4300000000000002</v>
      </c>
      <c r="D199" s="627">
        <v>1.02</v>
      </c>
      <c r="E199" s="627">
        <v>1.22</v>
      </c>
      <c r="F199" s="622">
        <f t="shared" si="9"/>
        <v>0.50205761316872421</v>
      </c>
      <c r="G199" s="623">
        <f>400.93-2.546</f>
        <v>398.38400000000001</v>
      </c>
      <c r="H199" s="622">
        <f>399.36-2.546</f>
        <v>396.81400000000002</v>
      </c>
      <c r="I199" s="624">
        <v>572</v>
      </c>
      <c r="J199" s="625">
        <f t="shared" si="10"/>
        <v>2.7447552447552328E-3</v>
      </c>
      <c r="K199" s="624">
        <v>20</v>
      </c>
      <c r="L199" s="626">
        <f t="shared" si="11"/>
        <v>26.179818017328973</v>
      </c>
      <c r="M199" s="88" t="s">
        <v>641</v>
      </c>
    </row>
    <row r="200" spans="1:13" x14ac:dyDescent="0.2">
      <c r="A200" s="617"/>
      <c r="B200" s="620">
        <v>137.1</v>
      </c>
      <c r="C200" s="627">
        <v>1.53</v>
      </c>
      <c r="D200" s="627">
        <v>0.64</v>
      </c>
      <c r="E200" s="627">
        <v>0.77</v>
      </c>
      <c r="F200" s="622">
        <f>E200/C200</f>
        <v>0.50326797385620914</v>
      </c>
      <c r="G200" s="622">
        <f>399.69-2.546</f>
        <v>397.14400000000001</v>
      </c>
      <c r="H200" s="622">
        <f>399.36-2.546</f>
        <v>396.81400000000002</v>
      </c>
      <c r="I200" s="624">
        <v>211</v>
      </c>
      <c r="J200" s="625">
        <f>(G200-H200)/I200</f>
        <v>1.5639810426539529E-3</v>
      </c>
      <c r="K200" s="624">
        <v>20</v>
      </c>
      <c r="L200" s="626">
        <f>(I200)/((0.84*(J200^0.5)*(cell_GUTDEP^0.6666)/cell_NRD)*60)+K200</f>
        <v>23.019939080269779</v>
      </c>
      <c r="M200" s="88" t="s">
        <v>642</v>
      </c>
    </row>
    <row r="201" spans="1:13" ht="15.75" x14ac:dyDescent="0.25">
      <c r="A201" s="618"/>
      <c r="B201" s="620">
        <v>138</v>
      </c>
      <c r="C201" s="627">
        <v>5.24</v>
      </c>
      <c r="D201" s="627">
        <v>2.2000000000000002</v>
      </c>
      <c r="E201" s="627">
        <v>2.64</v>
      </c>
      <c r="F201" s="622">
        <f t="shared" si="9"/>
        <v>0.50381679389312972</v>
      </c>
      <c r="G201" s="630">
        <v>402</v>
      </c>
      <c r="H201" s="630">
        <v>396.5</v>
      </c>
      <c r="I201" s="631">
        <v>728</v>
      </c>
      <c r="J201" s="625">
        <f t="shared" si="10"/>
        <v>7.554945054945055E-3</v>
      </c>
      <c r="K201" s="624">
        <v>20</v>
      </c>
      <c r="L201" s="626">
        <f t="shared" si="11"/>
        <v>24.740751525335256</v>
      </c>
      <c r="M201" s="88" t="s">
        <v>643</v>
      </c>
    </row>
    <row r="202" spans="1:13" x14ac:dyDescent="0.2">
      <c r="A202" s="618"/>
      <c r="B202" s="620">
        <v>139</v>
      </c>
      <c r="C202" s="627">
        <v>2.27</v>
      </c>
      <c r="D202" s="627">
        <v>2.04</v>
      </c>
      <c r="E202" s="627">
        <v>2.04</v>
      </c>
      <c r="F202" s="622">
        <f t="shared" si="9"/>
        <v>0.89867841409691629</v>
      </c>
      <c r="G202" s="622">
        <f>400.7-2.546</f>
        <v>398.154</v>
      </c>
      <c r="H202" s="622">
        <f>397.59-2.546</f>
        <v>395.04399999999998</v>
      </c>
      <c r="I202" s="624">
        <v>685</v>
      </c>
      <c r="J202" s="625">
        <f t="shared" si="10"/>
        <v>4.5401459854014798E-3</v>
      </c>
      <c r="K202" s="624">
        <v>5</v>
      </c>
      <c r="L202" s="626">
        <f t="shared" si="11"/>
        <v>10.754228874393934</v>
      </c>
      <c r="M202" s="88" t="s">
        <v>644</v>
      </c>
    </row>
    <row r="203" spans="1:13" x14ac:dyDescent="0.2">
      <c r="A203" s="90"/>
      <c r="B203" s="304">
        <v>140</v>
      </c>
      <c r="C203" s="60">
        <v>2.25</v>
      </c>
      <c r="D203" s="60">
        <v>2.0249999999999999</v>
      </c>
      <c r="E203" s="60">
        <v>2.0249999999999999</v>
      </c>
      <c r="F203" s="61">
        <f t="shared" si="9"/>
        <v>0.89999999999999991</v>
      </c>
      <c r="G203" s="61">
        <v>398.4</v>
      </c>
      <c r="H203" s="61">
        <v>395</v>
      </c>
      <c r="I203" s="62">
        <v>672</v>
      </c>
      <c r="J203" s="63">
        <f t="shared" si="10"/>
        <v>5.0595238095237759E-3</v>
      </c>
      <c r="K203" s="62">
        <v>5</v>
      </c>
      <c r="L203" s="64">
        <f t="shared" si="11"/>
        <v>10.347439999309305</v>
      </c>
      <c r="M203" s="88" t="s">
        <v>359</v>
      </c>
    </row>
    <row r="204" spans="1:13" ht="15.75" x14ac:dyDescent="0.25">
      <c r="A204" s="618"/>
      <c r="B204" s="620">
        <v>141</v>
      </c>
      <c r="C204" s="627">
        <v>9.7100000000000009</v>
      </c>
      <c r="D204" s="627">
        <v>4.08</v>
      </c>
      <c r="E204" s="627">
        <v>4.8899999999999997</v>
      </c>
      <c r="F204" s="622">
        <f t="shared" si="9"/>
        <v>0.50360453141091654</v>
      </c>
      <c r="G204" s="630">
        <v>400.1</v>
      </c>
      <c r="H204" s="630">
        <v>398.7</v>
      </c>
      <c r="I204" s="624">
        <v>760</v>
      </c>
      <c r="J204" s="625">
        <f t="shared" si="10"/>
        <v>1.8421052631579396E-3</v>
      </c>
      <c r="K204" s="624">
        <v>20</v>
      </c>
      <c r="L204" s="626">
        <f t="shared" si="11"/>
        <v>30.022771740596376</v>
      </c>
      <c r="M204" s="88" t="s">
        <v>645</v>
      </c>
    </row>
    <row r="205" spans="1:13" x14ac:dyDescent="0.2">
      <c r="A205" s="618"/>
      <c r="B205" s="304">
        <v>143</v>
      </c>
      <c r="C205" s="60">
        <v>4.28</v>
      </c>
      <c r="D205" s="60">
        <v>1.3695999999999999</v>
      </c>
      <c r="E205" s="60">
        <v>1.6435</v>
      </c>
      <c r="F205" s="61">
        <f t="shared" si="9"/>
        <v>0.38399532710280371</v>
      </c>
      <c r="G205" s="61">
        <v>397.43</v>
      </c>
      <c r="H205" s="61">
        <v>393.92</v>
      </c>
      <c r="I205" s="62">
        <v>820</v>
      </c>
      <c r="J205" s="63">
        <f t="shared" si="10"/>
        <v>4.2804878048780378E-3</v>
      </c>
      <c r="K205" s="62">
        <v>25</v>
      </c>
      <c r="L205" s="64">
        <f t="shared" si="11"/>
        <v>32.094122598924805</v>
      </c>
      <c r="M205" s="88" t="s">
        <v>360</v>
      </c>
    </row>
    <row r="206" spans="1:13" x14ac:dyDescent="0.2">
      <c r="A206" s="618"/>
      <c r="B206" s="304">
        <v>144</v>
      </c>
      <c r="C206" s="60">
        <v>4.33</v>
      </c>
      <c r="D206" s="60">
        <v>1.3855999999999999</v>
      </c>
      <c r="E206" s="60">
        <v>1.6627000000000001</v>
      </c>
      <c r="F206" s="61">
        <f t="shared" si="9"/>
        <v>0.38399538106235565</v>
      </c>
      <c r="G206" s="61">
        <v>397.85</v>
      </c>
      <c r="H206" s="61">
        <v>393.94</v>
      </c>
      <c r="I206" s="62">
        <v>1018</v>
      </c>
      <c r="J206" s="63">
        <f t="shared" si="10"/>
        <v>3.8408644400786101E-3</v>
      </c>
      <c r="K206" s="62">
        <v>25</v>
      </c>
      <c r="L206" s="64">
        <f t="shared" si="11"/>
        <v>34.297469396978258</v>
      </c>
      <c r="M206" s="88" t="s">
        <v>361</v>
      </c>
    </row>
    <row r="207" spans="1:13" x14ac:dyDescent="0.2">
      <c r="A207" s="90"/>
      <c r="B207" s="304">
        <v>145</v>
      </c>
      <c r="C207" s="60">
        <v>4.03</v>
      </c>
      <c r="D207" s="60">
        <v>1.2896000000000001</v>
      </c>
      <c r="E207" s="60">
        <v>1.5475000000000001</v>
      </c>
      <c r="F207" s="61">
        <f t="shared" si="9"/>
        <v>0.38399503722084366</v>
      </c>
      <c r="G207" s="61">
        <v>395.85</v>
      </c>
      <c r="H207" s="61">
        <v>393.65</v>
      </c>
      <c r="I207" s="62">
        <v>923</v>
      </c>
      <c r="J207" s="63">
        <f t="shared" si="10"/>
        <v>2.383531960996799E-3</v>
      </c>
      <c r="K207" s="62">
        <v>25</v>
      </c>
      <c r="L207" s="64">
        <f t="shared" si="11"/>
        <v>35.700958513796834</v>
      </c>
      <c r="M207" s="88" t="s">
        <v>362</v>
      </c>
    </row>
    <row r="208" spans="1:13" x14ac:dyDescent="0.2">
      <c r="A208" s="618"/>
      <c r="B208" s="304">
        <v>146</v>
      </c>
      <c r="C208" s="60">
        <v>9.0299999999999994</v>
      </c>
      <c r="D208" s="60">
        <v>2.8896000000000002</v>
      </c>
      <c r="E208" s="60">
        <v>3.1604999999999999</v>
      </c>
      <c r="F208" s="61">
        <f t="shared" si="9"/>
        <v>0.35000000000000003</v>
      </c>
      <c r="G208" s="61">
        <v>397.49</v>
      </c>
      <c r="H208" s="61">
        <v>392.15</v>
      </c>
      <c r="I208" s="62">
        <v>1696</v>
      </c>
      <c r="J208" s="63">
        <f t="shared" si="10"/>
        <v>3.1485849056603959E-3</v>
      </c>
      <c r="K208" s="62">
        <v>25</v>
      </c>
      <c r="L208" s="64">
        <f t="shared" si="11"/>
        <v>42.108014615188367</v>
      </c>
      <c r="M208" s="88" t="s">
        <v>364</v>
      </c>
    </row>
    <row r="209" spans="1:16" x14ac:dyDescent="0.2">
      <c r="B209" s="304">
        <v>147</v>
      </c>
      <c r="C209" s="60">
        <v>6.25</v>
      </c>
      <c r="D209" s="60">
        <v>5.625</v>
      </c>
      <c r="E209" s="60">
        <v>5.625</v>
      </c>
      <c r="F209" s="61">
        <f t="shared" si="9"/>
        <v>0.9</v>
      </c>
      <c r="G209" s="61">
        <v>408.8</v>
      </c>
      <c r="H209" s="61">
        <v>400</v>
      </c>
      <c r="I209" s="62">
        <v>3751</v>
      </c>
      <c r="J209" s="63">
        <f t="shared" si="10"/>
        <v>2.3460410557184781E-3</v>
      </c>
      <c r="K209" s="62">
        <v>5</v>
      </c>
      <c r="L209" s="64">
        <f t="shared" si="11"/>
        <v>48.833962260411234</v>
      </c>
      <c r="M209" s="88" t="s">
        <v>363</v>
      </c>
    </row>
    <row r="210" spans="1:16" ht="15.75" x14ac:dyDescent="0.25">
      <c r="A210" s="605" t="s">
        <v>588</v>
      </c>
      <c r="B210" s="584">
        <v>148</v>
      </c>
      <c r="C210" s="578"/>
      <c r="D210" s="578"/>
      <c r="E210" s="578"/>
      <c r="F210" s="61" t="e">
        <f t="shared" si="9"/>
        <v>#DIV/0!</v>
      </c>
      <c r="G210" s="587">
        <v>412.93</v>
      </c>
      <c r="H210" s="587">
        <v>404.16</v>
      </c>
      <c r="I210" s="588">
        <v>2115</v>
      </c>
      <c r="J210" s="63">
        <f t="shared" si="10"/>
        <v>4.146572104018904E-3</v>
      </c>
      <c r="K210" s="588">
        <v>15</v>
      </c>
      <c r="L210" s="64">
        <f t="shared" si="11"/>
        <v>33.590763672574987</v>
      </c>
      <c r="M210" s="88"/>
    </row>
    <row r="211" spans="1:16" ht="15.75" x14ac:dyDescent="0.25">
      <c r="A211" s="607"/>
      <c r="B211" s="584">
        <v>149</v>
      </c>
      <c r="C211" s="578">
        <v>32.380000000000003</v>
      </c>
      <c r="D211" s="578">
        <v>10.36</v>
      </c>
      <c r="E211" s="578">
        <v>12.43</v>
      </c>
      <c r="F211" s="61">
        <f t="shared" si="9"/>
        <v>0.38387893761581221</v>
      </c>
      <c r="G211" s="591" t="s">
        <v>584</v>
      </c>
      <c r="H211" s="590" t="s">
        <v>583</v>
      </c>
      <c r="I211" s="588">
        <v>1316</v>
      </c>
      <c r="J211" s="63">
        <v>2.8E-3</v>
      </c>
      <c r="K211" s="62">
        <v>25</v>
      </c>
      <c r="L211" s="64">
        <f t="shared" si="11"/>
        <v>39.076942700423125</v>
      </c>
      <c r="M211" s="270" t="s">
        <v>592</v>
      </c>
    </row>
    <row r="212" spans="1:16" ht="15.75" x14ac:dyDescent="0.25">
      <c r="A212" s="605"/>
      <c r="B212" s="584">
        <v>150</v>
      </c>
      <c r="C212" s="578">
        <v>1.99</v>
      </c>
      <c r="D212" s="578">
        <v>1.79</v>
      </c>
      <c r="E212" s="578">
        <v>1.79</v>
      </c>
      <c r="F212" s="317">
        <f t="shared" si="9"/>
        <v>0.89949748743718594</v>
      </c>
      <c r="G212" s="587">
        <v>407.82</v>
      </c>
      <c r="H212" s="587">
        <v>401.51</v>
      </c>
      <c r="I212" s="588">
        <v>1251</v>
      </c>
      <c r="J212" s="63">
        <f t="shared" si="10"/>
        <v>5.0439648281374915E-3</v>
      </c>
      <c r="K212" s="62">
        <v>5</v>
      </c>
      <c r="L212" s="64">
        <f t="shared" si="11"/>
        <v>14.970174377446545</v>
      </c>
      <c r="M212" s="88" t="s">
        <v>591</v>
      </c>
    </row>
    <row r="213" spans="1:16" x14ac:dyDescent="0.2">
      <c r="B213" s="304">
        <v>151</v>
      </c>
      <c r="C213" s="60">
        <v>4.08</v>
      </c>
      <c r="D213" s="60">
        <v>1.3056000000000001</v>
      </c>
      <c r="E213" s="60">
        <v>1.4361999999999999</v>
      </c>
      <c r="F213" s="61">
        <f t="shared" si="9"/>
        <v>0.35200980392156861</v>
      </c>
      <c r="G213" s="61">
        <v>401.34</v>
      </c>
      <c r="H213" s="61">
        <v>400.44</v>
      </c>
      <c r="I213" s="62">
        <v>521</v>
      </c>
      <c r="J213" s="63">
        <f t="shared" si="10"/>
        <v>1.7274472168905513E-3</v>
      </c>
      <c r="K213" s="62">
        <v>25</v>
      </c>
      <c r="L213" s="64">
        <f t="shared" si="11"/>
        <v>32.09523524897844</v>
      </c>
      <c r="M213" s="88" t="s">
        <v>366</v>
      </c>
    </row>
    <row r="214" spans="1:16" x14ac:dyDescent="0.2">
      <c r="B214" s="304">
        <v>152</v>
      </c>
      <c r="C214" s="60">
        <v>9.94</v>
      </c>
      <c r="D214" s="60">
        <v>3.1808000000000001</v>
      </c>
      <c r="E214" s="60">
        <v>3.4790000000000001</v>
      </c>
      <c r="F214" s="61">
        <f t="shared" si="9"/>
        <v>0.35000000000000003</v>
      </c>
      <c r="G214" s="61">
        <v>398.8</v>
      </c>
      <c r="H214" s="61">
        <v>394.71</v>
      </c>
      <c r="I214" s="62">
        <v>1526</v>
      </c>
      <c r="J214" s="63">
        <f t="shared" si="10"/>
        <v>2.6802096985583434E-3</v>
      </c>
      <c r="K214" s="62">
        <v>25</v>
      </c>
      <c r="L214" s="64">
        <f t="shared" si="11"/>
        <v>41.684055107623891</v>
      </c>
      <c r="M214" s="88" t="s">
        <v>443</v>
      </c>
    </row>
    <row r="215" spans="1:16" x14ac:dyDescent="0.2">
      <c r="B215" s="304">
        <v>153</v>
      </c>
      <c r="C215" s="60">
        <v>23.48</v>
      </c>
      <c r="D215" s="60">
        <v>7.5136000000000003</v>
      </c>
      <c r="E215" s="60">
        <v>8.218</v>
      </c>
      <c r="F215" s="61">
        <f t="shared" si="9"/>
        <v>0.35</v>
      </c>
      <c r="G215" s="61">
        <v>404.86</v>
      </c>
      <c r="H215" s="61">
        <v>394.49</v>
      </c>
      <c r="I215" s="62">
        <v>1784</v>
      </c>
      <c r="J215" s="63">
        <f t="shared" si="10"/>
        <v>5.8127802690582982E-3</v>
      </c>
      <c r="K215" s="62">
        <v>25</v>
      </c>
      <c r="L215" s="64">
        <f t="shared" si="11"/>
        <v>38.244463356285905</v>
      </c>
      <c r="M215" s="88" t="s">
        <v>367</v>
      </c>
    </row>
    <row r="216" spans="1:16" x14ac:dyDescent="0.2">
      <c r="B216" s="304">
        <v>154</v>
      </c>
      <c r="C216" s="60">
        <v>3.59</v>
      </c>
      <c r="D216" s="60">
        <v>1.1488</v>
      </c>
      <c r="E216" s="60">
        <v>1.2565</v>
      </c>
      <c r="F216" s="61">
        <f t="shared" si="9"/>
        <v>0.35</v>
      </c>
      <c r="G216" s="61">
        <v>398.32</v>
      </c>
      <c r="H216" s="61">
        <v>394.7</v>
      </c>
      <c r="I216" s="62">
        <v>707</v>
      </c>
      <c r="J216" s="63">
        <f t="shared" si="10"/>
        <v>5.1202263083451266E-3</v>
      </c>
      <c r="K216" s="62">
        <v>25</v>
      </c>
      <c r="L216" s="64">
        <f t="shared" si="11"/>
        <v>30.592504016289769</v>
      </c>
      <c r="M216" s="88" t="s">
        <v>368</v>
      </c>
    </row>
    <row r="217" spans="1:16" x14ac:dyDescent="0.2">
      <c r="B217" s="304">
        <v>155</v>
      </c>
      <c r="C217" s="60">
        <v>3.39</v>
      </c>
      <c r="D217" s="60">
        <v>1.08</v>
      </c>
      <c r="E217" s="60">
        <v>1.19</v>
      </c>
      <c r="F217" s="61">
        <f t="shared" si="9"/>
        <v>0.35103244837758107</v>
      </c>
      <c r="G217" s="61">
        <v>398.32</v>
      </c>
      <c r="H217" s="61">
        <v>392.93</v>
      </c>
      <c r="I217" s="62">
        <v>1089</v>
      </c>
      <c r="J217" s="63">
        <f t="shared" si="10"/>
        <v>4.9494949494949371E-3</v>
      </c>
      <c r="K217" s="62">
        <v>25</v>
      </c>
      <c r="L217" s="64">
        <f t="shared" si="11"/>
        <v>33.761508896299688</v>
      </c>
      <c r="M217" s="88" t="s">
        <v>580</v>
      </c>
    </row>
    <row r="218" spans="1:16" x14ac:dyDescent="0.2">
      <c r="B218" s="304">
        <v>156</v>
      </c>
      <c r="C218" s="60">
        <v>9.2799999999999994</v>
      </c>
      <c r="D218" s="60">
        <v>2.97</v>
      </c>
      <c r="E218" s="60">
        <v>3.27</v>
      </c>
      <c r="F218" s="61">
        <f t="shared" si="9"/>
        <v>0.35237068965517243</v>
      </c>
      <c r="G218" s="61">
        <v>401.34</v>
      </c>
      <c r="H218" s="317" t="s">
        <v>661</v>
      </c>
      <c r="I218" s="62">
        <v>1738</v>
      </c>
      <c r="J218" s="63">
        <f t="shared" si="10"/>
        <v>0.23092059838895279</v>
      </c>
      <c r="K218" s="62">
        <v>25</v>
      </c>
      <c r="L218" s="64">
        <f t="shared" si="11"/>
        <v>27.047151124313306</v>
      </c>
      <c r="M218" s="88" t="s">
        <v>579</v>
      </c>
    </row>
    <row r="219" spans="1:16" x14ac:dyDescent="0.2">
      <c r="B219" s="586">
        <v>157</v>
      </c>
      <c r="C219" s="60">
        <v>5.6</v>
      </c>
      <c r="D219" s="60">
        <v>2.8</v>
      </c>
      <c r="E219" s="60">
        <v>2.8</v>
      </c>
      <c r="F219" s="61">
        <f t="shared" si="9"/>
        <v>0.5</v>
      </c>
      <c r="G219" s="61">
        <v>394.5</v>
      </c>
      <c r="H219" s="61">
        <v>391.6</v>
      </c>
      <c r="I219" s="62">
        <v>559</v>
      </c>
      <c r="J219" s="63">
        <f t="shared" si="10"/>
        <v>5.1878354203935195E-3</v>
      </c>
      <c r="K219" s="62">
        <v>20</v>
      </c>
      <c r="L219" s="64">
        <f t="shared" si="11"/>
        <v>24.392888519616925</v>
      </c>
      <c r="M219" s="88" t="s">
        <v>578</v>
      </c>
    </row>
    <row r="220" spans="1:16" x14ac:dyDescent="0.2">
      <c r="B220" s="586">
        <v>158</v>
      </c>
      <c r="C220" s="60">
        <v>8.9</v>
      </c>
      <c r="D220" s="60">
        <v>4.45</v>
      </c>
      <c r="E220" s="60">
        <v>4.45</v>
      </c>
      <c r="F220" s="61">
        <f t="shared" si="9"/>
        <v>0.5</v>
      </c>
      <c r="G220" s="61">
        <v>394.2</v>
      </c>
      <c r="H220" s="61">
        <v>391.6</v>
      </c>
      <c r="I220" s="62">
        <v>1136</v>
      </c>
      <c r="J220" s="63">
        <f t="shared" si="10"/>
        <v>2.2887323943661672E-3</v>
      </c>
      <c r="K220" s="62">
        <v>20</v>
      </c>
      <c r="L220" s="64">
        <f t="shared" si="11"/>
        <v>33.440403043758145</v>
      </c>
      <c r="M220" s="88" t="s">
        <v>577</v>
      </c>
    </row>
    <row r="221" spans="1:16" x14ac:dyDescent="0.2">
      <c r="B221" s="304">
        <v>159</v>
      </c>
      <c r="C221" s="60">
        <v>0.54</v>
      </c>
      <c r="D221" s="60">
        <v>0.48599999999999999</v>
      </c>
      <c r="E221" s="60">
        <v>0.48599999999999999</v>
      </c>
      <c r="F221" s="61">
        <f t="shared" si="9"/>
        <v>0.89999999999999991</v>
      </c>
      <c r="G221" s="61">
        <v>393</v>
      </c>
      <c r="H221" s="61">
        <v>390.92</v>
      </c>
      <c r="I221" s="62">
        <v>361</v>
      </c>
      <c r="J221" s="63">
        <f t="shared" si="10"/>
        <v>5.7617728531855518E-3</v>
      </c>
      <c r="K221" s="62">
        <v>5</v>
      </c>
      <c r="L221" s="64">
        <f t="shared" si="11"/>
        <v>7.6919104264622913</v>
      </c>
      <c r="M221" s="88" t="s">
        <v>369</v>
      </c>
    </row>
    <row r="222" spans="1:16" x14ac:dyDescent="0.2">
      <c r="A222" s="602"/>
      <c r="B222" s="304">
        <v>160</v>
      </c>
      <c r="C222" s="404">
        <v>23.66</v>
      </c>
      <c r="D222" s="404">
        <f>0.5*4.87+0.29*16.79</f>
        <v>7.3041</v>
      </c>
      <c r="E222" s="404">
        <f>0.5*4.87+0.29*16.79*1.1</f>
        <v>7.79101</v>
      </c>
      <c r="F222" s="61">
        <f t="shared" si="9"/>
        <v>0.32929036348267116</v>
      </c>
      <c r="G222" s="61">
        <v>394.6</v>
      </c>
      <c r="H222" s="61">
        <v>388.82</v>
      </c>
      <c r="I222" s="62">
        <v>1942</v>
      </c>
      <c r="J222" s="63">
        <f t="shared" si="10"/>
        <v>2.9763130792997061E-3</v>
      </c>
      <c r="K222" s="62">
        <v>25</v>
      </c>
      <c r="L222" s="64">
        <f t="shared" si="11"/>
        <v>45.148438237137086</v>
      </c>
      <c r="M222" s="368" t="s">
        <v>582</v>
      </c>
    </row>
    <row r="223" spans="1:16" x14ac:dyDescent="0.2">
      <c r="A223" s="608" t="s">
        <v>559</v>
      </c>
      <c r="B223" s="271">
        <v>161</v>
      </c>
      <c r="C223" s="272">
        <v>1.2</v>
      </c>
      <c r="D223" s="272">
        <f>C223*0.29</f>
        <v>0.34799999999999998</v>
      </c>
      <c r="E223" s="272">
        <f>D223*1.1</f>
        <v>0.38280000000000003</v>
      </c>
      <c r="F223" s="273">
        <f>E223/C223</f>
        <v>0.31900000000000006</v>
      </c>
      <c r="G223" s="427">
        <v>390.2</v>
      </c>
      <c r="H223" s="427">
        <v>387</v>
      </c>
      <c r="I223" s="436">
        <v>1262</v>
      </c>
      <c r="J223" s="275">
        <f>(G223-H223)/I223</f>
        <v>2.5356576862123523E-3</v>
      </c>
      <c r="K223" s="274">
        <v>25</v>
      </c>
      <c r="L223" s="276">
        <f>(I223)/((0.84*(J223^0.5)*(cell_GUTDEP^0.6666)/cell_NRD)*60)+K223</f>
        <v>39.185528232288931</v>
      </c>
      <c r="M223" s="324" t="s">
        <v>538</v>
      </c>
      <c r="N223" s="325"/>
      <c r="O223" s="325"/>
      <c r="P223" s="325"/>
    </row>
    <row r="224" spans="1:16" x14ac:dyDescent="0.2">
      <c r="B224" s="304">
        <v>162</v>
      </c>
      <c r="C224" s="60">
        <v>7.3</v>
      </c>
      <c r="D224" s="60">
        <v>6.57</v>
      </c>
      <c r="E224" s="60">
        <v>6.57</v>
      </c>
      <c r="F224" s="61">
        <f t="shared" si="9"/>
        <v>0.9</v>
      </c>
      <c r="G224" s="61">
        <v>397.19</v>
      </c>
      <c r="H224" s="61">
        <v>388.87</v>
      </c>
      <c r="I224" s="62">
        <v>2605</v>
      </c>
      <c r="J224" s="63">
        <f t="shared" si="10"/>
        <v>3.1938579654510529E-3</v>
      </c>
      <c r="K224" s="62">
        <v>5</v>
      </c>
      <c r="L224" s="64">
        <f t="shared" si="11"/>
        <v>31.090439654859601</v>
      </c>
      <c r="M224" s="88" t="s">
        <v>370</v>
      </c>
    </row>
    <row r="225" spans="1:13" x14ac:dyDescent="0.2">
      <c r="B225" s="307">
        <v>163</v>
      </c>
      <c r="C225" s="60">
        <v>16.53</v>
      </c>
      <c r="D225" s="60">
        <v>4.7937000000000003</v>
      </c>
      <c r="E225" s="60">
        <v>5.2731000000000003</v>
      </c>
      <c r="F225" s="61">
        <f t="shared" si="9"/>
        <v>0.31900181488203266</v>
      </c>
      <c r="G225" s="61">
        <v>394.6</v>
      </c>
      <c r="H225" s="61">
        <v>389.6</v>
      </c>
      <c r="I225" s="62">
        <v>1516</v>
      </c>
      <c r="J225" s="63">
        <f t="shared" si="10"/>
        <v>3.2981530343007917E-3</v>
      </c>
      <c r="K225" s="62">
        <v>25</v>
      </c>
      <c r="L225" s="64">
        <f t="shared" si="11"/>
        <v>39.94153680734766</v>
      </c>
      <c r="M225" s="88" t="s">
        <v>371</v>
      </c>
    </row>
    <row r="226" spans="1:13" x14ac:dyDescent="0.2">
      <c r="A226" s="574"/>
      <c r="B226" s="620">
        <v>164</v>
      </c>
      <c r="C226" s="627">
        <v>8.36</v>
      </c>
      <c r="D226" s="627">
        <v>4.18</v>
      </c>
      <c r="E226" s="627">
        <v>4.18</v>
      </c>
      <c r="F226" s="622">
        <f t="shared" si="9"/>
        <v>0.5</v>
      </c>
      <c r="G226" s="622">
        <f>402.93-2.546</f>
        <v>400.38400000000001</v>
      </c>
      <c r="H226" s="622">
        <f>398.51-2.546</f>
        <v>395.964</v>
      </c>
      <c r="I226" s="624">
        <v>1508</v>
      </c>
      <c r="J226" s="625">
        <f t="shared" si="10"/>
        <v>2.9310344827586311E-3</v>
      </c>
      <c r="K226" s="624">
        <v>20</v>
      </c>
      <c r="L226" s="626">
        <f t="shared" si="11"/>
        <v>35.766029936219446</v>
      </c>
      <c r="M226" s="88" t="s">
        <v>646</v>
      </c>
    </row>
    <row r="227" spans="1:13" x14ac:dyDescent="0.2">
      <c r="A227" s="574"/>
      <c r="B227" s="620">
        <v>165</v>
      </c>
      <c r="C227" s="627">
        <v>1.1399999999999999</v>
      </c>
      <c r="D227" s="627">
        <v>0.56999999999999995</v>
      </c>
      <c r="E227" s="627">
        <v>0.56999999999999995</v>
      </c>
      <c r="F227" s="622">
        <f t="shared" si="9"/>
        <v>0.5</v>
      </c>
      <c r="G227" s="622">
        <f>399.58-2.546</f>
        <v>397.03399999999999</v>
      </c>
      <c r="H227" s="622">
        <f>398.5-2.546</f>
        <v>395.95400000000001</v>
      </c>
      <c r="I227" s="624">
        <v>303</v>
      </c>
      <c r="J227" s="625">
        <f t="shared" si="10"/>
        <v>3.564356435643512E-3</v>
      </c>
      <c r="K227" s="624">
        <v>20</v>
      </c>
      <c r="L227" s="626">
        <f t="shared" si="11"/>
        <v>22.872655416701942</v>
      </c>
      <c r="M227" s="88" t="s">
        <v>647</v>
      </c>
    </row>
    <row r="228" spans="1:13" x14ac:dyDescent="0.2">
      <c r="A228" s="574"/>
      <c r="B228" s="620">
        <v>165.1</v>
      </c>
      <c r="C228" s="627">
        <v>5.47</v>
      </c>
      <c r="D228" s="627">
        <v>2.74</v>
      </c>
      <c r="E228" s="627">
        <v>2.74</v>
      </c>
      <c r="F228" s="622">
        <f t="shared" ref="F228:F237" si="15">E228/C228</f>
        <v>0.50091407678244981</v>
      </c>
      <c r="G228" s="622">
        <f>403.03-2.546</f>
        <v>400.48399999999998</v>
      </c>
      <c r="H228" s="622">
        <f>400.61-2.546</f>
        <v>398.06400000000002</v>
      </c>
      <c r="I228" s="624">
        <v>884</v>
      </c>
      <c r="J228" s="625">
        <f t="shared" ref="J228:J233" si="16">(G228-H228)/I228</f>
        <v>2.7375565610859263E-3</v>
      </c>
      <c r="K228" s="624">
        <v>20</v>
      </c>
      <c r="L228" s="626">
        <f t="shared" ref="L228:L233" si="17">(I228)/((0.84*(J228^0.5)*(cell_GUTDEP^0.6666)/cell_NRD)*60)+K228</f>
        <v>29.563176774808291</v>
      </c>
      <c r="M228" s="88" t="s">
        <v>648</v>
      </c>
    </row>
    <row r="229" spans="1:13" x14ac:dyDescent="0.2">
      <c r="A229" s="574"/>
      <c r="B229" s="620">
        <v>165.2</v>
      </c>
      <c r="C229" s="627">
        <v>1.54</v>
      </c>
      <c r="D229" s="627">
        <v>0.8600000000000001</v>
      </c>
      <c r="E229" s="627">
        <v>0.8600000000000001</v>
      </c>
      <c r="F229" s="622">
        <f t="shared" si="15"/>
        <v>0.55844155844155852</v>
      </c>
      <c r="G229" s="622">
        <f>402.13-2.546</f>
        <v>399.584</v>
      </c>
      <c r="H229" s="623">
        <f>400.31-2.546</f>
        <v>397.76400000000001</v>
      </c>
      <c r="I229" s="624">
        <v>434</v>
      </c>
      <c r="J229" s="625">
        <f t="shared" si="16"/>
        <v>4.1935483870967584E-3</v>
      </c>
      <c r="K229" s="624">
        <v>20</v>
      </c>
      <c r="L229" s="626">
        <f t="shared" si="17"/>
        <v>23.793415107816347</v>
      </c>
      <c r="M229" s="88" t="s">
        <v>649</v>
      </c>
    </row>
    <row r="230" spans="1:13" x14ac:dyDescent="0.2">
      <c r="A230" s="574"/>
      <c r="B230" s="620">
        <v>165.3</v>
      </c>
      <c r="C230" s="627">
        <v>3.6</v>
      </c>
      <c r="D230" s="627">
        <v>1.82</v>
      </c>
      <c r="E230" s="627">
        <v>1.82</v>
      </c>
      <c r="F230" s="622">
        <f t="shared" si="15"/>
        <v>0.50555555555555554</v>
      </c>
      <c r="G230" s="622">
        <f>402.82-2.546</f>
        <v>400.274</v>
      </c>
      <c r="H230" s="623">
        <f>400.31-2.546</f>
        <v>397.76400000000001</v>
      </c>
      <c r="I230" s="624">
        <v>884</v>
      </c>
      <c r="J230" s="625">
        <f t="shared" si="16"/>
        <v>2.8393665158370938E-3</v>
      </c>
      <c r="K230" s="624">
        <v>20</v>
      </c>
      <c r="L230" s="626">
        <f t="shared" si="17"/>
        <v>29.390160295961763</v>
      </c>
      <c r="M230" s="88" t="s">
        <v>650</v>
      </c>
    </row>
    <row r="231" spans="1:13" x14ac:dyDescent="0.2">
      <c r="A231" s="574"/>
      <c r="B231" s="620">
        <v>165.4</v>
      </c>
      <c r="C231" s="627">
        <v>7.98</v>
      </c>
      <c r="D231" s="627">
        <v>3.99</v>
      </c>
      <c r="E231" s="627">
        <v>3.99</v>
      </c>
      <c r="F231" s="622">
        <f t="shared" si="15"/>
        <v>0.5</v>
      </c>
      <c r="G231" s="622">
        <f>403.03-2.546</f>
        <v>400.48399999999998</v>
      </c>
      <c r="H231" s="622">
        <f>400.13-2.546</f>
        <v>397.584</v>
      </c>
      <c r="I231" s="624">
        <v>1390</v>
      </c>
      <c r="J231" s="625">
        <f t="shared" si="16"/>
        <v>2.0863309352517822E-3</v>
      </c>
      <c r="K231" s="624">
        <v>20</v>
      </c>
      <c r="L231" s="626">
        <f t="shared" si="17"/>
        <v>37.22481914539911</v>
      </c>
      <c r="M231" s="88" t="s">
        <v>651</v>
      </c>
    </row>
    <row r="232" spans="1:13" x14ac:dyDescent="0.2">
      <c r="A232" s="574"/>
      <c r="B232" s="620">
        <v>165.5</v>
      </c>
      <c r="C232" s="627">
        <v>1.17</v>
      </c>
      <c r="D232" s="627">
        <v>1.05</v>
      </c>
      <c r="E232" s="627">
        <v>1.05</v>
      </c>
      <c r="F232" s="622">
        <f t="shared" si="15"/>
        <v>0.89743589743589758</v>
      </c>
      <c r="G232" s="622">
        <f>402.47-2.546</f>
        <v>399.92400000000004</v>
      </c>
      <c r="H232" s="622">
        <f>400.13-2.546</f>
        <v>397.584</v>
      </c>
      <c r="I232" s="624">
        <v>966</v>
      </c>
      <c r="J232" s="625">
        <f t="shared" si="16"/>
        <v>2.4223602484472377E-3</v>
      </c>
      <c r="K232" s="624">
        <v>5</v>
      </c>
      <c r="L232" s="626">
        <f t="shared" si="17"/>
        <v>16.10936485495322</v>
      </c>
      <c r="M232" s="88" t="s">
        <v>652</v>
      </c>
    </row>
    <row r="233" spans="1:13" x14ac:dyDescent="0.2">
      <c r="A233" s="574"/>
      <c r="B233" s="620">
        <v>165.6</v>
      </c>
      <c r="C233" s="627">
        <v>0.71</v>
      </c>
      <c r="D233" s="627">
        <v>0.64</v>
      </c>
      <c r="E233" s="627">
        <v>0.64</v>
      </c>
      <c r="F233" s="622">
        <f t="shared" si="15"/>
        <v>0.90140845070422537</v>
      </c>
      <c r="G233" s="622">
        <f>400.74-2.546</f>
        <v>398.19400000000002</v>
      </c>
      <c r="H233" s="622">
        <f>398.48-2.546</f>
        <v>395.93400000000003</v>
      </c>
      <c r="I233" s="624">
        <v>357</v>
      </c>
      <c r="J233" s="625">
        <f t="shared" si="16"/>
        <v>6.3305322128851286E-3</v>
      </c>
      <c r="K233" s="624">
        <v>5</v>
      </c>
      <c r="L233" s="626">
        <f t="shared" si="17"/>
        <v>7.5396833620251709</v>
      </c>
      <c r="M233" s="88" t="s">
        <v>653</v>
      </c>
    </row>
    <row r="234" spans="1:13" x14ac:dyDescent="0.2">
      <c r="A234" s="574"/>
      <c r="B234" s="620">
        <v>165.7</v>
      </c>
      <c r="C234" s="627">
        <v>1.3499999999999999</v>
      </c>
      <c r="D234" s="627">
        <v>0.66999999999999993</v>
      </c>
      <c r="E234" s="627">
        <v>0.77</v>
      </c>
      <c r="F234" s="622">
        <f>E234/C234</f>
        <v>0.57037037037037042</v>
      </c>
      <c r="G234" s="622">
        <f>400.07-2.546</f>
        <v>397.524</v>
      </c>
      <c r="H234" s="622">
        <f>398.48-2.546</f>
        <v>395.93400000000003</v>
      </c>
      <c r="I234" s="624">
        <v>367</v>
      </c>
      <c r="J234" s="625">
        <f>(G234-H234)/I234</f>
        <v>4.3324250681198231E-3</v>
      </c>
      <c r="K234" s="624">
        <v>20</v>
      </c>
      <c r="L234" s="626">
        <f>(I234)/((0.84*(J234^0.5)*(cell_GUTDEP^0.6666)/cell_NRD)*60)+K234</f>
        <v>23.155963730176513</v>
      </c>
      <c r="M234" s="88" t="s">
        <v>654</v>
      </c>
    </row>
    <row r="235" spans="1:13" x14ac:dyDescent="0.2">
      <c r="A235" s="574"/>
      <c r="B235" s="620">
        <v>165.8</v>
      </c>
      <c r="C235" s="627">
        <v>0.99</v>
      </c>
      <c r="D235" s="627">
        <v>0.42</v>
      </c>
      <c r="E235" s="627">
        <v>0.5</v>
      </c>
      <c r="F235" s="622">
        <f>E235/C235</f>
        <v>0.50505050505050508</v>
      </c>
      <c r="G235" s="622">
        <f>399.8-2.546</f>
        <v>397.25400000000002</v>
      </c>
      <c r="H235" s="622">
        <f>398.95-2.546</f>
        <v>396.404</v>
      </c>
      <c r="I235" s="624">
        <v>287</v>
      </c>
      <c r="J235" s="625">
        <f>(G235-H235)/I235</f>
        <v>2.961672473867675E-3</v>
      </c>
      <c r="K235" s="624">
        <v>20</v>
      </c>
      <c r="L235" s="626">
        <f>(I235)/((0.84*(J235^0.5)*(cell_GUTDEP^0.6666)/cell_NRD)*60)+K235</f>
        <v>22.985003546647857</v>
      </c>
      <c r="M235" s="88" t="s">
        <v>655</v>
      </c>
    </row>
    <row r="236" spans="1:13" x14ac:dyDescent="0.2">
      <c r="A236" s="574"/>
      <c r="B236" s="620">
        <v>165.9</v>
      </c>
      <c r="C236" s="627">
        <v>2.52</v>
      </c>
      <c r="D236" s="627">
        <v>1.06</v>
      </c>
      <c r="E236" s="627">
        <v>1.27</v>
      </c>
      <c r="F236" s="622">
        <f>E236/C236</f>
        <v>0.50396825396825395</v>
      </c>
      <c r="G236" s="622">
        <f>400.61-2.546</f>
        <v>398.06400000000002</v>
      </c>
      <c r="H236" s="622">
        <f>398.95-2.546</f>
        <v>396.404</v>
      </c>
      <c r="I236" s="624">
        <v>582</v>
      </c>
      <c r="J236" s="625">
        <f>(G236-H236)/I236</f>
        <v>2.8522336769759879E-3</v>
      </c>
      <c r="K236" s="624">
        <v>20</v>
      </c>
      <c r="L236" s="626">
        <f>(I236)/((0.84*(J236^0.5)*(cell_GUTDEP^0.6666)/cell_NRD)*60)+K236</f>
        <v>26.168249073582349</v>
      </c>
      <c r="M236" s="88" t="s">
        <v>656</v>
      </c>
    </row>
    <row r="237" spans="1:13" x14ac:dyDescent="0.2">
      <c r="A237" s="574"/>
      <c r="B237" s="620">
        <v>166</v>
      </c>
      <c r="C237" s="627">
        <v>5.18</v>
      </c>
      <c r="D237" s="627">
        <v>2.61</v>
      </c>
      <c r="E237" s="627">
        <v>2.61</v>
      </c>
      <c r="F237" s="622">
        <f t="shared" si="15"/>
        <v>0.50386100386100385</v>
      </c>
      <c r="G237" s="623">
        <f>399.82-2.546</f>
        <v>397.274</v>
      </c>
      <c r="H237" s="622">
        <f>395.87-2.546</f>
        <v>393.32400000000001</v>
      </c>
      <c r="I237" s="624">
        <v>845</v>
      </c>
      <c r="J237" s="625">
        <f t="shared" si="10"/>
        <v>4.6745562130177378E-3</v>
      </c>
      <c r="K237" s="624">
        <v>20</v>
      </c>
      <c r="L237" s="626">
        <f t="shared" si="11"/>
        <v>26.995487499054999</v>
      </c>
      <c r="M237" s="88" t="s">
        <v>657</v>
      </c>
    </row>
    <row r="238" spans="1:13" x14ac:dyDescent="0.2">
      <c r="A238" s="574"/>
      <c r="B238" s="620">
        <v>166.1</v>
      </c>
      <c r="C238" s="627">
        <v>5.8599999999999994</v>
      </c>
      <c r="D238" s="627">
        <v>3.33</v>
      </c>
      <c r="E238" s="627">
        <v>3.4</v>
      </c>
      <c r="F238" s="622">
        <f>E238/C238</f>
        <v>0.58020477815699667</v>
      </c>
      <c r="G238" s="623">
        <f>403.19-2.546</f>
        <v>400.64400000000001</v>
      </c>
      <c r="H238" s="622">
        <f>395.87-2.546</f>
        <v>393.32400000000001</v>
      </c>
      <c r="I238" s="624">
        <v>2055</v>
      </c>
      <c r="J238" s="625">
        <f>(G238-H238)/I238</f>
        <v>3.5620437956204345E-3</v>
      </c>
      <c r="K238" s="624">
        <v>5</v>
      </c>
      <c r="L238" s="626">
        <f>(I238)/((0.84*(J238^0.5)*(cell_GUTDEP^0.6666)/cell_NRD)*60)+K238</f>
        <v>24.489184545748017</v>
      </c>
      <c r="M238" s="88" t="s">
        <v>658</v>
      </c>
    </row>
    <row r="239" spans="1:13" x14ac:dyDescent="0.2">
      <c r="A239" s="574"/>
      <c r="B239" s="620">
        <v>166.2</v>
      </c>
      <c r="C239" s="627">
        <v>6.57</v>
      </c>
      <c r="D239" s="627">
        <v>2.56</v>
      </c>
      <c r="E239" s="627">
        <v>2.71</v>
      </c>
      <c r="F239" s="622">
        <f>E239/C239</f>
        <v>0.41248097412480972</v>
      </c>
      <c r="G239" s="623">
        <v>395.5</v>
      </c>
      <c r="H239" s="622">
        <f>394.4-2.546</f>
        <v>391.85399999999998</v>
      </c>
      <c r="I239" s="624">
        <v>638</v>
      </c>
      <c r="J239" s="625">
        <f>(G239-H239)/I239</f>
        <v>5.7147335423197729E-3</v>
      </c>
      <c r="K239" s="624">
        <v>25</v>
      </c>
      <c r="L239" s="626">
        <f>(I239)/((0.84*(J239^0.5)*(cell_GUTDEP^0.6666)/cell_NRD)*60)+K239</f>
        <v>29.776988053184169</v>
      </c>
      <c r="M239" s="88" t="s">
        <v>659</v>
      </c>
    </row>
    <row r="240" spans="1:13" x14ac:dyDescent="0.2">
      <c r="B240" s="304">
        <v>167</v>
      </c>
      <c r="C240" s="60">
        <v>1.5</v>
      </c>
      <c r="D240" s="60">
        <v>1.35</v>
      </c>
      <c r="E240" s="60">
        <v>1.35</v>
      </c>
      <c r="F240" s="61">
        <f t="shared" si="9"/>
        <v>0.9</v>
      </c>
      <c r="G240" s="61">
        <v>394.87</v>
      </c>
      <c r="H240" s="61">
        <v>392.06</v>
      </c>
      <c r="I240" s="62">
        <v>652</v>
      </c>
      <c r="J240" s="63">
        <f t="shared" si="10"/>
        <v>4.3098159509202486E-3</v>
      </c>
      <c r="K240" s="62">
        <v>5</v>
      </c>
      <c r="L240" s="64">
        <f t="shared" si="11"/>
        <v>10.621467483211791</v>
      </c>
      <c r="M240" s="88" t="s">
        <v>372</v>
      </c>
    </row>
    <row r="241" spans="2:13" x14ac:dyDescent="0.2">
      <c r="B241" s="304">
        <v>168</v>
      </c>
      <c r="C241" s="60">
        <v>1.42</v>
      </c>
      <c r="D241" s="60">
        <v>1.278</v>
      </c>
      <c r="E241" s="60">
        <v>1.278</v>
      </c>
      <c r="F241" s="61">
        <f t="shared" si="9"/>
        <v>0.9</v>
      </c>
      <c r="G241" s="61">
        <v>396.5</v>
      </c>
      <c r="H241" s="61">
        <v>392.15</v>
      </c>
      <c r="I241" s="62">
        <v>609</v>
      </c>
      <c r="J241" s="63">
        <f t="shared" si="10"/>
        <v>7.1428571428571799E-3</v>
      </c>
      <c r="K241" s="62">
        <v>5</v>
      </c>
      <c r="L241" s="64">
        <f t="shared" si="11"/>
        <v>9.0786156347342395</v>
      </c>
      <c r="M241" s="88" t="s">
        <v>373</v>
      </c>
    </row>
    <row r="242" spans="2:13" x14ac:dyDescent="0.2">
      <c r="B242" s="304">
        <v>169</v>
      </c>
      <c r="C242" s="60">
        <v>3.42</v>
      </c>
      <c r="D242" s="60">
        <v>1.0944</v>
      </c>
      <c r="E242" s="60">
        <v>1.1970000000000001</v>
      </c>
      <c r="F242" s="61">
        <f t="shared" si="9"/>
        <v>0.35000000000000003</v>
      </c>
      <c r="G242" s="61">
        <v>393.56</v>
      </c>
      <c r="H242" s="61">
        <v>391.01</v>
      </c>
      <c r="I242" s="62">
        <v>795</v>
      </c>
      <c r="J242" s="63">
        <f t="shared" si="10"/>
        <v>3.207547169811335E-3</v>
      </c>
      <c r="K242" s="62">
        <v>25</v>
      </c>
      <c r="L242" s="64">
        <f t="shared" si="11"/>
        <v>32.945332417967386</v>
      </c>
      <c r="M242" s="88" t="s">
        <v>374</v>
      </c>
    </row>
    <row r="243" spans="2:13" x14ac:dyDescent="0.2">
      <c r="B243" s="304">
        <v>170</v>
      </c>
      <c r="C243" s="60">
        <v>2.2799999999999998</v>
      </c>
      <c r="D243" s="60">
        <v>0.72960000000000003</v>
      </c>
      <c r="E243" s="60">
        <v>0.79800000000000004</v>
      </c>
      <c r="F243" s="61">
        <f t="shared" si="9"/>
        <v>0.35000000000000003</v>
      </c>
      <c r="G243" s="61">
        <v>393.2</v>
      </c>
      <c r="H243" s="61">
        <v>390.92</v>
      </c>
      <c r="I243" s="62">
        <v>471</v>
      </c>
      <c r="J243" s="63">
        <f t="shared" si="10"/>
        <v>4.8407643312101331E-3</v>
      </c>
      <c r="K243" s="62">
        <v>25</v>
      </c>
      <c r="L243" s="64">
        <f t="shared" si="11"/>
        <v>28.831734474764705</v>
      </c>
      <c r="M243" s="88" t="s">
        <v>465</v>
      </c>
    </row>
    <row r="244" spans="2:13" x14ac:dyDescent="0.2">
      <c r="B244" s="304">
        <v>171</v>
      </c>
      <c r="C244" s="60">
        <v>1.1399999999999999</v>
      </c>
      <c r="D244" s="60">
        <v>0.36480000000000001</v>
      </c>
      <c r="E244" s="60">
        <v>0.39900000000000002</v>
      </c>
      <c r="F244" s="61">
        <f t="shared" si="9"/>
        <v>0.35000000000000003</v>
      </c>
      <c r="G244" s="61">
        <v>390.8</v>
      </c>
      <c r="H244" s="61">
        <v>390.03</v>
      </c>
      <c r="I244" s="62">
        <v>521</v>
      </c>
      <c r="J244" s="63">
        <f t="shared" si="10"/>
        <v>1.4779270633398054E-3</v>
      </c>
      <c r="K244" s="62">
        <v>25</v>
      </c>
      <c r="L244" s="64">
        <f t="shared" si="11"/>
        <v>32.670835890930981</v>
      </c>
      <c r="M244" s="88" t="s">
        <v>375</v>
      </c>
    </row>
    <row r="245" spans="2:13" x14ac:dyDescent="0.2">
      <c r="B245" s="304">
        <v>172</v>
      </c>
      <c r="C245" s="60">
        <v>9.5</v>
      </c>
      <c r="D245" s="60">
        <v>3.04</v>
      </c>
      <c r="E245" s="60">
        <v>3.3250000000000002</v>
      </c>
      <c r="F245" s="61">
        <f t="shared" si="9"/>
        <v>0.35000000000000003</v>
      </c>
      <c r="G245" s="61">
        <v>394.14</v>
      </c>
      <c r="H245" s="61">
        <v>389.7</v>
      </c>
      <c r="I245" s="62">
        <v>1367</v>
      </c>
      <c r="J245" s="63">
        <f t="shared" si="10"/>
        <v>3.2479882955376723E-3</v>
      </c>
      <c r="K245" s="62">
        <v>25</v>
      </c>
      <c r="L245" s="64">
        <f t="shared" si="11"/>
        <v>38.576654182709305</v>
      </c>
      <c r="M245" s="88" t="s">
        <v>466</v>
      </c>
    </row>
    <row r="246" spans="2:13" x14ac:dyDescent="0.2">
      <c r="B246" s="304">
        <v>173</v>
      </c>
      <c r="C246" s="60">
        <v>20.62</v>
      </c>
      <c r="D246" s="60">
        <v>6.5983999999999998</v>
      </c>
      <c r="E246" s="60">
        <v>7.2169999999999996</v>
      </c>
      <c r="F246" s="61">
        <f t="shared" si="9"/>
        <v>0.35</v>
      </c>
      <c r="G246" s="61">
        <v>393.42</v>
      </c>
      <c r="H246" s="61">
        <v>389.7</v>
      </c>
      <c r="I246" s="62">
        <v>1560</v>
      </c>
      <c r="J246" s="63">
        <f t="shared" si="10"/>
        <v>2.3846153846154021E-3</v>
      </c>
      <c r="K246" s="62">
        <v>25</v>
      </c>
      <c r="L246" s="64">
        <f t="shared" si="11"/>
        <v>43.082017982918821</v>
      </c>
      <c r="M246" s="88" t="s">
        <v>376</v>
      </c>
    </row>
    <row r="247" spans="2:13" x14ac:dyDescent="0.2">
      <c r="B247" s="304">
        <v>174</v>
      </c>
      <c r="C247" s="60">
        <v>6.49</v>
      </c>
      <c r="D247" s="60">
        <v>2.0768</v>
      </c>
      <c r="E247" s="60">
        <v>2.2715000000000001</v>
      </c>
      <c r="F247" s="61">
        <f t="shared" si="9"/>
        <v>0.35</v>
      </c>
      <c r="G247" s="61">
        <v>395.48</v>
      </c>
      <c r="H247" s="61">
        <v>392.5</v>
      </c>
      <c r="I247" s="62">
        <v>796</v>
      </c>
      <c r="J247" s="63">
        <f t="shared" si="10"/>
        <v>3.743718592964847E-3</v>
      </c>
      <c r="K247" s="62">
        <v>25</v>
      </c>
      <c r="L247" s="64">
        <f t="shared" si="11"/>
        <v>32.363646623001422</v>
      </c>
      <c r="M247" s="88" t="s">
        <v>377</v>
      </c>
    </row>
    <row r="248" spans="2:13" x14ac:dyDescent="0.2">
      <c r="B248" s="304">
        <v>175</v>
      </c>
      <c r="C248" s="60">
        <v>10.07</v>
      </c>
      <c r="D248" s="60">
        <v>3.2223999999999999</v>
      </c>
      <c r="E248" s="60">
        <v>3.5245000000000002</v>
      </c>
      <c r="F248" s="61">
        <f t="shared" si="9"/>
        <v>0.35000000000000003</v>
      </c>
      <c r="G248" s="61">
        <v>390.16</v>
      </c>
      <c r="H248" s="61">
        <v>388.05</v>
      </c>
      <c r="I248" s="62">
        <v>975</v>
      </c>
      <c r="J248" s="63">
        <f t="shared" si="10"/>
        <v>2.1641025641025782E-3</v>
      </c>
      <c r="K248" s="62">
        <v>25</v>
      </c>
      <c r="L248" s="64">
        <f t="shared" si="11"/>
        <v>36.863071969315556</v>
      </c>
      <c r="M248" s="88" t="s">
        <v>378</v>
      </c>
    </row>
    <row r="249" spans="2:13" x14ac:dyDescent="0.2">
      <c r="B249" s="304">
        <v>176</v>
      </c>
      <c r="C249" s="60">
        <v>5.08</v>
      </c>
      <c r="D249" s="60">
        <v>1.6255999999999999</v>
      </c>
      <c r="E249" s="60">
        <v>1.778</v>
      </c>
      <c r="F249" s="61">
        <f t="shared" si="9"/>
        <v>0.35</v>
      </c>
      <c r="G249" s="61">
        <v>390.16</v>
      </c>
      <c r="H249" s="61">
        <v>388.05</v>
      </c>
      <c r="I249" s="62">
        <v>980</v>
      </c>
      <c r="J249" s="63">
        <f t="shared" si="10"/>
        <v>2.1530612244898099E-3</v>
      </c>
      <c r="K249" s="62">
        <v>25</v>
      </c>
      <c r="L249" s="64">
        <f t="shared" si="11"/>
        <v>36.954443262097669</v>
      </c>
      <c r="M249" s="88" t="s">
        <v>379</v>
      </c>
    </row>
    <row r="250" spans="2:13" x14ac:dyDescent="0.2">
      <c r="B250" s="304">
        <v>177</v>
      </c>
      <c r="C250" s="60">
        <v>2.42</v>
      </c>
      <c r="D250" s="60">
        <v>0.77439999999999998</v>
      </c>
      <c r="E250" s="60">
        <v>0.84699999999999998</v>
      </c>
      <c r="F250" s="61">
        <f t="shared" si="9"/>
        <v>0.35</v>
      </c>
      <c r="G250" s="61">
        <v>395.18</v>
      </c>
      <c r="H250" s="61">
        <v>388.56</v>
      </c>
      <c r="I250" s="62">
        <v>1498</v>
      </c>
      <c r="J250" s="63">
        <f t="shared" si="10"/>
        <v>4.4192256341789079E-3</v>
      </c>
      <c r="K250" s="62">
        <v>25</v>
      </c>
      <c r="L250" s="64">
        <f t="shared" si="11"/>
        <v>37.754698426383484</v>
      </c>
      <c r="M250" s="88" t="s">
        <v>385</v>
      </c>
    </row>
    <row r="251" spans="2:13" x14ac:dyDescent="0.2">
      <c r="B251" s="304">
        <v>178</v>
      </c>
      <c r="C251" s="60">
        <v>3.33</v>
      </c>
      <c r="D251" s="60">
        <v>1.0656000000000001</v>
      </c>
      <c r="E251" s="60">
        <v>1.1655</v>
      </c>
      <c r="F251" s="61">
        <f t="shared" si="9"/>
        <v>0.35</v>
      </c>
      <c r="G251" s="61">
        <v>395.86</v>
      </c>
      <c r="H251" s="61">
        <v>394.07</v>
      </c>
      <c r="I251" s="62">
        <v>561</v>
      </c>
      <c r="J251" s="63">
        <f t="shared" si="10"/>
        <v>3.190730837789698E-3</v>
      </c>
      <c r="K251" s="62">
        <v>25</v>
      </c>
      <c r="L251" s="64">
        <f t="shared" si="11"/>
        <v>30.621461564599777</v>
      </c>
      <c r="M251" s="88" t="s">
        <v>380</v>
      </c>
    </row>
    <row r="252" spans="2:13" x14ac:dyDescent="0.2">
      <c r="B252" s="304">
        <v>179</v>
      </c>
      <c r="C252" s="60">
        <v>1.78</v>
      </c>
      <c r="D252" s="60">
        <v>0.5696</v>
      </c>
      <c r="E252" s="60">
        <v>0.623</v>
      </c>
      <c r="F252" s="61">
        <f t="shared" ref="F252:F308" si="18">E252/C252</f>
        <v>0.35</v>
      </c>
      <c r="G252" s="61">
        <v>395.63</v>
      </c>
      <c r="H252" s="61">
        <v>394.07</v>
      </c>
      <c r="I252" s="62">
        <v>341</v>
      </c>
      <c r="J252" s="63">
        <f t="shared" ref="J252:J308" si="19">(G252-H252)/I252</f>
        <v>4.5747800586510333E-3</v>
      </c>
      <c r="K252" s="62">
        <v>25</v>
      </c>
      <c r="L252" s="64">
        <f t="shared" si="11"/>
        <v>27.853650214796694</v>
      </c>
      <c r="M252" s="88" t="s">
        <v>381</v>
      </c>
    </row>
    <row r="253" spans="2:13" x14ac:dyDescent="0.2">
      <c r="B253" s="304">
        <v>180</v>
      </c>
      <c r="C253" s="60">
        <v>1.89</v>
      </c>
      <c r="D253" s="60">
        <v>0.6048</v>
      </c>
      <c r="E253" s="60">
        <v>0.66149999999999998</v>
      </c>
      <c r="F253" s="61">
        <f t="shared" si="18"/>
        <v>0.35000000000000003</v>
      </c>
      <c r="G253" s="61">
        <v>394.76</v>
      </c>
      <c r="H253" s="61">
        <v>393.27</v>
      </c>
      <c r="I253" s="62">
        <v>549</v>
      </c>
      <c r="J253" s="63">
        <f t="shared" si="19"/>
        <v>2.7140255009107635E-3</v>
      </c>
      <c r="K253" s="62">
        <v>25</v>
      </c>
      <c r="L253" s="64">
        <f t="shared" ref="L253:L308" si="20">(I253)/((0.84*(J253^0.5)*(cell_GUTDEP^0.6666)/cell_NRD)*60)+K253</f>
        <v>30.964813258744073</v>
      </c>
      <c r="M253" s="88" t="s">
        <v>382</v>
      </c>
    </row>
    <row r="254" spans="2:13" x14ac:dyDescent="0.2">
      <c r="B254" s="307">
        <v>181</v>
      </c>
      <c r="C254" s="60">
        <v>1.9</v>
      </c>
      <c r="D254" s="60">
        <v>0.60799999999999998</v>
      </c>
      <c r="E254" s="60">
        <v>0.66500000000000004</v>
      </c>
      <c r="F254" s="61">
        <f t="shared" si="18"/>
        <v>0.35000000000000003</v>
      </c>
      <c r="G254" s="61">
        <v>395.38</v>
      </c>
      <c r="H254" s="61">
        <v>393.84</v>
      </c>
      <c r="I254" s="62">
        <v>552</v>
      </c>
      <c r="J254" s="63">
        <f t="shared" si="19"/>
        <v>2.7898550724638053E-3</v>
      </c>
      <c r="K254" s="62">
        <v>25</v>
      </c>
      <c r="L254" s="64">
        <f t="shared" si="20"/>
        <v>30.915340183708089</v>
      </c>
      <c r="M254" s="88" t="s">
        <v>383</v>
      </c>
    </row>
    <row r="255" spans="2:13" x14ac:dyDescent="0.2">
      <c r="B255" s="304">
        <v>182</v>
      </c>
      <c r="C255" s="60">
        <v>11.15</v>
      </c>
      <c r="D255" s="60">
        <v>3.5680000000000001</v>
      </c>
      <c r="E255" s="60">
        <v>3.9024999999999999</v>
      </c>
      <c r="F255" s="61">
        <f t="shared" si="18"/>
        <v>0.35</v>
      </c>
      <c r="G255" s="61">
        <v>393.1</v>
      </c>
      <c r="H255" s="61">
        <v>389.02</v>
      </c>
      <c r="I255" s="62">
        <v>732</v>
      </c>
      <c r="J255" s="63">
        <f t="shared" si="19"/>
        <v>5.5737704918033346E-3</v>
      </c>
      <c r="K255" s="62">
        <v>25</v>
      </c>
      <c r="L255" s="64">
        <f t="shared" si="20"/>
        <v>30.549680859688774</v>
      </c>
      <c r="M255" s="88" t="s">
        <v>384</v>
      </c>
    </row>
    <row r="256" spans="2:13" x14ac:dyDescent="0.2">
      <c r="B256" s="304">
        <v>183</v>
      </c>
      <c r="C256" s="60">
        <v>3.26</v>
      </c>
      <c r="D256" s="60">
        <v>1.0431999999999999</v>
      </c>
      <c r="E256" s="60">
        <v>1.141</v>
      </c>
      <c r="F256" s="61">
        <f t="shared" si="18"/>
        <v>0.35000000000000003</v>
      </c>
      <c r="G256" s="61">
        <v>391.6</v>
      </c>
      <c r="H256" s="61">
        <v>387.94</v>
      </c>
      <c r="I256" s="62">
        <v>994</v>
      </c>
      <c r="J256" s="63">
        <f t="shared" si="19"/>
        <v>3.682092555332017E-3</v>
      </c>
      <c r="K256" s="62">
        <v>25</v>
      </c>
      <c r="L256" s="64">
        <f t="shared" si="20"/>
        <v>34.271937663191117</v>
      </c>
      <c r="M256" s="88" t="s">
        <v>386</v>
      </c>
    </row>
    <row r="257" spans="1:17" x14ac:dyDescent="0.2">
      <c r="B257" s="304">
        <v>184</v>
      </c>
      <c r="C257" s="60">
        <v>3.35</v>
      </c>
      <c r="D257" s="60">
        <v>1.0720000000000001</v>
      </c>
      <c r="E257" s="60">
        <v>1.1725000000000001</v>
      </c>
      <c r="F257" s="61">
        <f t="shared" si="18"/>
        <v>0.35000000000000003</v>
      </c>
      <c r="G257" s="61">
        <v>393.1</v>
      </c>
      <c r="H257" s="61">
        <v>387.92</v>
      </c>
      <c r="I257" s="62">
        <v>962</v>
      </c>
      <c r="J257" s="63">
        <f t="shared" si="19"/>
        <v>5.3846153846153913E-3</v>
      </c>
      <c r="K257" s="62">
        <v>25</v>
      </c>
      <c r="L257" s="64">
        <f t="shared" si="20"/>
        <v>32.420432133318329</v>
      </c>
      <c r="M257" s="88" t="s">
        <v>387</v>
      </c>
    </row>
    <row r="258" spans="1:17" x14ac:dyDescent="0.2">
      <c r="B258" s="304">
        <v>185</v>
      </c>
      <c r="C258" s="60">
        <v>4.71</v>
      </c>
      <c r="D258" s="60">
        <v>1.5072000000000001</v>
      </c>
      <c r="E258" s="60">
        <v>1.6485000000000001</v>
      </c>
      <c r="F258" s="61">
        <f t="shared" si="18"/>
        <v>0.35000000000000003</v>
      </c>
      <c r="G258" s="61">
        <v>389.12</v>
      </c>
      <c r="H258" s="61">
        <v>387.27</v>
      </c>
      <c r="I258" s="308">
        <v>805</v>
      </c>
      <c r="J258" s="63">
        <f t="shared" si="19"/>
        <v>2.2981366459627612E-3</v>
      </c>
      <c r="K258" s="62">
        <v>25</v>
      </c>
      <c r="L258" s="64">
        <f t="shared" si="20"/>
        <v>34.504722146816384</v>
      </c>
      <c r="M258" s="88" t="s">
        <v>388</v>
      </c>
    </row>
    <row r="259" spans="1:17" x14ac:dyDescent="0.2">
      <c r="B259" s="304">
        <v>186</v>
      </c>
      <c r="C259" s="60">
        <v>5.8</v>
      </c>
      <c r="D259" s="60">
        <v>1.8560000000000001</v>
      </c>
      <c r="E259" s="60">
        <v>2.0299999999999998</v>
      </c>
      <c r="F259" s="61">
        <f t="shared" si="18"/>
        <v>0.35</v>
      </c>
      <c r="G259" s="61">
        <v>389.67</v>
      </c>
      <c r="H259" s="61">
        <v>387.15</v>
      </c>
      <c r="I259" s="62">
        <v>1075</v>
      </c>
      <c r="J259" s="63">
        <f t="shared" si="19"/>
        <v>2.3441860465116637E-3</v>
      </c>
      <c r="K259" s="62">
        <v>25</v>
      </c>
      <c r="L259" s="64">
        <f t="shared" si="20"/>
        <v>37.567355350273132</v>
      </c>
      <c r="M259" s="88" t="s">
        <v>389</v>
      </c>
    </row>
    <row r="260" spans="1:17" x14ac:dyDescent="0.2">
      <c r="B260" s="304">
        <v>187</v>
      </c>
      <c r="C260" s="60">
        <v>7.03</v>
      </c>
      <c r="D260" s="60">
        <v>2.2496</v>
      </c>
      <c r="E260" s="60">
        <v>2.4605000000000001</v>
      </c>
      <c r="F260" s="61">
        <f t="shared" si="18"/>
        <v>0.35000000000000003</v>
      </c>
      <c r="G260" s="61">
        <v>389.67</v>
      </c>
      <c r="H260" s="61">
        <v>387.15</v>
      </c>
      <c r="I260" s="62">
        <v>1352</v>
      </c>
      <c r="J260" s="63">
        <f t="shared" si="19"/>
        <v>1.8639053254438157E-3</v>
      </c>
      <c r="K260" s="62">
        <v>25</v>
      </c>
      <c r="L260" s="64">
        <f t="shared" si="20"/>
        <v>42.725407827461282</v>
      </c>
      <c r="M260" s="88" t="s">
        <v>390</v>
      </c>
    </row>
    <row r="261" spans="1:17" x14ac:dyDescent="0.2">
      <c r="B261" s="304">
        <v>188</v>
      </c>
      <c r="C261" s="60">
        <v>6.39</v>
      </c>
      <c r="D261" s="60">
        <v>2.0448</v>
      </c>
      <c r="E261" s="60">
        <v>2.2364999999999999</v>
      </c>
      <c r="F261" s="61">
        <f t="shared" si="18"/>
        <v>0.35000000000000003</v>
      </c>
      <c r="G261" s="61">
        <v>396.11</v>
      </c>
      <c r="H261" s="61">
        <v>388.17</v>
      </c>
      <c r="I261" s="62">
        <v>1308</v>
      </c>
      <c r="J261" s="63">
        <f t="shared" si="19"/>
        <v>6.070336391437307E-3</v>
      </c>
      <c r="K261" s="62">
        <v>25</v>
      </c>
      <c r="L261" s="64">
        <f t="shared" si="20"/>
        <v>34.502389630312344</v>
      </c>
      <c r="M261" s="88" t="s">
        <v>391</v>
      </c>
    </row>
    <row r="262" spans="1:17" x14ac:dyDescent="0.2">
      <c r="B262" s="304">
        <v>189</v>
      </c>
      <c r="C262" s="60">
        <v>4.26</v>
      </c>
      <c r="D262" s="60">
        <v>1.3632</v>
      </c>
      <c r="E262" s="60">
        <v>1.4910000000000001</v>
      </c>
      <c r="F262" s="61">
        <f t="shared" si="18"/>
        <v>0.35000000000000003</v>
      </c>
      <c r="G262" s="61">
        <v>389.29</v>
      </c>
      <c r="H262" s="61">
        <v>387.56</v>
      </c>
      <c r="I262" s="62">
        <v>860</v>
      </c>
      <c r="J262" s="63">
        <f t="shared" si="19"/>
        <v>2.0116279069767652E-3</v>
      </c>
      <c r="K262" s="62">
        <v>25</v>
      </c>
      <c r="L262" s="64">
        <f t="shared" si="20"/>
        <v>35.853157225998231</v>
      </c>
      <c r="M262" s="88" t="s">
        <v>392</v>
      </c>
    </row>
    <row r="263" spans="1:17" x14ac:dyDescent="0.2">
      <c r="B263" s="304">
        <v>190</v>
      </c>
      <c r="C263" s="60">
        <v>3.35</v>
      </c>
      <c r="D263" s="60">
        <v>1.0720000000000001</v>
      </c>
      <c r="E263" s="60">
        <v>1.1725000000000001</v>
      </c>
      <c r="F263" s="61">
        <f t="shared" si="18"/>
        <v>0.35000000000000003</v>
      </c>
      <c r="G263" s="61">
        <v>388.65</v>
      </c>
      <c r="H263" s="61">
        <v>387.56</v>
      </c>
      <c r="I263" s="62">
        <v>571</v>
      </c>
      <c r="J263" s="63">
        <f t="shared" si="19"/>
        <v>1.9089316987740367E-3</v>
      </c>
      <c r="K263" s="62">
        <v>25</v>
      </c>
      <c r="L263" s="64">
        <f t="shared" si="20"/>
        <v>32.397285532448123</v>
      </c>
      <c r="M263" s="88" t="s">
        <v>393</v>
      </c>
    </row>
    <row r="264" spans="1:17" x14ac:dyDescent="0.2">
      <c r="B264" s="304">
        <v>191</v>
      </c>
      <c r="C264" s="60">
        <v>3.4</v>
      </c>
      <c r="D264" s="60">
        <v>1.0464</v>
      </c>
      <c r="E264" s="60">
        <v>1.19</v>
      </c>
      <c r="F264" s="61">
        <f t="shared" si="18"/>
        <v>0.35</v>
      </c>
      <c r="G264" s="61">
        <v>388.29</v>
      </c>
      <c r="H264" s="61">
        <v>387.63</v>
      </c>
      <c r="I264" s="62">
        <v>837</v>
      </c>
      <c r="J264" s="63">
        <f t="shared" si="19"/>
        <v>7.8853046594985071E-4</v>
      </c>
      <c r="K264" s="62">
        <v>25</v>
      </c>
      <c r="L264" s="64">
        <f t="shared" si="20"/>
        <v>41.871266609516958</v>
      </c>
      <c r="M264" s="88" t="s">
        <v>394</v>
      </c>
    </row>
    <row r="265" spans="1:17" x14ac:dyDescent="0.2">
      <c r="B265" s="304">
        <v>192</v>
      </c>
      <c r="C265" s="60">
        <v>3.27</v>
      </c>
      <c r="D265" s="60">
        <v>1.0464</v>
      </c>
      <c r="E265" s="60">
        <v>1.1445000000000001</v>
      </c>
      <c r="F265" s="61">
        <f t="shared" si="18"/>
        <v>0.35000000000000003</v>
      </c>
      <c r="G265" s="61">
        <v>388.64</v>
      </c>
      <c r="H265" s="61">
        <v>387.19</v>
      </c>
      <c r="I265" s="62">
        <v>634</v>
      </c>
      <c r="J265" s="63">
        <f t="shared" si="19"/>
        <v>2.2870662460567643E-3</v>
      </c>
      <c r="K265" s="62">
        <v>25</v>
      </c>
      <c r="L265" s="64">
        <f t="shared" si="20"/>
        <v>32.50380180958043</v>
      </c>
      <c r="M265" s="88" t="s">
        <v>395</v>
      </c>
    </row>
    <row r="266" spans="1:17" x14ac:dyDescent="0.2">
      <c r="A266" s="602"/>
      <c r="B266" s="304">
        <v>193</v>
      </c>
      <c r="C266" s="60">
        <v>7.01</v>
      </c>
      <c r="D266" s="60">
        <v>2.2431999999999999</v>
      </c>
      <c r="E266" s="60">
        <v>2.4535</v>
      </c>
      <c r="F266" s="61">
        <f t="shared" si="18"/>
        <v>0.35000000000000003</v>
      </c>
      <c r="G266" s="61">
        <v>388.89</v>
      </c>
      <c r="H266" s="61">
        <v>387.19</v>
      </c>
      <c r="I266" s="62">
        <v>1024</v>
      </c>
      <c r="J266" s="63">
        <f t="shared" si="19"/>
        <v>1.6601562499999889E-3</v>
      </c>
      <c r="K266" s="62">
        <v>25</v>
      </c>
      <c r="L266" s="64">
        <f t="shared" si="20"/>
        <v>39.225152912004063</v>
      </c>
      <c r="M266" s="88" t="s">
        <v>396</v>
      </c>
    </row>
    <row r="267" spans="1:17" x14ac:dyDescent="0.2">
      <c r="B267" s="309">
        <v>194</v>
      </c>
      <c r="C267" s="310">
        <v>5.32</v>
      </c>
      <c r="D267" s="310">
        <v>3.4580000000000002</v>
      </c>
      <c r="E267" s="310">
        <v>3.8037999999999998</v>
      </c>
      <c r="F267" s="311">
        <f t="shared" si="18"/>
        <v>0.71499999999999997</v>
      </c>
      <c r="G267" s="311">
        <v>394.9</v>
      </c>
      <c r="H267" s="311">
        <v>392</v>
      </c>
      <c r="I267" s="312">
        <v>520</v>
      </c>
      <c r="J267" s="313">
        <f t="shared" si="19"/>
        <v>5.5769230769230332E-3</v>
      </c>
      <c r="K267" s="312">
        <v>15</v>
      </c>
      <c r="L267" s="314">
        <f t="shared" si="20"/>
        <v>18.941281780800129</v>
      </c>
      <c r="M267" s="88" t="s">
        <v>397</v>
      </c>
      <c r="N267" s="98"/>
      <c r="O267" s="98"/>
      <c r="P267" s="98"/>
      <c r="Q267" s="98"/>
    </row>
    <row r="268" spans="1:17" x14ac:dyDescent="0.2">
      <c r="A268" s="609"/>
      <c r="B268" s="309">
        <v>195</v>
      </c>
      <c r="C268" s="310">
        <v>15.95</v>
      </c>
      <c r="D268" s="310">
        <v>10.36</v>
      </c>
      <c r="E268" s="310">
        <v>11.404299999999999</v>
      </c>
      <c r="F268" s="311">
        <f t="shared" si="18"/>
        <v>0.71500313479623823</v>
      </c>
      <c r="G268" s="311">
        <v>393.15</v>
      </c>
      <c r="H268" s="311">
        <v>392</v>
      </c>
      <c r="I268" s="312">
        <v>700</v>
      </c>
      <c r="J268" s="313">
        <f t="shared" si="19"/>
        <v>1.6428571428571104E-3</v>
      </c>
      <c r="K268" s="312">
        <v>15</v>
      </c>
      <c r="L268" s="314">
        <f t="shared" si="20"/>
        <v>24.775289071731549</v>
      </c>
      <c r="M268" s="88" t="s">
        <v>398</v>
      </c>
      <c r="N268" s="98"/>
      <c r="O268" s="98"/>
      <c r="P268" s="98"/>
      <c r="Q268" s="98"/>
    </row>
    <row r="269" spans="1:17" x14ac:dyDescent="0.2">
      <c r="A269" s="609"/>
      <c r="B269" s="309">
        <v>196</v>
      </c>
      <c r="C269" s="310">
        <v>14.48</v>
      </c>
      <c r="D269" s="310">
        <v>9.4120000000000008</v>
      </c>
      <c r="E269" s="310">
        <v>10.353199999999999</v>
      </c>
      <c r="F269" s="311">
        <f t="shared" si="18"/>
        <v>0.71499999999999997</v>
      </c>
      <c r="G269" s="311">
        <v>397</v>
      </c>
      <c r="H269" s="311">
        <v>392.5</v>
      </c>
      <c r="I269" s="312">
        <v>780</v>
      </c>
      <c r="J269" s="313">
        <f t="shared" si="19"/>
        <v>5.7692307692307696E-3</v>
      </c>
      <c r="K269" s="312">
        <v>15</v>
      </c>
      <c r="L269" s="314">
        <f t="shared" si="20"/>
        <v>20.812555549375467</v>
      </c>
      <c r="M269" s="88" t="s">
        <v>399</v>
      </c>
      <c r="N269" s="98"/>
      <c r="O269" s="98"/>
      <c r="P269" s="98"/>
      <c r="Q269" s="98"/>
    </row>
    <row r="270" spans="1:17" x14ac:dyDescent="0.2">
      <c r="A270" s="609"/>
      <c r="B270" s="309">
        <v>197</v>
      </c>
      <c r="C270" s="310">
        <v>4.99</v>
      </c>
      <c r="D270" s="310">
        <v>3.2435</v>
      </c>
      <c r="E270" s="310">
        <v>3.5678999999999998</v>
      </c>
      <c r="F270" s="311">
        <f t="shared" si="18"/>
        <v>0.71501002004008007</v>
      </c>
      <c r="G270" s="311">
        <v>394</v>
      </c>
      <c r="H270" s="311">
        <v>391.7</v>
      </c>
      <c r="I270" s="312">
        <v>660</v>
      </c>
      <c r="J270" s="313">
        <f t="shared" si="19"/>
        <v>3.4848484848485021E-3</v>
      </c>
      <c r="K270" s="312">
        <v>15</v>
      </c>
      <c r="L270" s="314">
        <f t="shared" si="20"/>
        <v>21.328247475264448</v>
      </c>
      <c r="M270" s="88" t="s">
        <v>400</v>
      </c>
      <c r="N270" s="98"/>
      <c r="O270" s="98"/>
      <c r="P270" s="98"/>
      <c r="Q270" s="98"/>
    </row>
    <row r="271" spans="1:17" x14ac:dyDescent="0.2">
      <c r="A271" s="609"/>
      <c r="B271" s="315">
        <v>198</v>
      </c>
      <c r="C271" s="245">
        <v>2.88</v>
      </c>
      <c r="D271" s="245">
        <v>0.92159999999999997</v>
      </c>
      <c r="E271" s="245">
        <v>1.008</v>
      </c>
      <c r="F271" s="246">
        <f t="shared" si="18"/>
        <v>0.35000000000000003</v>
      </c>
      <c r="G271" s="246">
        <v>392.1</v>
      </c>
      <c r="H271" s="246">
        <v>390.9</v>
      </c>
      <c r="I271" s="247">
        <v>517</v>
      </c>
      <c r="J271" s="248">
        <f t="shared" si="19"/>
        <v>2.3210831721470898E-3</v>
      </c>
      <c r="K271" s="247">
        <v>25</v>
      </c>
      <c r="L271" s="249">
        <f t="shared" si="20"/>
        <v>31.074026199371009</v>
      </c>
      <c r="M271" s="88" t="s">
        <v>401</v>
      </c>
      <c r="N271" s="98"/>
      <c r="O271" s="98"/>
      <c r="P271" s="98"/>
      <c r="Q271" s="98"/>
    </row>
    <row r="272" spans="1:17" x14ac:dyDescent="0.2">
      <c r="A272" s="609"/>
      <c r="B272" s="315">
        <v>199</v>
      </c>
      <c r="C272" s="245">
        <v>6.15</v>
      </c>
      <c r="D272" s="245">
        <v>1.968</v>
      </c>
      <c r="E272" s="245">
        <v>2.1524999999999999</v>
      </c>
      <c r="F272" s="246">
        <f t="shared" si="18"/>
        <v>0.35</v>
      </c>
      <c r="G272" s="246">
        <v>392.73</v>
      </c>
      <c r="H272" s="246">
        <v>390.8</v>
      </c>
      <c r="I272" s="247">
        <v>706</v>
      </c>
      <c r="J272" s="248">
        <f t="shared" si="19"/>
        <v>2.73371104815865E-3</v>
      </c>
      <c r="K272" s="247">
        <v>25</v>
      </c>
      <c r="L272" s="249">
        <f t="shared" si="20"/>
        <v>32.642929723954666</v>
      </c>
      <c r="M272" s="88" t="s">
        <v>402</v>
      </c>
      <c r="N272" s="98"/>
      <c r="O272" s="98"/>
      <c r="P272" s="98"/>
      <c r="Q272" s="98"/>
    </row>
    <row r="273" spans="1:17" x14ac:dyDescent="0.2">
      <c r="A273" s="609"/>
      <c r="B273" s="315">
        <v>200</v>
      </c>
      <c r="C273" s="245">
        <v>8.65</v>
      </c>
      <c r="D273" s="245">
        <v>2.7679999999999998</v>
      </c>
      <c r="E273" s="245">
        <v>3.0274999999999999</v>
      </c>
      <c r="F273" s="246">
        <f t="shared" si="18"/>
        <v>0.35</v>
      </c>
      <c r="G273" s="246">
        <v>393.75</v>
      </c>
      <c r="H273" s="246">
        <v>390.6</v>
      </c>
      <c r="I273" s="247">
        <v>1075</v>
      </c>
      <c r="J273" s="248">
        <f t="shared" si="19"/>
        <v>2.9302325581395138E-3</v>
      </c>
      <c r="K273" s="247">
        <v>25</v>
      </c>
      <c r="L273" s="249">
        <f t="shared" si="20"/>
        <v>36.240584344242691</v>
      </c>
      <c r="M273" s="88" t="s">
        <v>403</v>
      </c>
      <c r="N273" s="98"/>
      <c r="O273" s="98"/>
      <c r="P273" s="98"/>
      <c r="Q273" s="98"/>
    </row>
    <row r="274" spans="1:17" x14ac:dyDescent="0.2">
      <c r="A274" s="609"/>
      <c r="B274" s="315">
        <v>201</v>
      </c>
      <c r="C274" s="245">
        <v>3.23</v>
      </c>
      <c r="D274" s="245">
        <v>1.0336000000000001</v>
      </c>
      <c r="E274" s="245">
        <v>1.1305000000000001</v>
      </c>
      <c r="F274" s="246">
        <f t="shared" si="18"/>
        <v>0.35000000000000003</v>
      </c>
      <c r="G274" s="246">
        <v>392.5</v>
      </c>
      <c r="H274" s="246">
        <v>390.6</v>
      </c>
      <c r="I274" s="247">
        <v>464</v>
      </c>
      <c r="J274" s="248">
        <f t="shared" si="19"/>
        <v>4.0948275862068475E-3</v>
      </c>
      <c r="K274" s="247">
        <v>25</v>
      </c>
      <c r="L274" s="249">
        <f t="shared" si="20"/>
        <v>29.104229518501477</v>
      </c>
      <c r="M274" s="88" t="s">
        <v>404</v>
      </c>
      <c r="N274" s="98"/>
      <c r="O274" s="98"/>
      <c r="P274" s="98"/>
      <c r="Q274" s="98"/>
    </row>
    <row r="275" spans="1:17" x14ac:dyDescent="0.2">
      <c r="A275" s="609"/>
      <c r="B275" s="315">
        <v>202</v>
      </c>
      <c r="C275" s="245">
        <v>0.74</v>
      </c>
      <c r="D275" s="245">
        <v>0.66600000000000004</v>
      </c>
      <c r="E275" s="245">
        <v>0.66600000000000004</v>
      </c>
      <c r="F275" s="246">
        <f t="shared" si="18"/>
        <v>0.9</v>
      </c>
      <c r="G275" s="246">
        <v>392.46</v>
      </c>
      <c r="H275" s="246">
        <v>391.55</v>
      </c>
      <c r="I275" s="247">
        <v>364</v>
      </c>
      <c r="J275" s="248">
        <f t="shared" si="19"/>
        <v>2.4999999999999124E-3</v>
      </c>
      <c r="K275" s="247">
        <v>5</v>
      </c>
      <c r="L275" s="249">
        <f t="shared" si="20"/>
        <v>9.1206226797492871</v>
      </c>
      <c r="M275" s="88" t="s">
        <v>405</v>
      </c>
      <c r="N275" s="98"/>
      <c r="O275" s="98"/>
      <c r="P275" s="98"/>
      <c r="Q275" s="98"/>
    </row>
    <row r="276" spans="1:17" x14ac:dyDescent="0.2">
      <c r="A276" s="609"/>
      <c r="B276" s="315">
        <v>203</v>
      </c>
      <c r="C276" s="245">
        <v>2.82</v>
      </c>
      <c r="D276" s="245">
        <v>1.9</v>
      </c>
      <c r="E276" s="245">
        <v>2.2000000000000002</v>
      </c>
      <c r="F276" s="246">
        <f t="shared" si="18"/>
        <v>0.78014184397163133</v>
      </c>
      <c r="G276" s="246">
        <v>392.26</v>
      </c>
      <c r="H276" s="246">
        <v>391.57</v>
      </c>
      <c r="I276" s="247">
        <v>364</v>
      </c>
      <c r="J276" s="248">
        <f t="shared" si="19"/>
        <v>1.8956043956043893E-3</v>
      </c>
      <c r="K276" s="247">
        <v>15</v>
      </c>
      <c r="L276" s="249">
        <f t="shared" si="20"/>
        <v>19.732155413956168</v>
      </c>
      <c r="M276" s="270" t="s">
        <v>406</v>
      </c>
      <c r="N276" s="98"/>
      <c r="O276" s="98"/>
      <c r="P276" s="98"/>
      <c r="Q276" s="98"/>
    </row>
    <row r="277" spans="1:17" x14ac:dyDescent="0.2">
      <c r="A277" s="609"/>
      <c r="B277" s="315">
        <v>204</v>
      </c>
      <c r="C277" s="245">
        <v>7.85</v>
      </c>
      <c r="D277" s="245">
        <v>2.512</v>
      </c>
      <c r="E277" s="245">
        <v>3.0144000000000002</v>
      </c>
      <c r="F277" s="246">
        <f t="shared" si="18"/>
        <v>0.38400000000000006</v>
      </c>
      <c r="G277" s="246">
        <v>394.5</v>
      </c>
      <c r="H277" s="246">
        <v>391.1</v>
      </c>
      <c r="I277" s="247">
        <v>1108</v>
      </c>
      <c r="J277" s="248">
        <f t="shared" si="19"/>
        <v>3.0685920577617123E-3</v>
      </c>
      <c r="K277" s="247">
        <v>20</v>
      </c>
      <c r="L277" s="249">
        <f t="shared" si="20"/>
        <v>31.321439531256043</v>
      </c>
      <c r="M277" s="88" t="s">
        <v>407</v>
      </c>
      <c r="N277" s="98"/>
      <c r="O277" s="98"/>
      <c r="P277" s="98"/>
      <c r="Q277" s="98"/>
    </row>
    <row r="278" spans="1:17" x14ac:dyDescent="0.2">
      <c r="A278" s="609"/>
      <c r="B278" s="315">
        <v>205</v>
      </c>
      <c r="C278" s="245">
        <v>1.74</v>
      </c>
      <c r="D278" s="245">
        <v>1.5660000000000001</v>
      </c>
      <c r="E278" s="245">
        <v>1.5660000000000001</v>
      </c>
      <c r="F278" s="246">
        <f t="shared" si="18"/>
        <v>0.9</v>
      </c>
      <c r="G278" s="246">
        <v>394.5</v>
      </c>
      <c r="H278" s="246">
        <v>392.1</v>
      </c>
      <c r="I278" s="247">
        <v>1189</v>
      </c>
      <c r="J278" s="248">
        <f t="shared" si="19"/>
        <v>2.018502943650107E-3</v>
      </c>
      <c r="K278" s="247">
        <v>5</v>
      </c>
      <c r="L278" s="249">
        <f t="shared" si="20"/>
        <v>19.97954528724047</v>
      </c>
      <c r="M278" s="88" t="s">
        <v>408</v>
      </c>
      <c r="N278" s="98"/>
      <c r="O278" s="98"/>
      <c r="P278" s="98"/>
      <c r="Q278" s="98"/>
    </row>
    <row r="279" spans="1:17" x14ac:dyDescent="0.2">
      <c r="A279" s="609"/>
      <c r="B279" s="244">
        <v>206</v>
      </c>
      <c r="C279" s="245">
        <v>5.17</v>
      </c>
      <c r="D279" s="245">
        <v>1.6544000000000001</v>
      </c>
      <c r="E279" s="245">
        <v>1.9853000000000001</v>
      </c>
      <c r="F279" s="246">
        <f t="shared" si="18"/>
        <v>0.38400386847195361</v>
      </c>
      <c r="G279" s="246">
        <v>401.36</v>
      </c>
      <c r="H279" s="246">
        <v>400.16</v>
      </c>
      <c r="I279" s="247">
        <v>637</v>
      </c>
      <c r="J279" s="248">
        <f t="shared" si="19"/>
        <v>1.8838304552590088E-3</v>
      </c>
      <c r="K279" s="247">
        <v>20</v>
      </c>
      <c r="L279" s="249">
        <f t="shared" si="20"/>
        <v>28.307110639315809</v>
      </c>
      <c r="M279" s="88" t="s">
        <v>409</v>
      </c>
      <c r="N279" s="98"/>
      <c r="O279" s="98"/>
      <c r="P279" s="98"/>
      <c r="Q279" s="98"/>
    </row>
    <row r="280" spans="1:17" x14ac:dyDescent="0.2">
      <c r="A280" s="609"/>
      <c r="B280" s="244">
        <v>207</v>
      </c>
      <c r="C280" s="245">
        <v>3.64</v>
      </c>
      <c r="D280" s="245">
        <v>1.1648000000000001</v>
      </c>
      <c r="E280" s="245">
        <v>1.3977999999999999</v>
      </c>
      <c r="F280" s="246">
        <f t="shared" si="18"/>
        <v>0.38401098901098896</v>
      </c>
      <c r="G280" s="246">
        <v>401.38</v>
      </c>
      <c r="H280" s="246">
        <v>400.13</v>
      </c>
      <c r="I280" s="247">
        <v>659</v>
      </c>
      <c r="J280" s="248">
        <f t="shared" si="19"/>
        <v>1.8968133535660092E-3</v>
      </c>
      <c r="K280" s="247">
        <v>20</v>
      </c>
      <c r="L280" s="249">
        <f t="shared" si="20"/>
        <v>28.564550699875003</v>
      </c>
      <c r="M280" s="88" t="s">
        <v>410</v>
      </c>
      <c r="N280" s="98"/>
      <c r="O280" s="98"/>
      <c r="P280" s="98"/>
      <c r="Q280" s="98"/>
    </row>
    <row r="281" spans="1:17" x14ac:dyDescent="0.2">
      <c r="A281" s="609"/>
      <c r="B281" s="244">
        <v>208</v>
      </c>
      <c r="C281" s="245">
        <v>7.15</v>
      </c>
      <c r="D281" s="245">
        <v>2.2879999999999998</v>
      </c>
      <c r="E281" s="245">
        <v>2.7456</v>
      </c>
      <c r="F281" s="246">
        <f t="shared" si="18"/>
        <v>0.38400000000000001</v>
      </c>
      <c r="G281" s="246">
        <v>400.57</v>
      </c>
      <c r="H281" s="246">
        <v>399.18</v>
      </c>
      <c r="I281" s="247">
        <v>683</v>
      </c>
      <c r="J281" s="248">
        <f t="shared" si="19"/>
        <v>2.0351390922400971E-3</v>
      </c>
      <c r="K281" s="247">
        <v>20</v>
      </c>
      <c r="L281" s="249">
        <f t="shared" si="20"/>
        <v>28.569492926280777</v>
      </c>
      <c r="M281" s="88" t="s">
        <v>411</v>
      </c>
      <c r="N281" s="98"/>
      <c r="O281" s="98"/>
      <c r="P281" s="98"/>
      <c r="Q281" s="98"/>
    </row>
    <row r="282" spans="1:17" x14ac:dyDescent="0.2">
      <c r="A282" s="609"/>
      <c r="B282" s="244">
        <v>209</v>
      </c>
      <c r="C282" s="245">
        <v>5.77</v>
      </c>
      <c r="D282" s="245">
        <v>1.8464</v>
      </c>
      <c r="E282" s="245">
        <v>2.2157</v>
      </c>
      <c r="F282" s="246">
        <f t="shared" si="18"/>
        <v>0.38400346620450609</v>
      </c>
      <c r="G282" s="246">
        <v>402.13</v>
      </c>
      <c r="H282" s="246">
        <v>399.22</v>
      </c>
      <c r="I282" s="247">
        <v>799</v>
      </c>
      <c r="J282" s="248">
        <f t="shared" si="19"/>
        <v>3.6420525657070942E-3</v>
      </c>
      <c r="K282" s="247">
        <v>20</v>
      </c>
      <c r="L282" s="249">
        <f t="shared" si="20"/>
        <v>27.493852551743618</v>
      </c>
      <c r="M282" s="88" t="s">
        <v>412</v>
      </c>
      <c r="N282" s="98"/>
      <c r="O282" s="98"/>
      <c r="P282" s="98"/>
      <c r="Q282" s="98"/>
    </row>
    <row r="283" spans="1:17" x14ac:dyDescent="0.2">
      <c r="A283" s="609"/>
      <c r="B283" s="244">
        <v>210</v>
      </c>
      <c r="C283" s="245">
        <v>13.11</v>
      </c>
      <c r="D283" s="245">
        <v>9.3000000000000007</v>
      </c>
      <c r="E283" s="245">
        <v>11</v>
      </c>
      <c r="F283" s="246">
        <f t="shared" si="18"/>
        <v>0.83905415713196041</v>
      </c>
      <c r="G283" s="246">
        <v>406.9</v>
      </c>
      <c r="H283" s="246">
        <v>400.82</v>
      </c>
      <c r="I283" s="247">
        <v>1217</v>
      </c>
      <c r="J283" s="248">
        <f t="shared" si="19"/>
        <v>4.9958915365653118E-3</v>
      </c>
      <c r="K283" s="247">
        <v>10</v>
      </c>
      <c r="L283" s="249">
        <f t="shared" si="20"/>
        <v>19.745756291483893</v>
      </c>
      <c r="M283" s="270" t="s">
        <v>413</v>
      </c>
      <c r="N283" s="98"/>
      <c r="O283" s="98"/>
      <c r="P283" s="98"/>
      <c r="Q283" s="98"/>
    </row>
    <row r="284" spans="1:17" x14ac:dyDescent="0.2">
      <c r="A284" s="609"/>
      <c r="B284" s="244">
        <v>211</v>
      </c>
      <c r="C284" s="245">
        <v>3.64</v>
      </c>
      <c r="D284" s="245">
        <v>2.2088000000000001</v>
      </c>
      <c r="E284" s="245">
        <v>2.3266</v>
      </c>
      <c r="F284" s="246">
        <f t="shared" si="18"/>
        <v>0.63917582417582419</v>
      </c>
      <c r="G284" s="246">
        <v>402.93</v>
      </c>
      <c r="H284" s="246">
        <v>400.92</v>
      </c>
      <c r="I284" s="247">
        <v>1211</v>
      </c>
      <c r="J284" s="248">
        <f t="shared" si="19"/>
        <v>1.659785301403791E-3</v>
      </c>
      <c r="K284" s="247">
        <v>5</v>
      </c>
      <c r="L284" s="249">
        <f t="shared" si="20"/>
        <v>21.824790115754375</v>
      </c>
      <c r="M284" s="270" t="s">
        <v>414</v>
      </c>
      <c r="N284" s="98"/>
      <c r="O284" s="98"/>
      <c r="P284" s="98"/>
      <c r="Q284" s="98"/>
    </row>
    <row r="285" spans="1:17" x14ac:dyDescent="0.2">
      <c r="A285" s="609"/>
      <c r="B285" s="309">
        <v>212</v>
      </c>
      <c r="C285" s="310">
        <v>9.89</v>
      </c>
      <c r="D285" s="310">
        <v>6.4284999999999997</v>
      </c>
      <c r="E285" s="310">
        <v>7.0713999999999997</v>
      </c>
      <c r="F285" s="311">
        <f t="shared" si="18"/>
        <v>0.715005055611729</v>
      </c>
      <c r="G285" s="311">
        <v>400.14</v>
      </c>
      <c r="H285" s="311">
        <v>394.5</v>
      </c>
      <c r="I285" s="312">
        <v>1930</v>
      </c>
      <c r="J285" s="313">
        <f t="shared" si="19"/>
        <v>2.9222797927461069E-3</v>
      </c>
      <c r="K285" s="312">
        <v>15</v>
      </c>
      <c r="L285" s="314">
        <f t="shared" si="20"/>
        <v>35.208211601047509</v>
      </c>
      <c r="M285" s="88" t="s">
        <v>415</v>
      </c>
      <c r="N285" s="98"/>
      <c r="O285" s="98"/>
      <c r="P285" s="98"/>
      <c r="Q285" s="98"/>
    </row>
    <row r="286" spans="1:17" x14ac:dyDescent="0.2">
      <c r="A286" s="609"/>
      <c r="B286" s="309">
        <v>213</v>
      </c>
      <c r="C286" s="310">
        <v>0.95</v>
      </c>
      <c r="D286" s="310">
        <v>0.85499999999999998</v>
      </c>
      <c r="E286" s="310">
        <v>0.85499999999999998</v>
      </c>
      <c r="F286" s="311">
        <f t="shared" si="18"/>
        <v>0.9</v>
      </c>
      <c r="G286" s="311">
        <v>395.3</v>
      </c>
      <c r="H286" s="311">
        <v>394.9</v>
      </c>
      <c r="I286" s="312">
        <v>184</v>
      </c>
      <c r="J286" s="313">
        <f t="shared" si="19"/>
        <v>2.1739130434784461E-3</v>
      </c>
      <c r="K286" s="312">
        <v>5</v>
      </c>
      <c r="L286" s="314">
        <f t="shared" si="20"/>
        <v>7.2337173014258518</v>
      </c>
      <c r="M286" s="88" t="s">
        <v>416</v>
      </c>
      <c r="N286" s="98"/>
      <c r="O286" s="98"/>
      <c r="P286" s="98"/>
      <c r="Q286" s="98"/>
    </row>
    <row r="287" spans="1:17" x14ac:dyDescent="0.2">
      <c r="A287" s="609"/>
      <c r="B287" s="309">
        <v>214</v>
      </c>
      <c r="C287" s="310">
        <v>11.34</v>
      </c>
      <c r="D287" s="310">
        <v>7.3710000000000004</v>
      </c>
      <c r="E287" s="310">
        <v>8.1081000000000003</v>
      </c>
      <c r="F287" s="311">
        <f t="shared" si="18"/>
        <v>0.71500000000000008</v>
      </c>
      <c r="G287" s="311">
        <v>399.67</v>
      </c>
      <c r="H287" s="311">
        <v>394.5</v>
      </c>
      <c r="I287" s="312">
        <v>1650</v>
      </c>
      <c r="J287" s="313">
        <f t="shared" si="19"/>
        <v>3.133333333333343E-3</v>
      </c>
      <c r="K287" s="312">
        <v>15</v>
      </c>
      <c r="L287" s="314">
        <f t="shared" si="20"/>
        <v>31.684458421877412</v>
      </c>
      <c r="M287" s="88" t="s">
        <v>417</v>
      </c>
      <c r="N287" s="98"/>
      <c r="O287" s="98"/>
      <c r="P287" s="98"/>
      <c r="Q287" s="98"/>
    </row>
    <row r="288" spans="1:17" x14ac:dyDescent="0.2">
      <c r="A288" s="609"/>
      <c r="B288" s="309">
        <v>215</v>
      </c>
      <c r="C288" s="310">
        <v>7.23</v>
      </c>
      <c r="D288" s="310">
        <v>4.6994999999999996</v>
      </c>
      <c r="E288" s="310">
        <v>5.1695000000000002</v>
      </c>
      <c r="F288" s="311">
        <f t="shared" si="18"/>
        <v>0.71500691562932228</v>
      </c>
      <c r="G288" s="311">
        <v>398.5</v>
      </c>
      <c r="H288" s="311">
        <v>395</v>
      </c>
      <c r="I288" s="312">
        <v>840</v>
      </c>
      <c r="J288" s="313">
        <f t="shared" si="19"/>
        <v>4.1666666666666666E-3</v>
      </c>
      <c r="K288" s="312">
        <v>15</v>
      </c>
      <c r="L288" s="314">
        <f t="shared" si="20"/>
        <v>22.365739852926133</v>
      </c>
      <c r="M288" s="88" t="s">
        <v>418</v>
      </c>
      <c r="N288" s="98"/>
      <c r="O288" s="98"/>
      <c r="P288" s="98"/>
      <c r="Q288" s="98"/>
    </row>
    <row r="289" spans="1:17" x14ac:dyDescent="0.2">
      <c r="A289" s="609"/>
      <c r="B289" s="309">
        <v>216</v>
      </c>
      <c r="C289" s="310">
        <v>0.62</v>
      </c>
      <c r="D289" s="310">
        <v>0.55800000000000005</v>
      </c>
      <c r="E289" s="310">
        <v>0.55800000000000005</v>
      </c>
      <c r="F289" s="311">
        <f t="shared" si="18"/>
        <v>0.90000000000000013</v>
      </c>
      <c r="G289" s="311">
        <v>397.5</v>
      </c>
      <c r="H289" s="311">
        <v>396.5</v>
      </c>
      <c r="I289" s="312">
        <v>590</v>
      </c>
      <c r="J289" s="313">
        <f t="shared" si="19"/>
        <v>1.6949152542372881E-3</v>
      </c>
      <c r="K289" s="312">
        <v>5</v>
      </c>
      <c r="L289" s="314">
        <f t="shared" si="20"/>
        <v>13.111655288801833</v>
      </c>
      <c r="M289" s="88" t="s">
        <v>419</v>
      </c>
      <c r="N289" s="98"/>
      <c r="O289" s="98"/>
      <c r="P289" s="98"/>
      <c r="Q289" s="98"/>
    </row>
    <row r="290" spans="1:17" x14ac:dyDescent="0.2">
      <c r="A290" s="609"/>
      <c r="B290" s="309">
        <v>217</v>
      </c>
      <c r="C290" s="310">
        <v>13.09</v>
      </c>
      <c r="D290" s="310">
        <v>8.5084999999999997</v>
      </c>
      <c r="E290" s="310">
        <v>9.3594000000000008</v>
      </c>
      <c r="F290" s="311">
        <f t="shared" si="18"/>
        <v>0.71500381970970217</v>
      </c>
      <c r="G290" s="311">
        <v>400.4</v>
      </c>
      <c r="H290" s="311">
        <v>396.5</v>
      </c>
      <c r="I290" s="312">
        <v>1470</v>
      </c>
      <c r="J290" s="313">
        <f t="shared" si="19"/>
        <v>2.6530612244897805E-3</v>
      </c>
      <c r="K290" s="312">
        <v>15</v>
      </c>
      <c r="L290" s="314">
        <f t="shared" si="20"/>
        <v>31.153817342642924</v>
      </c>
      <c r="M290" s="88" t="s">
        <v>420</v>
      </c>
      <c r="N290" s="98"/>
      <c r="O290" s="98"/>
      <c r="P290" s="98"/>
      <c r="Q290" s="98"/>
    </row>
    <row r="291" spans="1:17" x14ac:dyDescent="0.2">
      <c r="A291" s="609"/>
      <c r="B291" s="244">
        <v>218</v>
      </c>
      <c r="C291" s="245">
        <v>7.35</v>
      </c>
      <c r="D291" s="245">
        <v>2.3519999999999999</v>
      </c>
      <c r="E291" s="245">
        <v>2.8224</v>
      </c>
      <c r="F291" s="246">
        <f t="shared" si="18"/>
        <v>0.38400000000000001</v>
      </c>
      <c r="G291" s="246">
        <v>402.1</v>
      </c>
      <c r="H291" s="246">
        <v>397.4</v>
      </c>
      <c r="I291" s="247">
        <v>1267</v>
      </c>
      <c r="J291" s="248">
        <f t="shared" si="19"/>
        <v>3.7095501183899331E-3</v>
      </c>
      <c r="K291" s="247">
        <v>20</v>
      </c>
      <c r="L291" s="249">
        <f t="shared" si="20"/>
        <v>31.774635249514027</v>
      </c>
      <c r="M291" s="88" t="s">
        <v>421</v>
      </c>
      <c r="N291" s="98"/>
      <c r="O291" s="98"/>
      <c r="P291" s="98"/>
      <c r="Q291" s="98"/>
    </row>
    <row r="292" spans="1:17" x14ac:dyDescent="0.2">
      <c r="A292" s="609"/>
      <c r="B292" s="244">
        <v>219</v>
      </c>
      <c r="C292" s="245">
        <v>10.99</v>
      </c>
      <c r="D292" s="245">
        <v>3.5167999999999999</v>
      </c>
      <c r="E292" s="245">
        <v>4.2202000000000002</v>
      </c>
      <c r="F292" s="246">
        <f t="shared" si="18"/>
        <v>0.38400363967242951</v>
      </c>
      <c r="G292" s="246">
        <v>401.77</v>
      </c>
      <c r="H292" s="246">
        <v>397.2</v>
      </c>
      <c r="I292" s="247">
        <v>1732</v>
      </c>
      <c r="J292" s="248">
        <f t="shared" si="19"/>
        <v>2.6385681293302501E-3</v>
      </c>
      <c r="K292" s="247">
        <v>20</v>
      </c>
      <c r="L292" s="249">
        <f t="shared" si="20"/>
        <v>39.085133436022957</v>
      </c>
      <c r="M292" s="88" t="s">
        <v>422</v>
      </c>
      <c r="N292" s="98"/>
      <c r="O292" s="98"/>
      <c r="P292" s="98"/>
      <c r="Q292" s="98"/>
    </row>
    <row r="293" spans="1:17" x14ac:dyDescent="0.2">
      <c r="A293" s="609"/>
      <c r="B293" s="309">
        <v>220</v>
      </c>
      <c r="C293" s="310">
        <v>19.43</v>
      </c>
      <c r="D293" s="310">
        <v>12.6295</v>
      </c>
      <c r="E293" s="310">
        <v>13.8925</v>
      </c>
      <c r="F293" s="311">
        <f t="shared" si="18"/>
        <v>0.71500257334019557</v>
      </c>
      <c r="G293" s="311">
        <v>396.7</v>
      </c>
      <c r="H293" s="311">
        <v>393.75</v>
      </c>
      <c r="I293" s="312">
        <v>1400</v>
      </c>
      <c r="J293" s="313">
        <f t="shared" si="19"/>
        <v>2.1071428571428491E-3</v>
      </c>
      <c r="K293" s="312">
        <v>15</v>
      </c>
      <c r="L293" s="314">
        <f t="shared" si="20"/>
        <v>32.262850710343074</v>
      </c>
      <c r="M293" s="88" t="s">
        <v>424</v>
      </c>
      <c r="N293" s="98"/>
      <c r="O293" s="98"/>
      <c r="P293" s="98"/>
      <c r="Q293" s="98"/>
    </row>
    <row r="294" spans="1:17" x14ac:dyDescent="0.2">
      <c r="A294" s="609"/>
      <c r="B294" s="244">
        <v>221</v>
      </c>
      <c r="C294" s="245">
        <v>20.48</v>
      </c>
      <c r="D294" s="245">
        <v>6.5536000000000003</v>
      </c>
      <c r="E294" s="245">
        <v>7.8643000000000001</v>
      </c>
      <c r="F294" s="246">
        <f t="shared" si="18"/>
        <v>0.38399902343749998</v>
      </c>
      <c r="G294" s="246">
        <v>398.3</v>
      </c>
      <c r="H294" s="246">
        <v>393.5</v>
      </c>
      <c r="I294" s="247">
        <v>1750</v>
      </c>
      <c r="J294" s="248">
        <f t="shared" si="19"/>
        <v>2.7428571428571493E-3</v>
      </c>
      <c r="K294" s="247">
        <v>20</v>
      </c>
      <c r="L294" s="249">
        <f t="shared" si="20"/>
        <v>38.913326662963271</v>
      </c>
      <c r="M294" s="88" t="s">
        <v>423</v>
      </c>
      <c r="N294" s="98"/>
      <c r="O294" s="98"/>
      <c r="P294" s="98"/>
      <c r="Q294" s="98"/>
    </row>
    <row r="295" spans="1:17" x14ac:dyDescent="0.2">
      <c r="A295" s="609"/>
      <c r="B295" s="244">
        <v>222</v>
      </c>
      <c r="C295" s="245">
        <v>1.75</v>
      </c>
      <c r="D295" s="245">
        <v>0.56000000000000005</v>
      </c>
      <c r="E295" s="245">
        <v>0.67200000000000004</v>
      </c>
      <c r="F295" s="246">
        <f t="shared" si="18"/>
        <v>0.38400000000000001</v>
      </c>
      <c r="G295" s="246">
        <v>394.3</v>
      </c>
      <c r="H295" s="246">
        <v>391.7</v>
      </c>
      <c r="I295" s="247">
        <v>538</v>
      </c>
      <c r="J295" s="248">
        <f t="shared" si="19"/>
        <v>4.8327137546468821E-3</v>
      </c>
      <c r="K295" s="247">
        <v>20</v>
      </c>
      <c r="L295" s="249">
        <f t="shared" si="20"/>
        <v>24.380444767574112</v>
      </c>
      <c r="M295" s="88" t="s">
        <v>425</v>
      </c>
      <c r="N295" s="98"/>
      <c r="O295" s="98"/>
      <c r="P295" s="98"/>
      <c r="Q295" s="98"/>
    </row>
    <row r="296" spans="1:17" x14ac:dyDescent="0.2">
      <c r="A296" s="609"/>
      <c r="B296" s="316">
        <v>223</v>
      </c>
      <c r="C296" s="245">
        <v>9.0500000000000007</v>
      </c>
      <c r="D296" s="245">
        <v>2.8959999999999999</v>
      </c>
      <c r="E296" s="245">
        <v>3.4752000000000001</v>
      </c>
      <c r="F296" s="246">
        <f t="shared" si="18"/>
        <v>0.38399999999999995</v>
      </c>
      <c r="G296" s="246">
        <v>395.18</v>
      </c>
      <c r="H296" s="246">
        <v>391.7</v>
      </c>
      <c r="I296" s="247">
        <v>935</v>
      </c>
      <c r="J296" s="248">
        <f t="shared" si="19"/>
        <v>3.7219251336898592E-3</v>
      </c>
      <c r="K296" s="247">
        <v>20</v>
      </c>
      <c r="L296" s="249">
        <f t="shared" si="20"/>
        <v>28.674795860733518</v>
      </c>
      <c r="M296" s="88" t="s">
        <v>426</v>
      </c>
      <c r="N296" s="98"/>
      <c r="O296" s="98"/>
      <c r="P296" s="98"/>
      <c r="Q296" s="98"/>
    </row>
    <row r="297" spans="1:17" x14ac:dyDescent="0.2">
      <c r="A297" s="609"/>
      <c r="B297" s="244">
        <v>224</v>
      </c>
      <c r="C297" s="245">
        <v>6.57</v>
      </c>
      <c r="D297" s="245">
        <v>2.1023999999999998</v>
      </c>
      <c r="E297" s="245">
        <v>2.5228999999999999</v>
      </c>
      <c r="F297" s="246">
        <f t="shared" si="18"/>
        <v>0.38400304414003039</v>
      </c>
      <c r="G297" s="246">
        <v>394.3</v>
      </c>
      <c r="H297" s="246">
        <v>391.7</v>
      </c>
      <c r="I297" s="247">
        <v>856</v>
      </c>
      <c r="J297" s="248">
        <f t="shared" si="19"/>
        <v>3.0373831775701199E-3</v>
      </c>
      <c r="K297" s="247">
        <v>20</v>
      </c>
      <c r="L297" s="249">
        <f t="shared" si="20"/>
        <v>28.791347404698072</v>
      </c>
      <c r="M297" s="88" t="s">
        <v>427</v>
      </c>
      <c r="N297" s="98"/>
      <c r="O297" s="98"/>
      <c r="P297" s="98"/>
      <c r="Q297" s="98"/>
    </row>
    <row r="298" spans="1:17" x14ac:dyDescent="0.2">
      <c r="A298" s="609"/>
      <c r="B298" s="304">
        <v>225</v>
      </c>
      <c r="C298" s="60">
        <v>3</v>
      </c>
      <c r="D298" s="60">
        <v>2.7</v>
      </c>
      <c r="E298" s="60">
        <v>2.7</v>
      </c>
      <c r="F298" s="61">
        <f t="shared" si="18"/>
        <v>0.9</v>
      </c>
      <c r="G298" s="61">
        <v>394.5</v>
      </c>
      <c r="H298" s="61">
        <v>391.92</v>
      </c>
      <c r="I298" s="62">
        <v>1215</v>
      </c>
      <c r="J298" s="63">
        <f t="shared" si="19"/>
        <v>2.1234567901234438E-3</v>
      </c>
      <c r="K298" s="62">
        <v>5</v>
      </c>
      <c r="L298" s="64">
        <f t="shared" si="20"/>
        <v>19.924027243019644</v>
      </c>
      <c r="M298" s="88" t="s">
        <v>428</v>
      </c>
      <c r="N298" s="98"/>
      <c r="O298" s="98"/>
      <c r="P298" s="98"/>
      <c r="Q298" s="98"/>
    </row>
    <row r="299" spans="1:17" x14ac:dyDescent="0.2">
      <c r="A299" s="609"/>
      <c r="B299" s="244">
        <v>226</v>
      </c>
      <c r="C299" s="245">
        <v>5.24</v>
      </c>
      <c r="D299" s="245">
        <v>3.6680000000000001</v>
      </c>
      <c r="E299" s="245">
        <v>4.4016000000000002</v>
      </c>
      <c r="F299" s="246">
        <f t="shared" si="18"/>
        <v>0.84</v>
      </c>
      <c r="G299" s="246">
        <v>393.4</v>
      </c>
      <c r="H299" s="246">
        <v>390.68</v>
      </c>
      <c r="I299" s="247">
        <v>424</v>
      </c>
      <c r="J299" s="248">
        <f t="shared" si="19"/>
        <v>6.4150943396225719E-3</v>
      </c>
      <c r="K299" s="247">
        <v>10</v>
      </c>
      <c r="L299" s="249">
        <f t="shared" si="20"/>
        <v>12.996372496813915</v>
      </c>
      <c r="M299" s="88" t="s">
        <v>429</v>
      </c>
      <c r="N299" s="98"/>
      <c r="O299" s="98"/>
      <c r="P299" s="98"/>
      <c r="Q299" s="98"/>
    </row>
    <row r="300" spans="1:17" x14ac:dyDescent="0.2">
      <c r="A300" s="609"/>
      <c r="B300" s="244">
        <v>227</v>
      </c>
      <c r="C300" s="245">
        <v>1.67</v>
      </c>
      <c r="D300" s="245">
        <v>1.5029999999999999</v>
      </c>
      <c r="E300" s="245">
        <v>1.5029999999999999</v>
      </c>
      <c r="F300" s="246">
        <f t="shared" si="18"/>
        <v>0.9</v>
      </c>
      <c r="G300" s="246">
        <v>392.88</v>
      </c>
      <c r="H300" s="246">
        <v>390.5</v>
      </c>
      <c r="I300" s="247">
        <v>773</v>
      </c>
      <c r="J300" s="248">
        <f t="shared" si="19"/>
        <v>3.0789133247089203E-3</v>
      </c>
      <c r="K300" s="247">
        <v>5</v>
      </c>
      <c r="L300" s="249">
        <f t="shared" si="20"/>
        <v>12.885191254861073</v>
      </c>
      <c r="M300" s="88" t="s">
        <v>430</v>
      </c>
      <c r="N300" s="98"/>
      <c r="O300" s="98"/>
      <c r="P300" s="98"/>
      <c r="Q300" s="98"/>
    </row>
    <row r="301" spans="1:17" x14ac:dyDescent="0.2">
      <c r="B301" s="244">
        <v>228</v>
      </c>
      <c r="C301" s="245">
        <v>5.07</v>
      </c>
      <c r="D301" s="245">
        <v>1.6224000000000001</v>
      </c>
      <c r="E301" s="245">
        <v>1.7745</v>
      </c>
      <c r="F301" s="246">
        <f t="shared" si="18"/>
        <v>0.35</v>
      </c>
      <c r="G301" s="246">
        <v>391.9</v>
      </c>
      <c r="H301" s="246">
        <v>388.5</v>
      </c>
      <c r="I301" s="247">
        <v>990</v>
      </c>
      <c r="J301" s="248">
        <f t="shared" si="19"/>
        <v>3.4343434343434114E-3</v>
      </c>
      <c r="K301" s="247">
        <v>25</v>
      </c>
      <c r="L301" s="249">
        <f t="shared" si="20"/>
        <v>34.561913323638478</v>
      </c>
      <c r="M301" s="88" t="s">
        <v>431</v>
      </c>
      <c r="N301" s="98"/>
      <c r="O301" s="98"/>
      <c r="P301" s="98"/>
      <c r="Q301" s="98"/>
    </row>
    <row r="302" spans="1:17" x14ac:dyDescent="0.2">
      <c r="B302" s="244">
        <v>229</v>
      </c>
      <c r="C302" s="245">
        <v>6.92</v>
      </c>
      <c r="D302" s="245">
        <v>2.2143999999999999</v>
      </c>
      <c r="E302" s="245">
        <v>2.4220000000000002</v>
      </c>
      <c r="F302" s="246">
        <f t="shared" si="18"/>
        <v>0.35000000000000003</v>
      </c>
      <c r="G302" s="246">
        <v>393.22</v>
      </c>
      <c r="H302" s="246">
        <v>388.5</v>
      </c>
      <c r="I302" s="247">
        <v>1384</v>
      </c>
      <c r="J302" s="248">
        <f t="shared" si="19"/>
        <v>3.4104046242774762E-3</v>
      </c>
      <c r="K302" s="247">
        <v>25</v>
      </c>
      <c r="L302" s="249">
        <f t="shared" si="20"/>
        <v>38.414194684192978</v>
      </c>
      <c r="M302" s="88" t="s">
        <v>432</v>
      </c>
      <c r="N302" s="98"/>
      <c r="O302" s="98"/>
      <c r="P302" s="98"/>
      <c r="Q302" s="98"/>
    </row>
    <row r="303" spans="1:17" x14ac:dyDescent="0.2">
      <c r="B303" s="244">
        <v>230</v>
      </c>
      <c r="C303" s="245">
        <v>10.9</v>
      </c>
      <c r="D303" s="245">
        <v>3.488</v>
      </c>
      <c r="E303" s="245">
        <v>3.8149999999999999</v>
      </c>
      <c r="F303" s="246">
        <f t="shared" si="18"/>
        <v>0.35</v>
      </c>
      <c r="G303" s="246">
        <v>391.7</v>
      </c>
      <c r="H303" s="246">
        <v>388.5</v>
      </c>
      <c r="I303" s="247">
        <v>827</v>
      </c>
      <c r="J303" s="248">
        <f t="shared" si="19"/>
        <v>3.8694074969770117E-3</v>
      </c>
      <c r="K303" s="247">
        <v>25</v>
      </c>
      <c r="L303" s="249">
        <f t="shared" si="20"/>
        <v>32.525142777770114</v>
      </c>
      <c r="M303" s="88" t="s">
        <v>433</v>
      </c>
      <c r="N303" s="98"/>
      <c r="O303" s="98"/>
      <c r="P303" s="98"/>
      <c r="Q303" s="98"/>
    </row>
    <row r="304" spans="1:17" x14ac:dyDescent="0.2">
      <c r="B304" s="244">
        <v>231</v>
      </c>
      <c r="C304" s="245">
        <v>15.04</v>
      </c>
      <c r="D304" s="245">
        <v>4.4000000000000004</v>
      </c>
      <c r="E304" s="245">
        <v>5.2640000000000002</v>
      </c>
      <c r="F304" s="246">
        <f t="shared" si="18"/>
        <v>0.35000000000000003</v>
      </c>
      <c r="G304" s="246">
        <v>395.69</v>
      </c>
      <c r="H304" s="246">
        <v>393.05</v>
      </c>
      <c r="I304" s="247">
        <v>1199</v>
      </c>
      <c r="J304" s="248">
        <f t="shared" si="19"/>
        <v>2.2018348623853096E-3</v>
      </c>
      <c r="K304" s="247">
        <v>25</v>
      </c>
      <c r="L304" s="249">
        <f t="shared" si="20"/>
        <v>39.462996478011981</v>
      </c>
      <c r="M304" s="88" t="s">
        <v>434</v>
      </c>
      <c r="N304" s="98"/>
      <c r="O304" s="98"/>
      <c r="P304" s="98"/>
      <c r="Q304" s="98"/>
    </row>
    <row r="305" spans="2:17" x14ac:dyDescent="0.2">
      <c r="B305" s="244">
        <v>232</v>
      </c>
      <c r="C305" s="245">
        <v>1.05</v>
      </c>
      <c r="D305" s="245">
        <v>0.46939999999999998</v>
      </c>
      <c r="E305" s="245">
        <v>0.49399999999999999</v>
      </c>
      <c r="F305" s="246">
        <f t="shared" si="18"/>
        <v>0.47047619047619044</v>
      </c>
      <c r="G305" s="246">
        <v>393.8</v>
      </c>
      <c r="H305" s="246">
        <v>393.19</v>
      </c>
      <c r="I305" s="247">
        <v>253</v>
      </c>
      <c r="J305" s="248">
        <f t="shared" si="19"/>
        <v>2.4110671936759431E-3</v>
      </c>
      <c r="K305" s="247">
        <v>25</v>
      </c>
      <c r="L305" s="249">
        <f t="shared" si="20"/>
        <v>27.916401638028049</v>
      </c>
      <c r="M305" s="88" t="s">
        <v>435</v>
      </c>
      <c r="N305" s="98"/>
      <c r="O305" s="98"/>
      <c r="P305" s="98"/>
      <c r="Q305" s="98"/>
    </row>
    <row r="306" spans="2:17" x14ac:dyDescent="0.2">
      <c r="B306" s="304">
        <v>233</v>
      </c>
      <c r="C306" s="60">
        <v>3.91</v>
      </c>
      <c r="D306" s="306">
        <v>0.78200000000000003</v>
      </c>
      <c r="E306" s="60">
        <v>0.93840000000000001</v>
      </c>
      <c r="F306" s="61">
        <f t="shared" si="18"/>
        <v>0.24</v>
      </c>
      <c r="G306" s="61">
        <v>391.5</v>
      </c>
      <c r="H306" s="61">
        <v>390.4</v>
      </c>
      <c r="I306" s="62">
        <v>1500</v>
      </c>
      <c r="J306" s="63">
        <f t="shared" si="19"/>
        <v>7.3333333333334852E-4</v>
      </c>
      <c r="K306" s="62">
        <v>25</v>
      </c>
      <c r="L306" s="64">
        <f t="shared" si="20"/>
        <v>56.352488356608603</v>
      </c>
      <c r="M306" s="88" t="s">
        <v>436</v>
      </c>
      <c r="N306" s="98"/>
      <c r="O306" s="98"/>
      <c r="P306" s="98"/>
      <c r="Q306" s="98"/>
    </row>
    <row r="307" spans="2:17" x14ac:dyDescent="0.2">
      <c r="B307" s="304">
        <v>234</v>
      </c>
      <c r="C307" s="60">
        <v>0.8</v>
      </c>
      <c r="D307" s="60">
        <v>0.16</v>
      </c>
      <c r="E307" s="60">
        <v>0.192</v>
      </c>
      <c r="F307" s="61">
        <f t="shared" si="18"/>
        <v>0.24</v>
      </c>
      <c r="G307" s="61">
        <v>392.25</v>
      </c>
      <c r="H307" s="61">
        <v>389.44</v>
      </c>
      <c r="I307" s="62">
        <v>748</v>
      </c>
      <c r="J307" s="63">
        <f t="shared" si="19"/>
        <v>3.7566844919786125E-3</v>
      </c>
      <c r="K307" s="62">
        <v>25</v>
      </c>
      <c r="L307" s="64">
        <f t="shared" si="20"/>
        <v>31.9076560704104</v>
      </c>
      <c r="M307" s="88" t="s">
        <v>437</v>
      </c>
      <c r="N307" s="98"/>
      <c r="O307" s="98"/>
      <c r="P307" s="98"/>
      <c r="Q307" s="98"/>
    </row>
    <row r="308" spans="2:17" x14ac:dyDescent="0.2">
      <c r="B308" s="304">
        <v>235</v>
      </c>
      <c r="C308" s="60">
        <v>0.52</v>
      </c>
      <c r="D308" s="60">
        <v>0.104</v>
      </c>
      <c r="E308" s="60">
        <v>0.12479999999999999</v>
      </c>
      <c r="F308" s="61">
        <f t="shared" si="18"/>
        <v>0.24</v>
      </c>
      <c r="G308" s="61">
        <v>390.5</v>
      </c>
      <c r="H308" s="61">
        <v>389.9</v>
      </c>
      <c r="I308" s="62">
        <v>420</v>
      </c>
      <c r="J308" s="63">
        <f t="shared" si="19"/>
        <v>1.4285714285714828E-3</v>
      </c>
      <c r="K308" s="62">
        <v>25</v>
      </c>
      <c r="L308" s="64">
        <f t="shared" si="20"/>
        <v>31.289697802316596</v>
      </c>
      <c r="M308" s="88" t="s">
        <v>438</v>
      </c>
      <c r="N308" s="98"/>
      <c r="O308" s="98"/>
      <c r="P308" s="98"/>
      <c r="Q308" s="98"/>
    </row>
    <row r="309" spans="2:17" x14ac:dyDescent="0.2">
      <c r="B309" s="304"/>
      <c r="C309" s="538"/>
      <c r="D309" s="538"/>
      <c r="E309" s="538"/>
      <c r="F309" s="539"/>
      <c r="G309" s="539"/>
      <c r="H309" s="539"/>
      <c r="I309" s="540"/>
      <c r="J309" s="541"/>
      <c r="K309" s="540"/>
      <c r="L309" s="542"/>
      <c r="M309" s="88"/>
    </row>
    <row r="310" spans="2:17" ht="15.75" x14ac:dyDescent="0.25">
      <c r="B310" s="256" t="s">
        <v>255</v>
      </c>
      <c r="C310" s="543">
        <f>SUM(C11:C309)</f>
        <v>1788.0699999999995</v>
      </c>
      <c r="D310" s="543">
        <f>SUM(D11:D309)</f>
        <v>789.75409999999908</v>
      </c>
      <c r="E310" s="543">
        <f>SUM(E11:E309)</f>
        <v>853.96959000000061</v>
      </c>
      <c r="F310" s="544"/>
      <c r="G310" s="544"/>
      <c r="H310" s="544"/>
      <c r="I310" s="544"/>
      <c r="J310" s="544"/>
      <c r="K310" s="544"/>
      <c r="L310" s="544"/>
      <c r="M310" s="98"/>
    </row>
    <row r="311" spans="2:17" ht="15.75" x14ac:dyDescent="0.25">
      <c r="B311" s="252"/>
      <c r="C311" s="543"/>
      <c r="D311" s="543"/>
      <c r="E311" s="543"/>
      <c r="F311" s="22"/>
      <c r="G311" s="22"/>
      <c r="H311" s="22"/>
      <c r="I311" s="22"/>
      <c r="J311" s="22"/>
      <c r="K311" s="22"/>
      <c r="L311" s="22"/>
      <c r="M311" s="98"/>
    </row>
    <row r="312" spans="2:17" x14ac:dyDescent="0.2">
      <c r="B312" s="254"/>
      <c r="C312" s="98" t="s">
        <v>256</v>
      </c>
      <c r="D312" s="98"/>
      <c r="E312" s="98"/>
      <c r="F312" s="98"/>
      <c r="G312" s="98"/>
      <c r="H312" s="98"/>
      <c r="I312" s="98"/>
      <c r="J312" s="98"/>
      <c r="K312" s="98"/>
      <c r="L312" s="98"/>
      <c r="M312" s="98"/>
    </row>
    <row r="313" spans="2:17" x14ac:dyDescent="0.2">
      <c r="B313" s="255"/>
      <c r="C313" s="98" t="s">
        <v>257</v>
      </c>
      <c r="D313" s="98"/>
      <c r="E313" s="98"/>
      <c r="F313" s="98"/>
      <c r="G313" s="98"/>
      <c r="H313" s="98"/>
      <c r="I313" s="98"/>
      <c r="J313" s="98"/>
      <c r="K313" s="98"/>
      <c r="L313" s="98"/>
      <c r="M313" s="98"/>
    </row>
    <row r="314" spans="2:17" x14ac:dyDescent="0.2"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</row>
    <row r="315" spans="2:17" ht="15.75" x14ac:dyDescent="0.25">
      <c r="B315" s="344" t="s">
        <v>482</v>
      </c>
      <c r="C315" s="88" t="s">
        <v>483</v>
      </c>
      <c r="D315" s="98"/>
      <c r="E315" s="98"/>
      <c r="F315" s="98"/>
      <c r="G315" s="98"/>
      <c r="H315" s="98"/>
      <c r="I315" s="98"/>
      <c r="J315" s="98"/>
      <c r="K315" s="98"/>
      <c r="L315" s="98"/>
      <c r="M315" s="98"/>
    </row>
    <row r="316" spans="2:17" ht="15.75" x14ac:dyDescent="0.25">
      <c r="B316" s="253">
        <v>400</v>
      </c>
      <c r="C316" s="88" t="s">
        <v>267</v>
      </c>
      <c r="D316" s="98"/>
      <c r="E316" s="98"/>
    </row>
    <row r="317" spans="2:17" x14ac:dyDescent="0.2">
      <c r="B317" s="456"/>
      <c r="C317" s="88" t="s">
        <v>512</v>
      </c>
      <c r="F317" s="585"/>
      <c r="G317" s="88" t="s">
        <v>576</v>
      </c>
    </row>
    <row r="318" spans="2:17" x14ac:dyDescent="0.2">
      <c r="B318" s="457"/>
      <c r="C318" s="88" t="s">
        <v>503</v>
      </c>
      <c r="F318" s="599"/>
      <c r="G318" s="88" t="s">
        <v>587</v>
      </c>
    </row>
    <row r="319" spans="2:17" ht="15.75" x14ac:dyDescent="0.25">
      <c r="B319" s="458"/>
      <c r="C319" s="88" t="s">
        <v>261</v>
      </c>
      <c r="F319" s="610">
        <v>400</v>
      </c>
      <c r="G319" s="88" t="s">
        <v>593</v>
      </c>
    </row>
    <row r="320" spans="2:17" x14ac:dyDescent="0.2">
      <c r="B320" s="459"/>
      <c r="C320" s="88" t="s">
        <v>505</v>
      </c>
    </row>
    <row r="321" spans="2:5" x14ac:dyDescent="0.2">
      <c r="B321" s="460"/>
      <c r="C321" s="88" t="s">
        <v>513</v>
      </c>
    </row>
    <row r="322" spans="2:5" x14ac:dyDescent="0.2">
      <c r="B322" s="512"/>
      <c r="C322" s="88" t="s">
        <v>508</v>
      </c>
    </row>
    <row r="323" spans="2:5" x14ac:dyDescent="0.2">
      <c r="B323" s="461"/>
      <c r="C323" s="88" t="s">
        <v>514</v>
      </c>
    </row>
    <row r="324" spans="2:5" x14ac:dyDescent="0.2">
      <c r="B324" s="462"/>
      <c r="C324" s="88" t="s">
        <v>557</v>
      </c>
    </row>
    <row r="325" spans="2:5" x14ac:dyDescent="0.2">
      <c r="B325" s="463"/>
      <c r="C325" s="88" t="s">
        <v>558</v>
      </c>
    </row>
    <row r="326" spans="2:5" x14ac:dyDescent="0.2">
      <c r="B326" s="464"/>
      <c r="C326" s="88" t="s">
        <v>542</v>
      </c>
    </row>
    <row r="327" spans="2:5" x14ac:dyDescent="0.2">
      <c r="B327" s="470"/>
      <c r="C327" s="88" t="s">
        <v>549</v>
      </c>
    </row>
    <row r="328" spans="2:5" ht="15.75" x14ac:dyDescent="0.25">
      <c r="C328" s="543">
        <v>1788.9100000000003</v>
      </c>
      <c r="D328" s="90">
        <v>770.24349999999947</v>
      </c>
      <c r="E328" s="90">
        <v>841.72159000000045</v>
      </c>
    </row>
    <row r="448" spans="14:16" x14ac:dyDescent="0.2">
      <c r="N448" s="98"/>
      <c r="O448" s="98"/>
      <c r="P448" s="98"/>
    </row>
    <row r="449" spans="14:16" x14ac:dyDescent="0.2">
      <c r="N449" s="98"/>
      <c r="O449" s="98"/>
      <c r="P449" s="98"/>
    </row>
    <row r="450" spans="14:16" x14ac:dyDescent="0.2">
      <c r="N450" s="98"/>
      <c r="O450" s="98"/>
      <c r="P450" s="98"/>
    </row>
    <row r="451" spans="14:16" x14ac:dyDescent="0.2">
      <c r="N451" s="98"/>
      <c r="O451" s="98"/>
      <c r="P451" s="98"/>
    </row>
    <row r="452" spans="14:16" x14ac:dyDescent="0.2">
      <c r="N452" s="98"/>
      <c r="O452" s="98"/>
      <c r="P452" s="98"/>
    </row>
    <row r="453" spans="14:16" x14ac:dyDescent="0.2">
      <c r="N453" s="98"/>
      <c r="O453" s="98"/>
      <c r="P453" s="98"/>
    </row>
    <row r="454" spans="14:16" x14ac:dyDescent="0.2">
      <c r="N454" s="98"/>
      <c r="O454" s="98"/>
      <c r="P454" s="98"/>
    </row>
    <row r="455" spans="14:16" x14ac:dyDescent="0.2">
      <c r="N455" s="98"/>
      <c r="O455" s="98"/>
      <c r="P455" s="98"/>
    </row>
  </sheetData>
  <sortState xmlns:xlrd2="http://schemas.microsoft.com/office/spreadsheetml/2017/richdata2" ref="B11:M299">
    <sortCondition ref="B11"/>
  </sortState>
  <dataConsolidate/>
  <mergeCells count="1">
    <mergeCell ref="A18:A19"/>
  </mergeCells>
  <phoneticPr fontId="0" type="noConversion"/>
  <conditionalFormatting sqref="J1:J10 J316:J327 J329:J1048576">
    <cfRule type="cellIs" dxfId="15" priority="19" stopIfTrue="1" operator="between">
      <formula>0.0000001</formula>
      <formula>$L$4</formula>
    </cfRule>
  </conditionalFormatting>
  <conditionalFormatting sqref="L1:L10 L316:L327 L329:L1048576">
    <cfRule type="cellIs" dxfId="14" priority="20" stopIfTrue="1" operator="between">
      <formula>$L$5</formula>
      <formula>200</formula>
    </cfRule>
  </conditionalFormatting>
  <conditionalFormatting sqref="J224:J266 J310:J314 J11:J222">
    <cfRule type="cellIs" dxfId="13" priority="9" stopIfTrue="1" operator="between">
      <formula>0.000001</formula>
      <formula>$L$4</formula>
    </cfRule>
  </conditionalFormatting>
  <conditionalFormatting sqref="L224:L266 L310:L314 L12:L222">
    <cfRule type="cellIs" dxfId="12" priority="10" stopIfTrue="1" operator="greaterThan">
      <formula>$L$5</formula>
    </cfRule>
  </conditionalFormatting>
  <conditionalFormatting sqref="J309">
    <cfRule type="cellIs" dxfId="11" priority="5" stopIfTrue="1" operator="between">
      <formula>0.000001</formula>
      <formula>$L$4</formula>
    </cfRule>
  </conditionalFormatting>
  <conditionalFormatting sqref="L309">
    <cfRule type="cellIs" dxfId="10" priority="6" stopIfTrue="1" operator="greaterThan">
      <formula>$L$5</formula>
    </cfRule>
  </conditionalFormatting>
  <conditionalFormatting sqref="J223">
    <cfRule type="cellIs" dxfId="9" priority="1" stopIfTrue="1" operator="between">
      <formula>0.000001</formula>
      <formula>$L$4</formula>
    </cfRule>
  </conditionalFormatting>
  <conditionalFormatting sqref="L223">
    <cfRule type="cellIs" dxfId="8" priority="2" stopIfTrue="1" operator="greaterThan">
      <formula>$L$5</formula>
    </cfRule>
  </conditionalFormatting>
  <hyperlinks>
    <hyperlink ref="R147" r:id="rId1" xr:uid="{00000000-0004-0000-0200-000000000000}"/>
  </hyperlinks>
  <pageMargins left="0.5" right="0" top="0.5" bottom="0.75" header="0.5" footer="0.5"/>
  <pageSetup paperSize="3" scale="54" orientation="landscape" horizontalDpi="4294967292" r:id="rId2"/>
  <headerFooter alignWithMargins="0">
    <oddFooter>&amp;L&amp;F&amp;RPAGE &amp;P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syncVertical="1" syncRef="A341" transitionEvaluation="1" transitionEntry="1" codeName="Sheet3"/>
  <dimension ref="A1:Z690"/>
  <sheetViews>
    <sheetView showGridLines="0" view="pageBreakPreview" zoomScale="70" zoomScaleNormal="75" zoomScaleSheetLayoutView="70" workbookViewId="0">
      <pane ySplit="8" topLeftCell="A341" activePane="bottomLeft" state="frozen"/>
      <selection pane="bottomLeft" activeCell="L421" sqref="L421"/>
    </sheetView>
  </sheetViews>
  <sheetFormatPr defaultColWidth="9.77734375" defaultRowHeight="15" x14ac:dyDescent="0.2"/>
  <cols>
    <col min="1" max="1" width="6.109375" style="88" customWidth="1"/>
    <col min="2" max="3" width="12.77734375" style="88" customWidth="1"/>
    <col min="4" max="4" width="1.77734375" style="88" customWidth="1"/>
    <col min="5" max="6" width="10.77734375" style="88" customWidth="1"/>
    <col min="7" max="7" width="5.77734375" style="88" customWidth="1"/>
    <col min="8" max="8" width="6.77734375" style="88" customWidth="1"/>
    <col min="9" max="9" width="9.109375" style="88" customWidth="1"/>
    <col min="10" max="11" width="6.77734375" style="88" customWidth="1"/>
    <col min="12" max="12" width="8.77734375" style="88" customWidth="1"/>
    <col min="13" max="13" width="6.77734375" style="88" customWidth="1"/>
    <col min="14" max="14" width="1.77734375" style="88" customWidth="1"/>
    <col min="15" max="15" width="16.88671875" style="88" customWidth="1"/>
    <col min="16" max="16" width="7.77734375" style="88" customWidth="1"/>
    <col min="17" max="17" width="13.77734375" style="88" customWidth="1"/>
    <col min="18" max="18" width="7.77734375" style="88" customWidth="1"/>
    <col min="19" max="20" width="11.77734375" style="88" customWidth="1"/>
    <col min="21" max="22" width="9.77734375" style="88"/>
    <col min="23" max="23" width="1.77734375" style="88" customWidth="1"/>
    <col min="24" max="25" width="14.77734375" style="88" customWidth="1"/>
    <col min="26" max="16384" width="9.77734375" style="88"/>
  </cols>
  <sheetData>
    <row r="1" spans="1:26" customFormat="1" ht="18" x14ac:dyDescent="0.25">
      <c r="A1" s="22"/>
      <c r="B1" s="5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1:26" customFormat="1" ht="18" x14ac:dyDescent="0.25">
      <c r="A2" s="1"/>
      <c r="B2" s="5" t="s">
        <v>5</v>
      </c>
      <c r="C2" s="6"/>
      <c r="D2" s="6"/>
      <c r="E2" s="614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1:26" customFormat="1" ht="15.75" x14ac:dyDescent="0.25">
      <c r="A3" s="1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219" t="s">
        <v>243</v>
      </c>
      <c r="T3" s="232">
        <v>2</v>
      </c>
      <c r="U3" s="1"/>
      <c r="V3" s="16" t="s">
        <v>7</v>
      </c>
      <c r="W3" s="6"/>
      <c r="X3" s="13">
        <f>cell_HGL</f>
        <v>382.27</v>
      </c>
      <c r="Y3" s="13"/>
    </row>
    <row r="4" spans="1:26" customFormat="1" ht="15.75" x14ac:dyDescent="0.25">
      <c r="A4" s="1"/>
      <c r="B4" s="13" t="s">
        <v>9</v>
      </c>
      <c r="C4" s="6"/>
      <c r="D4" s="6"/>
      <c r="E4" s="13" t="str">
        <f>cell_DA</f>
        <v>BX</v>
      </c>
      <c r="F4" s="1"/>
      <c r="G4" s="6"/>
      <c r="H4" s="6"/>
      <c r="I4" s="6"/>
      <c r="J4" s="6"/>
      <c r="K4" s="6"/>
      <c r="L4" s="6"/>
      <c r="M4" s="6"/>
      <c r="N4" s="6"/>
      <c r="O4" s="6"/>
      <c r="P4" s="27" t="s">
        <v>11</v>
      </c>
      <c r="Q4" s="28" t="str">
        <f>cell_DATE</f>
        <v>9-28-2018</v>
      </c>
      <c r="R4" s="6"/>
      <c r="S4" s="223" t="s">
        <v>244</v>
      </c>
      <c r="T4" s="233">
        <v>6.0049000000000001</v>
      </c>
      <c r="U4" s="687" t="s">
        <v>248</v>
      </c>
      <c r="V4" s="687"/>
      <c r="W4" s="234"/>
      <c r="X4" s="235">
        <v>1</v>
      </c>
      <c r="Y4" s="13"/>
    </row>
    <row r="5" spans="1:26" customFormat="1" ht="15.75" x14ac:dyDescent="0.25">
      <c r="A5" s="1"/>
      <c r="B5" s="13" t="s">
        <v>15</v>
      </c>
      <c r="C5" s="6"/>
      <c r="D5" s="6"/>
      <c r="E5" s="14" t="str">
        <f>cell_ALT</f>
        <v>2 yr Design Storm, All Branches updated for Entire System</v>
      </c>
      <c r="F5" s="6"/>
      <c r="G5" s="6"/>
      <c r="H5" s="6"/>
      <c r="I5" s="6"/>
      <c r="J5" s="6"/>
      <c r="K5" s="6"/>
      <c r="L5" s="6"/>
      <c r="M5" s="6"/>
      <c r="N5" s="6"/>
      <c r="O5" s="6"/>
      <c r="P5" s="16" t="s">
        <v>16</v>
      </c>
      <c r="Q5" s="29" t="str">
        <f>cell_NAME</f>
        <v>BN</v>
      </c>
      <c r="R5" s="6"/>
      <c r="S5" s="6"/>
      <c r="T5" s="6"/>
      <c r="U5" s="1"/>
      <c r="V5" s="16" t="s">
        <v>20</v>
      </c>
      <c r="W5" s="6"/>
      <c r="X5" s="30">
        <f>cell_NP</f>
        <v>1.2999999999999999E-2</v>
      </c>
      <c r="Y5" s="30"/>
    </row>
    <row r="6" spans="1:26" customFormat="1" ht="16.5" thickBot="1" x14ac:dyDescent="0.3">
      <c r="A6" s="1"/>
      <c r="B6" s="1"/>
      <c r="C6" s="1"/>
      <c r="D6" s="1"/>
      <c r="E6" s="414" t="s">
        <v>481</v>
      </c>
      <c r="F6" s="1"/>
      <c r="G6" s="1"/>
      <c r="H6" s="1"/>
      <c r="I6" s="1"/>
      <c r="J6" s="1"/>
      <c r="K6" s="1"/>
      <c r="L6" s="1"/>
      <c r="M6" s="1"/>
      <c r="N6" s="1"/>
      <c r="O6" s="1"/>
      <c r="P6" s="354" t="str">
        <f>HYDROLOGY!P6</f>
        <v>REVISED BY:</v>
      </c>
      <c r="Q6" s="414" t="str">
        <f>HYDROLOGY!Q6</f>
        <v>DW 10/30/2025</v>
      </c>
      <c r="R6" s="1"/>
      <c r="S6" s="1"/>
      <c r="T6" s="1"/>
      <c r="U6" s="1"/>
      <c r="V6" s="1"/>
      <c r="W6" s="1"/>
      <c r="X6" s="1"/>
      <c r="Y6" s="1"/>
    </row>
    <row r="7" spans="1:26" customFormat="1" ht="15.75" x14ac:dyDescent="0.25">
      <c r="A7" s="1"/>
      <c r="B7" s="17" t="s">
        <v>51</v>
      </c>
      <c r="C7" s="17" t="s">
        <v>52</v>
      </c>
      <c r="D7" s="73"/>
      <c r="E7" s="17" t="s">
        <v>53</v>
      </c>
      <c r="F7" s="17" t="s">
        <v>53</v>
      </c>
      <c r="G7" s="17" t="s">
        <v>54</v>
      </c>
      <c r="H7" s="17" t="s">
        <v>36</v>
      </c>
      <c r="I7" s="17" t="s">
        <v>55</v>
      </c>
      <c r="J7" s="17" t="s">
        <v>56</v>
      </c>
      <c r="K7" s="17" t="s">
        <v>57</v>
      </c>
      <c r="L7" s="17" t="s">
        <v>58</v>
      </c>
      <c r="M7" s="17" t="s">
        <v>59</v>
      </c>
      <c r="N7" s="74"/>
      <c r="O7" s="75" t="s">
        <v>60</v>
      </c>
      <c r="P7" s="76"/>
      <c r="Q7" s="17" t="s">
        <v>61</v>
      </c>
      <c r="R7" s="17" t="s">
        <v>62</v>
      </c>
      <c r="S7" s="17" t="s">
        <v>63</v>
      </c>
      <c r="T7" s="17" t="s">
        <v>63</v>
      </c>
      <c r="U7" s="17" t="s">
        <v>44</v>
      </c>
      <c r="V7" s="17" t="s">
        <v>64</v>
      </c>
      <c r="W7" s="77"/>
      <c r="X7" s="33" t="s">
        <v>50</v>
      </c>
      <c r="Y7" s="36" t="s">
        <v>64</v>
      </c>
    </row>
    <row r="8" spans="1:26" customFormat="1" ht="16.5" thickBot="1" x14ac:dyDescent="0.3">
      <c r="A8" s="1"/>
      <c r="B8" s="31" t="s">
        <v>79</v>
      </c>
      <c r="C8" s="31" t="s">
        <v>79</v>
      </c>
      <c r="D8" s="78"/>
      <c r="E8" s="31" t="s">
        <v>80</v>
      </c>
      <c r="F8" s="31" t="s">
        <v>81</v>
      </c>
      <c r="G8" s="31" t="s">
        <v>75</v>
      </c>
      <c r="H8" s="31" t="s">
        <v>74</v>
      </c>
      <c r="I8" s="31" t="s">
        <v>70</v>
      </c>
      <c r="J8" s="31" t="s">
        <v>71</v>
      </c>
      <c r="K8" s="31" t="s">
        <v>70</v>
      </c>
      <c r="L8" s="31" t="s">
        <v>69</v>
      </c>
      <c r="M8" s="31" t="s">
        <v>42</v>
      </c>
      <c r="N8" s="79"/>
      <c r="O8" s="80" t="s">
        <v>82</v>
      </c>
      <c r="P8" s="81" t="s">
        <v>42</v>
      </c>
      <c r="Q8" s="31" t="s">
        <v>83</v>
      </c>
      <c r="R8" s="31" t="s">
        <v>84</v>
      </c>
      <c r="S8" s="31" t="s">
        <v>80</v>
      </c>
      <c r="T8" s="31" t="s">
        <v>81</v>
      </c>
      <c r="U8" s="31" t="s">
        <v>76</v>
      </c>
      <c r="V8" s="31" t="s">
        <v>85</v>
      </c>
      <c r="W8" s="32"/>
      <c r="X8" s="34" t="s">
        <v>86</v>
      </c>
      <c r="Y8" s="36" t="s">
        <v>85</v>
      </c>
      <c r="Z8" t="s">
        <v>566</v>
      </c>
    </row>
    <row r="9" spans="1:26" customFormat="1" ht="9.75" customHeight="1" thickTop="1" thickBot="1" x14ac:dyDescent="0.25">
      <c r="A9" s="1"/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20"/>
      <c r="Y9" s="1"/>
    </row>
    <row r="10" spans="1:26" customFormat="1" ht="15.75" thickTop="1" x14ac:dyDescent="0.2">
      <c r="B10" s="8"/>
      <c r="C10" s="9"/>
      <c r="D10" s="9"/>
      <c r="E10" s="7"/>
      <c r="F10" s="7"/>
      <c r="G10" s="9"/>
      <c r="H10" s="10"/>
      <c r="I10" s="9"/>
      <c r="J10" s="7"/>
      <c r="K10" s="7"/>
      <c r="L10" s="11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12"/>
    </row>
    <row r="11" spans="1:26" customFormat="1" hidden="1" x14ac:dyDescent="0.2">
      <c r="B11" s="216">
        <v>0</v>
      </c>
      <c r="C11" s="217">
        <v>77</v>
      </c>
      <c r="D11" s="58" t="s">
        <v>10</v>
      </c>
      <c r="E11" s="61">
        <f>IF(B11=0,cell_HGL,IF(VLOOKUP(B11,table_HGL_JCTS,17,FALSE)&lt;X11,X11,VLOOKUP(B11,table_HGL_JCTS,17,FALSE)))</f>
        <v>382.27</v>
      </c>
      <c r="F11" s="61">
        <f>IF(B11=0,(E11+K11),IF(VLOOKUP(B11,table_HGL_JCTS,13,FALSE)="T-INTERSECTION",(E11+K11),(IF(VLOOKUP(B11,table_HGL_JCTS,17,FALSE)&lt;X11,(E11+K11),VLOOKUP(B11,table_HGL_JCTS,18,FALSE)))))</f>
        <v>382.68707707822375</v>
      </c>
      <c r="G11" s="62">
        <f>VLOOKUP(C11,table_CIA_JCTS,18)</f>
        <v>54</v>
      </c>
      <c r="H11" s="60">
        <f>VLOOKUP(C11,table_CIA_JCTS,17)</f>
        <v>82.426530408429684</v>
      </c>
      <c r="I11" s="62">
        <f>VLOOKUP(C11,table_CIA_JCTS,21)</f>
        <v>236</v>
      </c>
      <c r="J11" s="61">
        <f>H11/((G11/12)^2*3.1416/4)</f>
        <v>5.1826406240072487</v>
      </c>
      <c r="K11" s="61">
        <f>(J11^2)/64.4</f>
        <v>0.41707707822376155</v>
      </c>
      <c r="L11" s="63">
        <f>(H11/((1.486/cell_NP)*((3.1416*(G11/12)^2)/4)*(G11/48)^(2/3)))^2</f>
        <v>1.7569035175464393E-3</v>
      </c>
      <c r="M11" s="61">
        <f>L11*I11</f>
        <v>0.41462923014095965</v>
      </c>
      <c r="N11" s="68" t="s">
        <v>10</v>
      </c>
      <c r="O11" s="72" t="s">
        <v>128</v>
      </c>
      <c r="P11" s="61">
        <f>IF(ISBLANK(O11)=FALSE,(VLOOKUP(O11,table_MINOR,2,FALSE))*(K11)," ")</f>
        <v>0.41707707822376155</v>
      </c>
      <c r="Q11" s="61">
        <f>SUM(P11:P13)</f>
        <v>0.6256156173356423</v>
      </c>
      <c r="R11" s="61">
        <f>Q11+M11</f>
        <v>1.040244847476602</v>
      </c>
      <c r="S11" s="61">
        <f>IF(O11="T-INTERSECTION",T11,(T11-K11))</f>
        <v>383.31024484747661</v>
      </c>
      <c r="T11" s="61">
        <f>IF(O11="T-INTERSECTION",(R11+F11-K11),(R11+F11))</f>
        <v>383.72732192570038</v>
      </c>
      <c r="U11" s="61">
        <f>VLOOKUP(C11,table_CIA_JCTS,26)</f>
        <v>392</v>
      </c>
      <c r="V11" s="61">
        <f>U11-0.5-S11</f>
        <v>8.1897551525233894</v>
      </c>
      <c r="W11" s="61" t="s">
        <v>10</v>
      </c>
      <c r="X11" s="69" t="str">
        <f>IF(B11&gt;0,VLOOKUP(B11,table_CIA_JCTS,28)," ")</f>
        <v xml:space="preserve"> </v>
      </c>
      <c r="Y11" s="1">
        <v>8.1897551525233894</v>
      </c>
    </row>
    <row r="12" spans="1:26" customFormat="1" hidden="1" x14ac:dyDescent="0.2">
      <c r="B12" s="216" t="s">
        <v>10</v>
      </c>
      <c r="C12" s="217" t="s">
        <v>10</v>
      </c>
      <c r="D12" s="62" t="s">
        <v>10</v>
      </c>
      <c r="E12" s="61" t="s">
        <v>10</v>
      </c>
      <c r="F12" s="61" t="s">
        <v>10</v>
      </c>
      <c r="G12" s="62" t="s">
        <v>10</v>
      </c>
      <c r="H12" s="60" t="s">
        <v>10</v>
      </c>
      <c r="I12" s="62" t="s">
        <v>10</v>
      </c>
      <c r="J12" s="61" t="s">
        <v>10</v>
      </c>
      <c r="K12" s="68">
        <f>K11</f>
        <v>0.41707707822376155</v>
      </c>
      <c r="L12" s="63" t="s">
        <v>10</v>
      </c>
      <c r="M12" s="61" t="s">
        <v>10</v>
      </c>
      <c r="N12" s="68" t="s">
        <v>10</v>
      </c>
      <c r="O12" s="52" t="s">
        <v>129</v>
      </c>
      <c r="P12" s="61">
        <f>IF(ISBLANK(O12)=FALSE,(VLOOKUP(O12,table_MINOR,2,FALSE))*(K12)," ")</f>
        <v>0.20853853911188078</v>
      </c>
      <c r="Q12" s="61" t="s">
        <v>10</v>
      </c>
      <c r="R12" s="61" t="s">
        <v>10</v>
      </c>
      <c r="S12" s="61" t="s">
        <v>10</v>
      </c>
      <c r="T12" s="61" t="s">
        <v>10</v>
      </c>
      <c r="U12" s="61" t="s">
        <v>10</v>
      </c>
      <c r="V12" s="61" t="s">
        <v>10</v>
      </c>
      <c r="W12" s="61" t="s">
        <v>10</v>
      </c>
      <c r="X12" s="69" t="s">
        <v>10</v>
      </c>
      <c r="Y12" s="1" t="s">
        <v>10</v>
      </c>
    </row>
    <row r="13" spans="1:26" customFormat="1" hidden="1" x14ac:dyDescent="0.2">
      <c r="B13" s="216" t="s">
        <v>10</v>
      </c>
      <c r="C13" s="217" t="s">
        <v>10</v>
      </c>
      <c r="D13" s="62" t="s">
        <v>10</v>
      </c>
      <c r="E13" s="61" t="s">
        <v>10</v>
      </c>
      <c r="F13" s="61" t="s">
        <v>10</v>
      </c>
      <c r="G13" s="62" t="s">
        <v>10</v>
      </c>
      <c r="H13" s="60" t="s">
        <v>10</v>
      </c>
      <c r="I13" s="62" t="s">
        <v>10</v>
      </c>
      <c r="J13" s="61" t="s">
        <v>10</v>
      </c>
      <c r="K13" s="68">
        <f>K12</f>
        <v>0.41707707822376155</v>
      </c>
      <c r="L13" s="63" t="s">
        <v>10</v>
      </c>
      <c r="M13" s="61" t="s">
        <v>10</v>
      </c>
      <c r="N13" s="68" t="s">
        <v>10</v>
      </c>
      <c r="O13" s="52" t="s">
        <v>10</v>
      </c>
      <c r="P13" s="257" t="s">
        <v>10</v>
      </c>
      <c r="Q13" s="61" t="s">
        <v>10</v>
      </c>
      <c r="R13" s="61" t="s">
        <v>10</v>
      </c>
      <c r="S13" s="61" t="s">
        <v>10</v>
      </c>
      <c r="T13" s="61" t="s">
        <v>10</v>
      </c>
      <c r="U13" s="61" t="s">
        <v>10</v>
      </c>
      <c r="V13" s="61" t="s">
        <v>10</v>
      </c>
      <c r="W13" s="61" t="s">
        <v>10</v>
      </c>
      <c r="X13" s="69" t="s">
        <v>10</v>
      </c>
      <c r="Y13" s="1" t="s">
        <v>10</v>
      </c>
    </row>
    <row r="14" spans="1:26" customFormat="1" hidden="1" x14ac:dyDescent="0.2">
      <c r="B14" s="216">
        <v>77</v>
      </c>
      <c r="C14" s="217">
        <v>75</v>
      </c>
      <c r="D14" s="58" t="s">
        <v>10</v>
      </c>
      <c r="E14" s="61">
        <f>IF(B14=0,cell_HGL,IF(VLOOKUP(B14,table_HGL_JCTS,17,FALSE)&lt;X14,X14,VLOOKUP(B14,table_HGL_JCTS,17,FALSE)))</f>
        <v>383.31024484747661</v>
      </c>
      <c r="F14" s="61">
        <f>IF(B14=0,(E14+K14),IF(VLOOKUP(B14,table_HGL_JCTS,13,FALSE)="T-INTERSECTION",(E14+K14),(IF(VLOOKUP(B14,table_HGL_JCTS,17,FALSE)&lt;X14,(E14+K14),VLOOKUP(B14,table_HGL_JCTS,18,FALSE)))))</f>
        <v>383.72732192570038</v>
      </c>
      <c r="G14" s="62">
        <f>VLOOKUP(C14,table_CIA_JCTS,18)</f>
        <v>54</v>
      </c>
      <c r="H14" s="60">
        <f>VLOOKUP(C14,table_CIA_JCTS,17)</f>
        <v>83.240469491174025</v>
      </c>
      <c r="I14" s="62">
        <f>VLOOKUP(C14,table_CIA_JCTS,21)</f>
        <v>408</v>
      </c>
      <c r="J14" s="61">
        <f>H14/((G14/12)^2*3.1416/4)</f>
        <v>5.2338177599948459</v>
      </c>
      <c r="K14" s="61">
        <f>(J14^2)/64.4</f>
        <v>0.42535478796331466</v>
      </c>
      <c r="L14" s="63">
        <f>(H14/((1.486/cell_NP)*((3.1416*(G14/12)^2)/4)*(G14/48)^(2/3)))^2</f>
        <v>1.791772701488614E-3</v>
      </c>
      <c r="M14" s="61">
        <f>L14*I14</f>
        <v>0.73104326220735449</v>
      </c>
      <c r="N14" s="68" t="s">
        <v>10</v>
      </c>
      <c r="O14" s="72" t="s">
        <v>131</v>
      </c>
      <c r="P14" s="61">
        <f>IF(ISBLANK(O14)=FALSE,(VLOOKUP(O14,table_MINOR,2,FALSE))*(K14)," ")</f>
        <v>0.10633869699082867</v>
      </c>
      <c r="Q14" s="61">
        <f>SUM(P14:P15)</f>
        <v>0.21267739398165733</v>
      </c>
      <c r="R14" s="61">
        <f>Q14+M14</f>
        <v>0.9437206561890118</v>
      </c>
      <c r="S14" s="61">
        <f>IF(O14="T-INTERSECTION",T14,(T14-K14))</f>
        <v>384.24568779392604</v>
      </c>
      <c r="T14" s="61">
        <f>IF(O14="T-INTERSECTION",(R14+F14-K14),(R14+F14))</f>
        <v>384.67104258188937</v>
      </c>
      <c r="U14" s="61">
        <f>VLOOKUP(C14,table_CIA_JCTS,26)</f>
        <v>392.24</v>
      </c>
      <c r="V14" s="61">
        <f>U14-0.5-S14</f>
        <v>7.4943122060739711</v>
      </c>
      <c r="W14" s="61" t="s">
        <v>10</v>
      </c>
      <c r="X14" s="69">
        <f>IF(B14&gt;0,VLOOKUP(B14,table_CIA_JCTS,28)," ")</f>
        <v>382.08</v>
      </c>
      <c r="Y14" s="1">
        <v>7.4943122060739711</v>
      </c>
    </row>
    <row r="15" spans="1:26" customFormat="1" hidden="1" x14ac:dyDescent="0.2">
      <c r="B15" s="216" t="s">
        <v>10</v>
      </c>
      <c r="C15" s="217" t="s">
        <v>10</v>
      </c>
      <c r="D15" s="62" t="s">
        <v>10</v>
      </c>
      <c r="E15" s="61" t="s">
        <v>10</v>
      </c>
      <c r="F15" s="61" t="s">
        <v>10</v>
      </c>
      <c r="G15" s="62" t="s">
        <v>10</v>
      </c>
      <c r="H15" s="60" t="s">
        <v>10</v>
      </c>
      <c r="I15" s="62" t="s">
        <v>10</v>
      </c>
      <c r="J15" s="61" t="s">
        <v>10</v>
      </c>
      <c r="K15" s="68">
        <f>K14</f>
        <v>0.42535478796331466</v>
      </c>
      <c r="L15" s="63" t="s">
        <v>10</v>
      </c>
      <c r="M15" s="61" t="s">
        <v>10</v>
      </c>
      <c r="N15" s="68" t="s">
        <v>10</v>
      </c>
      <c r="O15" s="52" t="s">
        <v>131</v>
      </c>
      <c r="P15" s="61">
        <f>IF(ISBLANK(O15)=FALSE,(VLOOKUP(O15,table_MINOR,2,FALSE))*(K15)," ")</f>
        <v>0.10633869699082867</v>
      </c>
      <c r="Q15" s="61" t="s">
        <v>10</v>
      </c>
      <c r="R15" s="61" t="s">
        <v>10</v>
      </c>
      <c r="S15" s="61" t="s">
        <v>10</v>
      </c>
      <c r="T15" s="61" t="s">
        <v>10</v>
      </c>
      <c r="U15" s="61" t="s">
        <v>10</v>
      </c>
      <c r="V15" s="61" t="s">
        <v>10</v>
      </c>
      <c r="W15" s="61" t="s">
        <v>10</v>
      </c>
      <c r="X15" s="69" t="s">
        <v>10</v>
      </c>
      <c r="Y15" s="1" t="s">
        <v>10</v>
      </c>
    </row>
    <row r="16" spans="1:26" hidden="1" x14ac:dyDescent="0.2">
      <c r="B16" s="216" t="s">
        <v>10</v>
      </c>
      <c r="C16" s="217" t="s">
        <v>10</v>
      </c>
      <c r="D16" s="62" t="s">
        <v>10</v>
      </c>
      <c r="E16" s="61" t="s">
        <v>10</v>
      </c>
      <c r="F16" s="61" t="s">
        <v>10</v>
      </c>
      <c r="G16" s="62" t="s">
        <v>10</v>
      </c>
      <c r="H16" s="60" t="s">
        <v>10</v>
      </c>
      <c r="I16" s="62" t="s">
        <v>10</v>
      </c>
      <c r="J16" s="61" t="s">
        <v>10</v>
      </c>
      <c r="K16" s="68"/>
      <c r="L16" s="63" t="s">
        <v>10</v>
      </c>
      <c r="M16" s="61" t="s">
        <v>10</v>
      </c>
      <c r="N16" s="68" t="s">
        <v>10</v>
      </c>
      <c r="O16" s="52" t="s">
        <v>10</v>
      </c>
      <c r="P16" s="257" t="s">
        <v>10</v>
      </c>
      <c r="Q16" s="61" t="s">
        <v>10</v>
      </c>
      <c r="R16" s="61" t="s">
        <v>10</v>
      </c>
      <c r="S16" s="61" t="s">
        <v>10</v>
      </c>
      <c r="T16" s="61" t="s">
        <v>10</v>
      </c>
      <c r="U16" s="61" t="s">
        <v>10</v>
      </c>
      <c r="V16" s="61" t="s">
        <v>10</v>
      </c>
      <c r="W16" s="61" t="s">
        <v>10</v>
      </c>
      <c r="X16" s="69" t="s">
        <v>10</v>
      </c>
      <c r="Y16" s="1" t="s">
        <v>10</v>
      </c>
    </row>
    <row r="17" spans="2:25" hidden="1" x14ac:dyDescent="0.2">
      <c r="B17" s="216">
        <v>75</v>
      </c>
      <c r="C17" s="217">
        <v>74</v>
      </c>
      <c r="D17" s="58" t="s">
        <v>10</v>
      </c>
      <c r="E17" s="61">
        <f>IF(B17=0,cell_HGL,IF(VLOOKUP(B17,table_HGL_JCTS,17,FALSE)&lt;X17,X17,VLOOKUP(B17,table_HGL_JCTS,17,FALSE)))</f>
        <v>384.24568779392604</v>
      </c>
      <c r="F17" s="61">
        <f>IF(B17=0,(E17+K17),IF(VLOOKUP(B17,table_HGL_JCTS,13,FALSE)="T-INTERSECTION",(E17+K17),(IF(VLOOKUP(B17,table_HGL_JCTS,17,FALSE)&lt;X17,(E17+K17),VLOOKUP(B17,table_HGL_JCTS,18,FALSE)))))</f>
        <v>384.67104258188937</v>
      </c>
      <c r="G17" s="62">
        <f>VLOOKUP(C17,table_CIA_JCTS,18)</f>
        <v>54</v>
      </c>
      <c r="H17" s="60">
        <f>VLOOKUP(C17,table_CIA_JCTS,17)</f>
        <v>83.240469491174025</v>
      </c>
      <c r="I17" s="62">
        <f>VLOOKUP(C17,table_CIA_JCTS,21)</f>
        <v>1008</v>
      </c>
      <c r="J17" s="61">
        <f>H17/((G17/12)^2*3.1416/4)</f>
        <v>5.2338177599948459</v>
      </c>
      <c r="K17" s="61">
        <f>(J17^2)/64.4</f>
        <v>0.42535478796331466</v>
      </c>
      <c r="L17" s="63">
        <f>(H17/((1.486/cell_NP)*((3.1416*(G17/12)^2)/4)*(G17/48)^(2/3)))^2</f>
        <v>1.791772701488614E-3</v>
      </c>
      <c r="M17" s="61">
        <f>L17*I17</f>
        <v>1.8061068831005229</v>
      </c>
      <c r="N17" s="68" t="s">
        <v>10</v>
      </c>
      <c r="O17" s="72" t="s">
        <v>131</v>
      </c>
      <c r="P17" s="61">
        <f>IF(ISBLANK(O17)=FALSE,(VLOOKUP(O17,table_MINOR,2,FALSE))*(K17)," ")</f>
        <v>0.10633869699082867</v>
      </c>
      <c r="Q17" s="61">
        <f>SUM(P17:P19)</f>
        <v>0.21267739398165733</v>
      </c>
      <c r="R17" s="61">
        <f>Q17+M17</f>
        <v>2.0187842770821804</v>
      </c>
      <c r="S17" s="61">
        <f>IF(O17="T-INTERSECTION",T17,(T17-K17))</f>
        <v>386.26447207100824</v>
      </c>
      <c r="T17" s="61">
        <f>IF(O17="T-INTERSECTION",(R17+F17-K17),(R17+F17))</f>
        <v>386.68982685897157</v>
      </c>
      <c r="U17" s="61">
        <f>VLOOKUP(C17,table_CIA_JCTS,26)</f>
        <v>395.18</v>
      </c>
      <c r="V17" s="61">
        <f>U17-0.5-S17</f>
        <v>8.4155279289917644</v>
      </c>
      <c r="W17" s="61" t="s">
        <v>10</v>
      </c>
      <c r="X17" s="69">
        <f>IF(B17&gt;0,VLOOKUP(B17,table_CIA_JCTS,28)," ")</f>
        <v>382.48</v>
      </c>
      <c r="Y17" s="1">
        <v>8.4155279289917644</v>
      </c>
    </row>
    <row r="18" spans="2:25" hidden="1" x14ac:dyDescent="0.2">
      <c r="B18" s="216" t="s">
        <v>10</v>
      </c>
      <c r="C18" s="217" t="s">
        <v>10</v>
      </c>
      <c r="D18" s="62" t="s">
        <v>10</v>
      </c>
      <c r="E18" s="61" t="s">
        <v>10</v>
      </c>
      <c r="F18" s="61" t="s">
        <v>10</v>
      </c>
      <c r="G18" s="62" t="s">
        <v>10</v>
      </c>
      <c r="H18" s="60" t="s">
        <v>10</v>
      </c>
      <c r="I18" s="62" t="s">
        <v>10</v>
      </c>
      <c r="J18" s="61" t="s">
        <v>10</v>
      </c>
      <c r="K18" s="68">
        <f>K17</f>
        <v>0.42535478796331466</v>
      </c>
      <c r="L18" s="63" t="s">
        <v>10</v>
      </c>
      <c r="M18" s="61" t="s">
        <v>10</v>
      </c>
      <c r="N18" s="68" t="s">
        <v>10</v>
      </c>
      <c r="O18" s="52" t="s">
        <v>131</v>
      </c>
      <c r="P18" s="61">
        <f>IF(ISBLANK(O18)=FALSE,(VLOOKUP(O18,table_MINOR,2,FALSE))*(K18)," ")</f>
        <v>0.10633869699082867</v>
      </c>
      <c r="Q18" s="61" t="s">
        <v>10</v>
      </c>
      <c r="R18" s="61" t="s">
        <v>10</v>
      </c>
      <c r="S18" s="61" t="s">
        <v>10</v>
      </c>
      <c r="T18" s="61" t="s">
        <v>10</v>
      </c>
      <c r="U18" s="61" t="s">
        <v>10</v>
      </c>
      <c r="V18" s="61" t="s">
        <v>10</v>
      </c>
      <c r="W18" s="61" t="s">
        <v>10</v>
      </c>
      <c r="X18" s="69" t="s">
        <v>10</v>
      </c>
      <c r="Y18" s="1" t="s">
        <v>10</v>
      </c>
    </row>
    <row r="19" spans="2:25" hidden="1" x14ac:dyDescent="0.2">
      <c r="B19" s="216" t="s">
        <v>10</v>
      </c>
      <c r="C19" s="217" t="s">
        <v>10</v>
      </c>
      <c r="D19" s="62" t="s">
        <v>10</v>
      </c>
      <c r="E19" s="61" t="s">
        <v>10</v>
      </c>
      <c r="F19" s="61" t="s">
        <v>10</v>
      </c>
      <c r="G19" s="62" t="s">
        <v>10</v>
      </c>
      <c r="H19" s="60" t="s">
        <v>10</v>
      </c>
      <c r="I19" s="62" t="s">
        <v>10</v>
      </c>
      <c r="J19" s="61" t="s">
        <v>10</v>
      </c>
      <c r="K19" s="68">
        <f>K18</f>
        <v>0.42535478796331466</v>
      </c>
      <c r="L19" s="63" t="s">
        <v>10</v>
      </c>
      <c r="M19" s="61" t="s">
        <v>10</v>
      </c>
      <c r="N19" s="68" t="s">
        <v>10</v>
      </c>
      <c r="O19" s="52" t="s">
        <v>10</v>
      </c>
      <c r="P19" s="257" t="s">
        <v>10</v>
      </c>
      <c r="Q19" s="61" t="s">
        <v>10</v>
      </c>
      <c r="R19" s="61" t="s">
        <v>10</v>
      </c>
      <c r="S19" s="61" t="s">
        <v>10</v>
      </c>
      <c r="T19" s="61" t="s">
        <v>10</v>
      </c>
      <c r="U19" s="61" t="s">
        <v>10</v>
      </c>
      <c r="V19" s="61" t="s">
        <v>10</v>
      </c>
      <c r="W19" s="61" t="s">
        <v>10</v>
      </c>
      <c r="X19" s="69" t="s">
        <v>10</v>
      </c>
      <c r="Y19" s="1" t="s">
        <v>10</v>
      </c>
    </row>
    <row r="20" spans="2:25" hidden="1" x14ac:dyDescent="0.2">
      <c r="B20" s="216">
        <v>74</v>
      </c>
      <c r="C20" s="217">
        <v>72</v>
      </c>
      <c r="D20" s="58" t="s">
        <v>10</v>
      </c>
      <c r="E20" s="61">
        <f>IF(B20=0,cell_HGL,IF(VLOOKUP(B20,table_HGL_JCTS,17,FALSE)&lt;X20,X20,VLOOKUP(B20,table_HGL_JCTS,17,FALSE)))</f>
        <v>386.26447207100824</v>
      </c>
      <c r="F20" s="61">
        <f>IF(B20=0,(E20+K20),IF(VLOOKUP(B20,table_HGL_JCTS,13,FALSE)="T-INTERSECTION",(E20+K20),(IF(VLOOKUP(B20,table_HGL_JCTS,17,FALSE)&lt;X20,(E20+K20),VLOOKUP(B20,table_HGL_JCTS,18,FALSE)))))</f>
        <v>386.68982685897157</v>
      </c>
      <c r="G20" s="62">
        <f>VLOOKUP(C20,table_CIA_JCTS,18)</f>
        <v>54</v>
      </c>
      <c r="H20" s="60">
        <f>VLOOKUP(C20,table_CIA_JCTS,17)</f>
        <v>83.240469491174025</v>
      </c>
      <c r="I20" s="62">
        <f>VLOOKUP(C20,table_CIA_JCTS,21)</f>
        <v>460</v>
      </c>
      <c r="J20" s="61">
        <f>H20/((G20/12)^2*3.1416/4)</f>
        <v>5.2338177599948459</v>
      </c>
      <c r="K20" s="61">
        <f>(J20^2)/64.4</f>
        <v>0.42535478796331466</v>
      </c>
      <c r="L20" s="63">
        <f>(H20/((1.486/cell_NP)*((3.1416*(G20/12)^2)/4)*(G20/48)^(2/3)))^2</f>
        <v>1.791772701488614E-3</v>
      </c>
      <c r="M20" s="61">
        <f>L20*I20</f>
        <v>0.82421544268476243</v>
      </c>
      <c r="N20" s="68" t="s">
        <v>10</v>
      </c>
      <c r="O20" s="72" t="s">
        <v>156</v>
      </c>
      <c r="P20" s="61">
        <f>IF(ISBLANK(O20)=FALSE,(VLOOKUP(O20,table_MINOR,2,FALSE))*(K20)," ")</f>
        <v>0.31901609097248601</v>
      </c>
      <c r="Q20" s="61">
        <f>SUM(P20:P21)</f>
        <v>0.31901609097248601</v>
      </c>
      <c r="R20" s="61">
        <f>Q20+M20</f>
        <v>1.1432315336572485</v>
      </c>
      <c r="S20" s="61">
        <f>IF(O20="T-INTERSECTION",T20,(T20-K20))</f>
        <v>387.40770360466547</v>
      </c>
      <c r="T20" s="61">
        <f>IF(O20="T-INTERSECTION",(R20+F20-K20),(R20+F20))</f>
        <v>387.8330583926288</v>
      </c>
      <c r="U20" s="61">
        <f>VLOOKUP(C20,table_CIA_JCTS,26)</f>
        <v>397.2</v>
      </c>
      <c r="V20" s="61">
        <f>U20-0.5-S20</f>
        <v>9.2922963953345175</v>
      </c>
      <c r="W20" s="61" t="s">
        <v>10</v>
      </c>
      <c r="X20" s="69">
        <f>IF(B20&gt;0,VLOOKUP(B20,table_CIA_JCTS,28)," ")</f>
        <v>384.11</v>
      </c>
      <c r="Y20" s="1">
        <v>9.2922963953345175</v>
      </c>
    </row>
    <row r="21" spans="2:25" hidden="1" x14ac:dyDescent="0.2">
      <c r="B21" s="216" t="s">
        <v>10</v>
      </c>
      <c r="C21" s="217" t="s">
        <v>10</v>
      </c>
      <c r="D21" s="62" t="s">
        <v>10</v>
      </c>
      <c r="E21" s="61" t="s">
        <v>10</v>
      </c>
      <c r="F21" s="61" t="s">
        <v>10</v>
      </c>
      <c r="G21" s="62" t="s">
        <v>10</v>
      </c>
      <c r="H21" s="60" t="s">
        <v>10</v>
      </c>
      <c r="I21" s="62" t="s">
        <v>10</v>
      </c>
      <c r="J21" s="61" t="s">
        <v>10</v>
      </c>
      <c r="K21" s="68">
        <f>K20</f>
        <v>0.42535478796331466</v>
      </c>
      <c r="L21" s="63" t="s">
        <v>10</v>
      </c>
      <c r="M21" s="61" t="s">
        <v>10</v>
      </c>
      <c r="N21" s="68" t="s">
        <v>10</v>
      </c>
      <c r="O21" s="52" t="s">
        <v>10</v>
      </c>
      <c r="P21" s="257" t="s">
        <v>10</v>
      </c>
      <c r="Q21" s="61" t="s">
        <v>10</v>
      </c>
      <c r="R21" s="61" t="s">
        <v>10</v>
      </c>
      <c r="S21" s="61" t="s">
        <v>10</v>
      </c>
      <c r="T21" s="61" t="s">
        <v>10</v>
      </c>
      <c r="U21" s="61" t="s">
        <v>10</v>
      </c>
      <c r="V21" s="61" t="s">
        <v>10</v>
      </c>
      <c r="W21" s="61" t="s">
        <v>10</v>
      </c>
      <c r="X21" s="69" t="s">
        <v>10</v>
      </c>
      <c r="Y21" s="1" t="s">
        <v>10</v>
      </c>
    </row>
    <row r="22" spans="2:25" hidden="1" x14ac:dyDescent="0.2">
      <c r="B22" s="216">
        <v>72</v>
      </c>
      <c r="C22" s="217">
        <v>71.900000000000006</v>
      </c>
      <c r="D22" s="58" t="s">
        <v>10</v>
      </c>
      <c r="E22" s="61">
        <f>IF(B22=0,cell_HGL,IF(VLOOKUP(B22,table_HGL_JCTS,17,FALSE)&lt;X22,X22,VLOOKUP(B22,table_HGL_JCTS,17,FALSE)))</f>
        <v>387.40770360466547</v>
      </c>
      <c r="F22" s="61">
        <f>IF(B22=0,(E22+K22),IF(VLOOKUP(B22,table_HGL_JCTS,13,FALSE)="T-INTERSECTION",(E22+K22),(IF(VLOOKUP(B22,table_HGL_JCTS,17,FALSE)&lt;X22,(E22+K22),VLOOKUP(B22,table_HGL_JCTS,18,FALSE)))))</f>
        <v>387.8330583926288</v>
      </c>
      <c r="G22" s="62">
        <f>VLOOKUP(C22,table_CIA_JCTS,18)</f>
        <v>54</v>
      </c>
      <c r="H22" s="60">
        <f>VLOOKUP(C22,table_CIA_JCTS,17)</f>
        <v>83.240469491174025</v>
      </c>
      <c r="I22" s="62">
        <f>VLOOKUP(C22,table_CIA_JCTS,21)</f>
        <v>27</v>
      </c>
      <c r="J22" s="61">
        <f>H22/((G22/12)^2*3.1416/4)</f>
        <v>5.2338177599948459</v>
      </c>
      <c r="K22" s="61">
        <f>(J22^2)/64.4</f>
        <v>0.42535478796331466</v>
      </c>
      <c r="L22" s="63">
        <f>(H22/((1.486/cell_NP)*((3.1416*(G22/12)^2)/4)*(G22/48)^(2/3)))^2</f>
        <v>1.791772701488614E-3</v>
      </c>
      <c r="M22" s="61">
        <f>L22*I22</f>
        <v>4.8377862940192577E-2</v>
      </c>
      <c r="N22" s="68" t="s">
        <v>10</v>
      </c>
      <c r="O22" s="72"/>
      <c r="P22" s="61"/>
      <c r="Q22" s="61">
        <f>SUM(P22:P23)</f>
        <v>0</v>
      </c>
      <c r="R22" s="61">
        <f>Q22+M22</f>
        <v>4.8377862940192577E-2</v>
      </c>
      <c r="S22" s="61">
        <f>IF(O22="T-INTERSECTION",T22,(T22-K22))</f>
        <v>387.45608146760566</v>
      </c>
      <c r="T22" s="61">
        <f>IF(O22="T-INTERSECTION",(R22+F22-K22),(R22+F22))</f>
        <v>387.45608146760566</v>
      </c>
      <c r="U22" s="61">
        <f>VLOOKUP(C22,table_CIA_JCTS,26)</f>
        <v>397</v>
      </c>
      <c r="V22" s="61">
        <f>U22-0.5-S22</f>
        <v>9.0439185323943434</v>
      </c>
      <c r="W22" s="61" t="s">
        <v>10</v>
      </c>
      <c r="X22" s="69">
        <f>IF(B22&gt;0,VLOOKUP(B22,table_CIA_JCTS,28)," ")</f>
        <v>384.92</v>
      </c>
      <c r="Y22" s="1">
        <v>9.0439185323943434</v>
      </c>
    </row>
    <row r="23" spans="2:25" hidden="1" x14ac:dyDescent="0.2">
      <c r="B23" s="216" t="s">
        <v>10</v>
      </c>
      <c r="C23" s="217" t="s">
        <v>10</v>
      </c>
      <c r="D23" s="62" t="s">
        <v>10</v>
      </c>
      <c r="E23" s="61" t="s">
        <v>10</v>
      </c>
      <c r="F23" s="61" t="s">
        <v>10</v>
      </c>
      <c r="G23" s="62" t="s">
        <v>10</v>
      </c>
      <c r="H23" s="60" t="s">
        <v>10</v>
      </c>
      <c r="I23" s="62" t="s">
        <v>10</v>
      </c>
      <c r="J23" s="61" t="s">
        <v>10</v>
      </c>
      <c r="K23" s="68">
        <f>K22</f>
        <v>0.42535478796331466</v>
      </c>
      <c r="L23" s="63" t="s">
        <v>10</v>
      </c>
      <c r="M23" s="61" t="s">
        <v>10</v>
      </c>
      <c r="N23" s="68" t="s">
        <v>10</v>
      </c>
      <c r="O23" s="52" t="s">
        <v>10</v>
      </c>
      <c r="P23" s="257" t="s">
        <v>10</v>
      </c>
      <c r="Q23" s="61" t="s">
        <v>10</v>
      </c>
      <c r="R23" s="61" t="s">
        <v>10</v>
      </c>
      <c r="S23" s="61" t="s">
        <v>10</v>
      </c>
      <c r="T23" s="61" t="s">
        <v>10</v>
      </c>
      <c r="U23" s="61" t="s">
        <v>10</v>
      </c>
      <c r="V23" s="61" t="s">
        <v>10</v>
      </c>
      <c r="W23" s="61" t="s">
        <v>10</v>
      </c>
      <c r="X23" s="69" t="s">
        <v>10</v>
      </c>
      <c r="Y23" s="1" t="s">
        <v>10</v>
      </c>
    </row>
    <row r="24" spans="2:25" hidden="1" x14ac:dyDescent="0.2">
      <c r="B24" s="216">
        <v>71.900000000000006</v>
      </c>
      <c r="C24" s="217">
        <v>71.099999999999994</v>
      </c>
      <c r="D24" s="58" t="s">
        <v>10</v>
      </c>
      <c r="E24" s="61">
        <f>IF(B24=0,cell_HGL,IF(VLOOKUP(B24,table_HGL_JCTS,17,FALSE)&lt;X24,X24,VLOOKUP(B24,table_HGL_JCTS,17,FALSE)))</f>
        <v>387.45608146760566</v>
      </c>
      <c r="F24" s="61">
        <f>IF(B24=0,(E24+K24),IF(VLOOKUP(B24,table_HGL_JCTS,13,FALSE)="T-INTERSECTION",(E24+K24),(IF(VLOOKUP(B24,table_HGL_JCTS,17,FALSE)&lt;X24,(E24+K24),VLOOKUP(B24,table_HGL_JCTS,18,FALSE)))))</f>
        <v>387.85521672690783</v>
      </c>
      <c r="G24" s="62">
        <f>VLOOKUP(C24,table_CIA_JCTS,18)</f>
        <v>54</v>
      </c>
      <c r="H24" s="60">
        <f>VLOOKUP(C24,table_CIA_JCTS,17)</f>
        <v>80.63413019012404</v>
      </c>
      <c r="I24" s="62">
        <f>VLOOKUP(C24,table_CIA_JCTS,21)</f>
        <v>317</v>
      </c>
      <c r="J24" s="61">
        <f>H24/((G24/12)^2*3.1416/4)</f>
        <v>5.0699418832032777</v>
      </c>
      <c r="K24" s="61">
        <f>(J24^2)/64.4</f>
        <v>0.39913525930215521</v>
      </c>
      <c r="L24" s="63">
        <f>(H24/((1.486/cell_NP)*((3.1416*(G24/12)^2)/4)*(G24/48)^(2/3)))^2</f>
        <v>1.6813250539473442E-3</v>
      </c>
      <c r="M24" s="61">
        <f>L24*I24</f>
        <v>0.53298004210130812</v>
      </c>
      <c r="N24" s="68" t="s">
        <v>10</v>
      </c>
      <c r="O24" s="72" t="s">
        <v>129</v>
      </c>
      <c r="P24" s="61">
        <f>IF(ISBLANK(O24)=FALSE,(VLOOKUP(O24,table_MINOR,2,FALSE))*(K24)," ")</f>
        <v>0.1995676296510776</v>
      </c>
      <c r="Q24" s="61">
        <f>SUM(P24:P25)</f>
        <v>0.1995676296510776</v>
      </c>
      <c r="R24" s="61">
        <f>Q24+M24</f>
        <v>0.73254767175238578</v>
      </c>
      <c r="S24" s="61">
        <f>IF(O24="T-INTERSECTION",T24,(T24-K24))</f>
        <v>388.18862913935806</v>
      </c>
      <c r="T24" s="61">
        <f>IF(O24="T-INTERSECTION",(R24+F24-K24),(R24+F24))</f>
        <v>388.58776439866023</v>
      </c>
      <c r="U24" s="61">
        <f>VLOOKUP(C24,table_CIA_JCTS,26)</f>
        <v>397.2</v>
      </c>
      <c r="V24" s="61">
        <f>U24-0.5-S24</f>
        <v>8.5113708606419323</v>
      </c>
      <c r="W24" s="61" t="s">
        <v>10</v>
      </c>
      <c r="X24" s="69">
        <f>IF(B24&gt;0,VLOOKUP(B24,table_CIA_JCTS,28)," ")</f>
        <v>384.96</v>
      </c>
      <c r="Y24" s="1">
        <v>8.5113708606419323</v>
      </c>
    </row>
    <row r="25" spans="2:25" hidden="1" x14ac:dyDescent="0.2">
      <c r="B25" s="216" t="s">
        <v>10</v>
      </c>
      <c r="C25" s="217" t="s">
        <v>10</v>
      </c>
      <c r="D25" s="62" t="s">
        <v>10</v>
      </c>
      <c r="E25" s="61" t="s">
        <v>10</v>
      </c>
      <c r="F25" s="61" t="s">
        <v>10</v>
      </c>
      <c r="G25" s="62" t="s">
        <v>10</v>
      </c>
      <c r="H25" s="60" t="s">
        <v>10</v>
      </c>
      <c r="I25" s="62" t="s">
        <v>10</v>
      </c>
      <c r="J25" s="61" t="s">
        <v>10</v>
      </c>
      <c r="K25" s="68">
        <f>K24</f>
        <v>0.39913525930215521</v>
      </c>
      <c r="L25" s="63" t="s">
        <v>10</v>
      </c>
      <c r="M25" s="61" t="s">
        <v>10</v>
      </c>
      <c r="N25" s="68" t="s">
        <v>10</v>
      </c>
      <c r="O25" s="52" t="s">
        <v>10</v>
      </c>
      <c r="P25" s="257" t="s">
        <v>10</v>
      </c>
      <c r="Q25" s="61" t="s">
        <v>10</v>
      </c>
      <c r="R25" s="61" t="s">
        <v>10</v>
      </c>
      <c r="S25" s="61" t="s">
        <v>10</v>
      </c>
      <c r="T25" s="61" t="s">
        <v>10</v>
      </c>
      <c r="U25" s="61" t="s">
        <v>10</v>
      </c>
      <c r="V25" s="61" t="s">
        <v>10</v>
      </c>
      <c r="W25" s="61" t="s">
        <v>10</v>
      </c>
      <c r="X25" s="69" t="s">
        <v>10</v>
      </c>
      <c r="Y25" s="1" t="s">
        <v>10</v>
      </c>
    </row>
    <row r="26" spans="2:25" hidden="1" x14ac:dyDescent="0.2">
      <c r="B26" s="216">
        <v>71.099999999999994</v>
      </c>
      <c r="C26" s="217">
        <v>71</v>
      </c>
      <c r="D26" s="58" t="s">
        <v>10</v>
      </c>
      <c r="E26" s="61">
        <f>IF(B26=0,cell_HGL,IF(VLOOKUP(B26,table_HGL_JCTS,17,FALSE)&lt;X26,X26,VLOOKUP(B26,table_HGL_JCTS,17,FALSE)))</f>
        <v>388.18862913935806</v>
      </c>
      <c r="F26" s="61">
        <f>IF(B26=0,(E26+K26),IF(VLOOKUP(B26,table_HGL_JCTS,13,FALSE)="T-INTERSECTION",(E26+K26),(IF(VLOOKUP(B26,table_HGL_JCTS,17,FALSE)&lt;X26,(E26+K26),VLOOKUP(B26,table_HGL_JCTS,18,FALSE)))))</f>
        <v>388.58776439866023</v>
      </c>
      <c r="G26" s="62">
        <f>VLOOKUP(C26,table_CIA_JCTS,18)</f>
        <v>54</v>
      </c>
      <c r="H26" s="60">
        <f>VLOOKUP(C26,table_CIA_JCTS,17)</f>
        <v>80.146204846674365</v>
      </c>
      <c r="I26" s="62">
        <f>VLOOKUP(C26,table_CIA_JCTS,21)</f>
        <v>960</v>
      </c>
      <c r="J26" s="61">
        <f>H26/((G26/12)^2*3.1416/4)</f>
        <v>5.039263147923327</v>
      </c>
      <c r="K26" s="61">
        <f>(J26^2)/64.4</f>
        <v>0.39431945767108878</v>
      </c>
      <c r="L26" s="63">
        <f>(H26/((1.486/cell_NP)*((3.1416*(G26/12)^2)/4)*(G26/48)^(2/3)))^2</f>
        <v>1.6610388784004657E-3</v>
      </c>
      <c r="M26" s="61">
        <f>L26*I26</f>
        <v>1.594597323264447</v>
      </c>
      <c r="N26" s="68" t="s">
        <v>10</v>
      </c>
      <c r="O26" s="72" t="s">
        <v>156</v>
      </c>
      <c r="P26" s="61">
        <f>IF(ISBLANK(O26)=FALSE,(VLOOKUP(O26,table_MINOR,2,FALSE))*(K26)," ")</f>
        <v>0.29573959325331656</v>
      </c>
      <c r="Q26" s="61">
        <f>SUM(P26:P27)</f>
        <v>0.29573959325331656</v>
      </c>
      <c r="R26" s="61">
        <f>Q26+M26</f>
        <v>1.8903369165177635</v>
      </c>
      <c r="S26" s="61">
        <f>IF(O26="T-INTERSECTION",T26,(T26-K26))</f>
        <v>390.08378185750689</v>
      </c>
      <c r="T26" s="61">
        <f>IF(O26="T-INTERSECTION",(R26+F26-K26),(R26+F26))</f>
        <v>390.47810131517798</v>
      </c>
      <c r="U26" s="61">
        <f>VLOOKUP(C26,table_CIA_JCTS,26)</f>
        <v>397.2</v>
      </c>
      <c r="V26" s="61">
        <f>U26-0.5-S26</f>
        <v>6.6162181424930964</v>
      </c>
      <c r="W26" s="61" t="s">
        <v>10</v>
      </c>
      <c r="X26" s="69">
        <f>IF(B26&gt;0,VLOOKUP(B26,table_CIA_JCTS,28)," ")</f>
        <v>385.73</v>
      </c>
      <c r="Y26" s="1">
        <v>6.6162181424930964</v>
      </c>
    </row>
    <row r="27" spans="2:25" hidden="1" x14ac:dyDescent="0.2">
      <c r="B27" s="216" t="s">
        <v>10</v>
      </c>
      <c r="C27" s="217" t="s">
        <v>10</v>
      </c>
      <c r="D27" s="62" t="s">
        <v>10</v>
      </c>
      <c r="E27" s="61" t="s">
        <v>10</v>
      </c>
      <c r="F27" s="61" t="s">
        <v>10</v>
      </c>
      <c r="G27" s="62" t="s">
        <v>10</v>
      </c>
      <c r="H27" s="60" t="s">
        <v>10</v>
      </c>
      <c r="I27" s="62" t="s">
        <v>10</v>
      </c>
      <c r="J27" s="61" t="s">
        <v>10</v>
      </c>
      <c r="K27" s="68">
        <f>K26</f>
        <v>0.39431945767108878</v>
      </c>
      <c r="L27" s="63" t="s">
        <v>10</v>
      </c>
      <c r="M27" s="61" t="s">
        <v>10</v>
      </c>
      <c r="N27" s="68" t="s">
        <v>10</v>
      </c>
      <c r="O27" s="52" t="s">
        <v>10</v>
      </c>
      <c r="P27" s="257" t="s">
        <v>10</v>
      </c>
      <c r="Q27" s="61" t="s">
        <v>10</v>
      </c>
      <c r="R27" s="61" t="s">
        <v>10</v>
      </c>
      <c r="S27" s="61" t="s">
        <v>10</v>
      </c>
      <c r="T27" s="61" t="s">
        <v>10</v>
      </c>
      <c r="U27" s="61" t="s">
        <v>10</v>
      </c>
      <c r="V27" s="61" t="s">
        <v>10</v>
      </c>
      <c r="W27" s="61" t="s">
        <v>10</v>
      </c>
      <c r="X27" s="69" t="s">
        <v>10</v>
      </c>
      <c r="Y27" s="1" t="s">
        <v>10</v>
      </c>
    </row>
    <row r="28" spans="2:25" hidden="1" x14ac:dyDescent="0.2">
      <c r="B28" s="216">
        <v>71</v>
      </c>
      <c r="C28" s="217">
        <v>69</v>
      </c>
      <c r="D28" s="58" t="s">
        <v>10</v>
      </c>
      <c r="E28" s="61">
        <f>IF(B28=0,cell_HGL,IF(VLOOKUP(B28,table_HGL_JCTS,17,FALSE)&lt;X28,X28,VLOOKUP(B28,table_HGL_JCTS,17,FALSE)))</f>
        <v>390.08378185750689</v>
      </c>
      <c r="F28" s="61">
        <f>IF(B28=0,(E28+K28),IF(VLOOKUP(B28,table_HGL_JCTS,13,FALSE)="T-INTERSECTION",(E28+K28),(IF(VLOOKUP(B28,table_HGL_JCTS,17,FALSE)&lt;X28,(E28+K28),VLOOKUP(B28,table_HGL_JCTS,18,FALSE)))))</f>
        <v>390.47810131517798</v>
      </c>
      <c r="G28" s="62">
        <f>VLOOKUP(C28,table_CIA_JCTS,18)</f>
        <v>54</v>
      </c>
      <c r="H28" s="60">
        <f>VLOOKUP(C28,table_CIA_JCTS,17)</f>
        <v>79.538342894347238</v>
      </c>
      <c r="I28" s="62">
        <f>VLOOKUP(C28,table_CIA_JCTS,21)</f>
        <v>1195</v>
      </c>
      <c r="J28" s="61">
        <f>H28/((G28/12)^2*3.1416/4)</f>
        <v>5.0010432928316622</v>
      </c>
      <c r="K28" s="61">
        <f>(J28^2)/64.4</f>
        <v>0.38836077665802099</v>
      </c>
      <c r="L28" s="63">
        <f>(H28/((1.486/cell_NP)*((3.1416*(G28/12)^2)/4)*(G28/48)^(2/3)))^2</f>
        <v>1.635938415732077E-3</v>
      </c>
      <c r="M28" s="61">
        <f>L28*I28</f>
        <v>1.9549464067998321</v>
      </c>
      <c r="N28" s="68" t="s">
        <v>10</v>
      </c>
      <c r="O28" s="72"/>
      <c r="P28" s="61" t="str">
        <f>IF(ISBLANK(O28)=FALSE,(VLOOKUP(O28,table_MINOR,2,FALSE))*(K28)," ")</f>
        <v xml:space="preserve"> </v>
      </c>
      <c r="Q28" s="61">
        <f>SUM(P28:P29)</f>
        <v>0</v>
      </c>
      <c r="R28" s="61">
        <f>Q28+M28</f>
        <v>1.9549464067998321</v>
      </c>
      <c r="S28" s="61">
        <f>IF(O28="T-INTERSECTION",T28,(T28-K28))</f>
        <v>392.04468694531977</v>
      </c>
      <c r="T28" s="61">
        <f>IF(O28="T-INTERSECTION",(R28+F28-K28),(R28+F28))</f>
        <v>392.04468694531977</v>
      </c>
      <c r="U28" s="61">
        <f>VLOOKUP(C28,table_CIA_JCTS,26)</f>
        <v>399.62</v>
      </c>
      <c r="V28" s="61">
        <f>U28-0.5-S28</f>
        <v>7.0753130546802367</v>
      </c>
      <c r="W28" s="61" t="s">
        <v>10</v>
      </c>
      <c r="X28" s="69">
        <f>IF(B28&gt;0,VLOOKUP(B28,table_CIA_JCTS,28)," ")</f>
        <v>389.08</v>
      </c>
      <c r="Y28" s="1">
        <v>7.0753130546802367</v>
      </c>
    </row>
    <row r="29" spans="2:25" hidden="1" x14ac:dyDescent="0.2">
      <c r="B29" s="216" t="s">
        <v>10</v>
      </c>
      <c r="C29" s="217" t="s">
        <v>10</v>
      </c>
      <c r="D29" s="62" t="s">
        <v>10</v>
      </c>
      <c r="E29" s="61" t="s">
        <v>10</v>
      </c>
      <c r="F29" s="61" t="s">
        <v>10</v>
      </c>
      <c r="G29" s="62" t="s">
        <v>10</v>
      </c>
      <c r="H29" s="60" t="s">
        <v>10</v>
      </c>
      <c r="I29" s="62" t="s">
        <v>10</v>
      </c>
      <c r="J29" s="61" t="s">
        <v>10</v>
      </c>
      <c r="K29" s="68">
        <f>K28</f>
        <v>0.38836077665802099</v>
      </c>
      <c r="L29" s="63" t="s">
        <v>10</v>
      </c>
      <c r="M29" s="61" t="s">
        <v>10</v>
      </c>
      <c r="N29" s="68" t="s">
        <v>10</v>
      </c>
      <c r="O29" s="52" t="s">
        <v>10</v>
      </c>
      <c r="P29" s="257" t="s">
        <v>10</v>
      </c>
      <c r="Q29" s="61" t="s">
        <v>10</v>
      </c>
      <c r="R29" s="61" t="s">
        <v>10</v>
      </c>
      <c r="S29" s="61" t="s">
        <v>10</v>
      </c>
      <c r="T29" s="61" t="s">
        <v>10</v>
      </c>
      <c r="U29" s="61" t="s">
        <v>10</v>
      </c>
      <c r="V29" s="61" t="s">
        <v>10</v>
      </c>
      <c r="W29" s="61" t="s">
        <v>10</v>
      </c>
      <c r="X29" s="69" t="s">
        <v>10</v>
      </c>
      <c r="Y29" s="1" t="s">
        <v>10</v>
      </c>
    </row>
    <row r="30" spans="2:25" hidden="1" x14ac:dyDescent="0.2">
      <c r="B30" s="216">
        <v>69</v>
      </c>
      <c r="C30" s="217">
        <v>65.3</v>
      </c>
      <c r="D30" s="58" t="s">
        <v>10</v>
      </c>
      <c r="E30" s="61">
        <f>IF(B30=0,cell_HGL,IF(VLOOKUP(B30,table_HGL_JCTS,17,FALSE)&lt;X30,X30,VLOOKUP(B30,table_HGL_JCTS,17,FALSE)))</f>
        <v>392.04468694531977</v>
      </c>
      <c r="F30" s="61">
        <f>IF(B30=0,(E30+K30),IF(VLOOKUP(B30,table_HGL_JCTS,13,FALSE)="T-INTERSECTION",(E30+K30),(IF(VLOOKUP(B30,table_HGL_JCTS,17,FALSE)&lt;X30,(E30+K30),VLOOKUP(B30,table_HGL_JCTS,18,FALSE)))))</f>
        <v>392.41026163873795</v>
      </c>
      <c r="G30" s="62">
        <f>VLOOKUP(C30,table_CIA_JCTS,18)</f>
        <v>54</v>
      </c>
      <c r="H30" s="60">
        <f>VLOOKUP(C30,table_CIA_JCTS,17)</f>
        <v>77.169719274813701</v>
      </c>
      <c r="I30" s="62">
        <f>VLOOKUP(C30,table_CIA_JCTS,21)</f>
        <v>209</v>
      </c>
      <c r="J30" s="61">
        <f>H30/((G30/12)^2*3.1416/4)</f>
        <v>4.8521139986741808</v>
      </c>
      <c r="K30" s="61">
        <f>(J30^2)/64.4</f>
        <v>0.3655746934181669</v>
      </c>
      <c r="L30" s="63">
        <f>(H30/((1.486/cell_NP)*((3.1416*(G30/12)^2)/4)*(G30/48)^(2/3)))^2</f>
        <v>1.5399538798144064E-3</v>
      </c>
      <c r="M30" s="61">
        <f>L30*I30</f>
        <v>0.32185036088121094</v>
      </c>
      <c r="N30" s="68" t="s">
        <v>10</v>
      </c>
      <c r="O30" s="72" t="s">
        <v>156</v>
      </c>
      <c r="P30" s="61">
        <f>IF(ISBLANK(O30)=FALSE,(VLOOKUP(O30,table_MINOR,2,FALSE))*(K30)," ")</f>
        <v>0.27418102006362516</v>
      </c>
      <c r="Q30" s="61">
        <f>SUM(P30:P31)</f>
        <v>0.27418102006362516</v>
      </c>
      <c r="R30" s="61">
        <f>Q30+M30</f>
        <v>0.5960313809448361</v>
      </c>
      <c r="S30" s="61">
        <f>IF(O30="T-INTERSECTION",T30,(T30-K30))</f>
        <v>392.64071832626462</v>
      </c>
      <c r="T30" s="61">
        <f>IF(O30="T-INTERSECTION",(R30+F30-K30),(R30+F30))</f>
        <v>393.0062930196828</v>
      </c>
      <c r="U30" s="61">
        <f>VLOOKUP(C30,table_CIA_JCTS,26)</f>
        <v>401.5</v>
      </c>
      <c r="V30" s="61">
        <f>U30-0.5-S30</f>
        <v>8.3592816737353814</v>
      </c>
      <c r="W30" s="61" t="s">
        <v>10</v>
      </c>
      <c r="X30" s="69">
        <f>IF(B30&gt;0,VLOOKUP(B30,table_CIA_JCTS,28)," ")</f>
        <v>391.68</v>
      </c>
      <c r="Y30" s="1">
        <v>8.3592816737353814</v>
      </c>
    </row>
    <row r="31" spans="2:25" hidden="1" x14ac:dyDescent="0.2">
      <c r="B31" s="216" t="s">
        <v>10</v>
      </c>
      <c r="C31" s="217" t="s">
        <v>10</v>
      </c>
      <c r="D31" s="62" t="s">
        <v>10</v>
      </c>
      <c r="E31" s="61" t="s">
        <v>10</v>
      </c>
      <c r="F31" s="61" t="s">
        <v>10</v>
      </c>
      <c r="G31" s="62" t="s">
        <v>10</v>
      </c>
      <c r="H31" s="60" t="s">
        <v>10</v>
      </c>
      <c r="I31" s="62" t="s">
        <v>10</v>
      </c>
      <c r="J31" s="61" t="s">
        <v>10</v>
      </c>
      <c r="K31" s="68">
        <f>K30</f>
        <v>0.3655746934181669</v>
      </c>
      <c r="L31" s="63" t="s">
        <v>10</v>
      </c>
      <c r="M31" s="61" t="s">
        <v>10</v>
      </c>
      <c r="N31" s="68" t="s">
        <v>10</v>
      </c>
      <c r="O31" s="52" t="s">
        <v>10</v>
      </c>
      <c r="P31" s="257" t="s">
        <v>10</v>
      </c>
      <c r="Q31" s="61" t="s">
        <v>10</v>
      </c>
      <c r="R31" s="61" t="s">
        <v>10</v>
      </c>
      <c r="S31" s="61" t="s">
        <v>10</v>
      </c>
      <c r="T31" s="61" t="s">
        <v>10</v>
      </c>
      <c r="U31" s="61" t="s">
        <v>10</v>
      </c>
      <c r="V31" s="61" t="s">
        <v>10</v>
      </c>
      <c r="W31" s="61" t="s">
        <v>10</v>
      </c>
      <c r="X31" s="69" t="s">
        <v>10</v>
      </c>
      <c r="Y31" s="1" t="s">
        <v>10</v>
      </c>
    </row>
    <row r="32" spans="2:25" hidden="1" x14ac:dyDescent="0.2">
      <c r="B32" s="216">
        <v>65.3</v>
      </c>
      <c r="C32" s="217">
        <v>65.099999999999994</v>
      </c>
      <c r="D32" s="58" t="s">
        <v>10</v>
      </c>
      <c r="E32" s="61">
        <f>IF(B32=0,cell_HGL,IF(VLOOKUP(B32,table_HGL_JCTS,17,FALSE)&lt;X32,X32,VLOOKUP(B32,table_HGL_JCTS,17,FALSE)))</f>
        <v>392.64071832626462</v>
      </c>
      <c r="F32" s="61">
        <f>IF(B32=0,(E32+K32),IF(VLOOKUP(B32,table_HGL_JCTS,13,FALSE)="T-INTERSECTION",(E32+K32),(IF(VLOOKUP(B32,table_HGL_JCTS,17,FALSE)&lt;X32,(E32+K32),VLOOKUP(B32,table_HGL_JCTS,18,FALSE)))))</f>
        <v>393.0062930196828</v>
      </c>
      <c r="G32" s="62">
        <f>VLOOKUP(C32,table_CIA_JCTS,18)</f>
        <v>54</v>
      </c>
      <c r="H32" s="60">
        <f>VLOOKUP(C32,table_CIA_JCTS,17)</f>
        <v>73.430706458973489</v>
      </c>
      <c r="I32" s="62">
        <f>VLOOKUP(C32,table_CIA_JCTS,21)</f>
        <v>153</v>
      </c>
      <c r="J32" s="61">
        <f>H32/((G32/12)^2*3.1416/4)</f>
        <v>4.6170202780354739</v>
      </c>
      <c r="K32" s="61">
        <f>(J32^2)/64.4</f>
        <v>0.33100739515203048</v>
      </c>
      <c r="L32" s="63">
        <f>(H32/((1.486/cell_NP)*((3.1416*(G32/12)^2)/4)*(G32/48)^(2/3)))^2</f>
        <v>1.3943419268044417E-3</v>
      </c>
      <c r="M32" s="61">
        <f>L32*I32</f>
        <v>0.21333431480107959</v>
      </c>
      <c r="N32" s="68" t="s">
        <v>10</v>
      </c>
      <c r="O32" s="52" t="s">
        <v>10</v>
      </c>
      <c r="P32" s="257" t="s">
        <v>10</v>
      </c>
      <c r="Q32" s="61">
        <f>SUM(P32)</f>
        <v>0</v>
      </c>
      <c r="R32" s="61">
        <f>Q32+M32</f>
        <v>0.21333431480107959</v>
      </c>
      <c r="S32" s="61">
        <f>IF(O32="T-INTERSECTION",T32,(T32-K32))</f>
        <v>392.88861993933187</v>
      </c>
      <c r="T32" s="61">
        <f>IF(O32="T-INTERSECTION",(R32+F32-K32),(R32+F32))</f>
        <v>393.2196273344839</v>
      </c>
      <c r="U32" s="61">
        <f>VLOOKUP(C32,table_CIA_JCTS,26)</f>
        <v>400.46</v>
      </c>
      <c r="V32" s="61">
        <f>U32-0.5-S32</f>
        <v>7.0713800606681048</v>
      </c>
      <c r="W32" s="61" t="s">
        <v>10</v>
      </c>
      <c r="X32" s="69" t="str">
        <f>IF(B32&gt;0,VLOOKUP(B32,table_CIA_JCTS,28)," ")</f>
        <v xml:space="preserve"> </v>
      </c>
      <c r="Y32" s="1">
        <v>7.0713800606681048</v>
      </c>
    </row>
    <row r="33" spans="2:25" hidden="1" x14ac:dyDescent="0.2">
      <c r="B33" s="216" t="s">
        <v>10</v>
      </c>
      <c r="C33" s="217" t="s">
        <v>10</v>
      </c>
      <c r="D33" s="62" t="s">
        <v>10</v>
      </c>
      <c r="E33" s="61" t="s">
        <v>10</v>
      </c>
      <c r="F33" s="61" t="s">
        <v>10</v>
      </c>
      <c r="G33" s="62" t="s">
        <v>10</v>
      </c>
      <c r="H33" s="60" t="s">
        <v>10</v>
      </c>
      <c r="I33" s="62" t="s">
        <v>10</v>
      </c>
      <c r="J33" s="61" t="s">
        <v>10</v>
      </c>
      <c r="K33" s="68" t="s">
        <v>10</v>
      </c>
      <c r="L33" s="63" t="s">
        <v>10</v>
      </c>
      <c r="M33" s="61" t="s">
        <v>10</v>
      </c>
      <c r="N33" s="68" t="s">
        <v>10</v>
      </c>
      <c r="O33" s="52" t="s">
        <v>176</v>
      </c>
      <c r="P33" s="61" t="s">
        <v>10</v>
      </c>
      <c r="Q33" s="61" t="s">
        <v>10</v>
      </c>
      <c r="R33" s="61" t="s">
        <v>10</v>
      </c>
      <c r="S33" s="61" t="s">
        <v>10</v>
      </c>
      <c r="T33" s="61" t="s">
        <v>10</v>
      </c>
      <c r="U33" s="61" t="s">
        <v>10</v>
      </c>
      <c r="V33" s="61" t="s">
        <v>10</v>
      </c>
      <c r="W33" s="61" t="s">
        <v>10</v>
      </c>
      <c r="X33" s="69" t="s">
        <v>10</v>
      </c>
      <c r="Y33" s="1" t="s">
        <v>10</v>
      </c>
    </row>
    <row r="34" spans="2:25" hidden="1" x14ac:dyDescent="0.2">
      <c r="B34" s="216">
        <v>65.099999999999994</v>
      </c>
      <c r="C34" s="217">
        <v>65</v>
      </c>
      <c r="D34" s="58" t="s">
        <v>10</v>
      </c>
      <c r="E34" s="61">
        <f>IF(B34=0,cell_HGL,IF(VLOOKUP(B34,table_HGL_JCTS,17,FALSE)&lt;X34,X34,VLOOKUP(B34,table_HGL_JCTS,17,FALSE)))</f>
        <v>393.26</v>
      </c>
      <c r="F34" s="61">
        <f>IF(B34=0,(E34+K34),IF(VLOOKUP(B34,table_HGL_JCTS,13,FALSE)="T-INTERSECTION",(E34+K34),(IF(VLOOKUP(B34,table_HGL_JCTS,17,FALSE)&lt;X34,(E34+K34),VLOOKUP(B34,table_HGL_JCTS,18,FALSE)))))</f>
        <v>393.6017841392208</v>
      </c>
      <c r="G34" s="62">
        <f>VLOOKUP(C34,table_CIA_JCTS,18)</f>
        <v>54</v>
      </c>
      <c r="H34" s="60">
        <f>VLOOKUP(C34,table_CIA_JCTS,17)</f>
        <v>74.616489132933637</v>
      </c>
      <c r="I34" s="62">
        <f>VLOOKUP(C34,table_CIA_JCTS,21)</f>
        <v>1237</v>
      </c>
      <c r="J34" s="61">
        <f>H34/((G34/12)^2*3.1416/4)</f>
        <v>4.6915774069945417</v>
      </c>
      <c r="K34" s="61">
        <f>(J34^2)/64.4</f>
        <v>0.34178413922083267</v>
      </c>
      <c r="L34" s="63">
        <f>(H34/((1.486/cell_NP)*((3.1416*(G34/12)^2)/4)*(G34/48)^(2/3)))^2</f>
        <v>1.439738091088537E-3</v>
      </c>
      <c r="M34" s="61">
        <f>L34*I34</f>
        <v>1.7809560186765203</v>
      </c>
      <c r="N34" s="68" t="s">
        <v>10</v>
      </c>
      <c r="O34" s="72" t="s">
        <v>129</v>
      </c>
      <c r="P34" s="61">
        <f>IF(ISBLANK(O34)=FALSE,(VLOOKUP(O34,table_MINOR,2,FALSE))*(K34)," ")</f>
        <v>0.17089206961041634</v>
      </c>
      <c r="Q34" s="61">
        <f>SUM(P34:P36)</f>
        <v>0.46140858794812412</v>
      </c>
      <c r="R34" s="61">
        <f>Q34+M34</f>
        <v>2.2423646066246445</v>
      </c>
      <c r="S34" s="61">
        <f>IF(O34="T-INTERSECTION",T34,(T34-K34))</f>
        <v>395.50236460662461</v>
      </c>
      <c r="T34" s="61">
        <f>IF(O34="T-INTERSECTION",(R34+F34-K34),(R34+F34))</f>
        <v>395.84414874584542</v>
      </c>
      <c r="U34" s="61">
        <f>VLOOKUP(C34,table_CIA_JCTS,26)</f>
        <v>405</v>
      </c>
      <c r="V34" s="61">
        <f>U34-0.5-S34</f>
        <v>8.9976353933753899</v>
      </c>
      <c r="W34" s="61" t="s">
        <v>10</v>
      </c>
      <c r="X34" s="69">
        <f>IF(B34&gt;0,VLOOKUP(B34,table_CIA_JCTS,28)," ")</f>
        <v>393.26</v>
      </c>
      <c r="Y34" s="1">
        <v>8.9976353933753899</v>
      </c>
    </row>
    <row r="35" spans="2:25" hidden="1" x14ac:dyDescent="0.2">
      <c r="B35" s="216" t="s">
        <v>10</v>
      </c>
      <c r="C35" s="217" t="s">
        <v>10</v>
      </c>
      <c r="D35" s="62" t="s">
        <v>10</v>
      </c>
      <c r="E35" s="61" t="s">
        <v>10</v>
      </c>
      <c r="F35" s="61" t="s">
        <v>10</v>
      </c>
      <c r="G35" s="62" t="s">
        <v>10</v>
      </c>
      <c r="H35" s="60" t="s">
        <v>10</v>
      </c>
      <c r="I35" s="62" t="s">
        <v>10</v>
      </c>
      <c r="J35" s="61" t="s">
        <v>10</v>
      </c>
      <c r="K35" s="68">
        <f>K34</f>
        <v>0.34178413922083267</v>
      </c>
      <c r="L35" s="63" t="s">
        <v>10</v>
      </c>
      <c r="M35" s="61" t="s">
        <v>10</v>
      </c>
      <c r="N35" s="68" t="s">
        <v>10</v>
      </c>
      <c r="O35" s="52" t="s">
        <v>131</v>
      </c>
      <c r="P35" s="61">
        <f>IF(ISBLANK(O35)=FALSE,(VLOOKUP(O35,table_MINOR,2,FALSE))*(K35)," ")</f>
        <v>8.5446034805208168E-2</v>
      </c>
      <c r="Q35" s="61" t="s">
        <v>10</v>
      </c>
      <c r="R35" s="61" t="s">
        <v>10</v>
      </c>
      <c r="S35" s="61" t="s">
        <v>10</v>
      </c>
      <c r="T35" s="61" t="s">
        <v>10</v>
      </c>
      <c r="U35" s="61" t="s">
        <v>10</v>
      </c>
      <c r="V35" s="61" t="s">
        <v>10</v>
      </c>
      <c r="W35" s="61" t="s">
        <v>10</v>
      </c>
      <c r="X35" s="69" t="s">
        <v>10</v>
      </c>
      <c r="Y35" s="1" t="s">
        <v>10</v>
      </c>
    </row>
    <row r="36" spans="2:25" hidden="1" x14ac:dyDescent="0.2">
      <c r="B36" s="216" t="s">
        <v>10</v>
      </c>
      <c r="C36" s="217" t="s">
        <v>10</v>
      </c>
      <c r="D36" s="62" t="s">
        <v>10</v>
      </c>
      <c r="E36" s="61" t="s">
        <v>10</v>
      </c>
      <c r="F36" s="61" t="s">
        <v>10</v>
      </c>
      <c r="G36" s="62" t="s">
        <v>10</v>
      </c>
      <c r="H36" s="60" t="s">
        <v>10</v>
      </c>
      <c r="I36" s="62" t="s">
        <v>10</v>
      </c>
      <c r="J36" s="61" t="s">
        <v>10</v>
      </c>
      <c r="K36" s="68">
        <f>K35</f>
        <v>0.34178413922083267</v>
      </c>
      <c r="L36" s="63" t="s">
        <v>10</v>
      </c>
      <c r="M36" s="61" t="s">
        <v>10</v>
      </c>
      <c r="N36" s="68" t="s">
        <v>10</v>
      </c>
      <c r="O36" s="72" t="s">
        <v>152</v>
      </c>
      <c r="P36" s="61">
        <f>IF(ISBLANK(O36)=FALSE,(VLOOKUP(O36,table_MINOR,2,FALSE))*(K36)," ")</f>
        <v>0.2050704835324996</v>
      </c>
      <c r="Q36" s="61" t="s">
        <v>10</v>
      </c>
      <c r="R36" s="61" t="s">
        <v>10</v>
      </c>
      <c r="S36" s="61" t="s">
        <v>10</v>
      </c>
      <c r="T36" s="61" t="s">
        <v>10</v>
      </c>
      <c r="U36" s="61" t="s">
        <v>10</v>
      </c>
      <c r="V36" s="61" t="s">
        <v>10</v>
      </c>
      <c r="W36" s="61" t="s">
        <v>10</v>
      </c>
      <c r="X36" s="69" t="s">
        <v>10</v>
      </c>
      <c r="Y36" s="1" t="s">
        <v>10</v>
      </c>
    </row>
    <row r="37" spans="2:25" hidden="1" x14ac:dyDescent="0.2">
      <c r="B37" s="216" t="s">
        <v>10</v>
      </c>
      <c r="C37" s="217" t="s">
        <v>10</v>
      </c>
      <c r="D37" s="62" t="s">
        <v>10</v>
      </c>
      <c r="E37" s="61" t="s">
        <v>10</v>
      </c>
      <c r="F37" s="61" t="s">
        <v>10</v>
      </c>
      <c r="G37" s="62" t="s">
        <v>10</v>
      </c>
      <c r="H37" s="60" t="s">
        <v>10</v>
      </c>
      <c r="I37" s="62" t="s">
        <v>10</v>
      </c>
      <c r="J37" s="61" t="s">
        <v>10</v>
      </c>
      <c r="K37" s="68" t="s">
        <v>10</v>
      </c>
      <c r="L37" s="63" t="s">
        <v>10</v>
      </c>
      <c r="M37" s="61" t="s">
        <v>10</v>
      </c>
      <c r="N37" s="68" t="s">
        <v>10</v>
      </c>
      <c r="O37" s="52" t="s">
        <v>176</v>
      </c>
      <c r="P37" s="61" t="s">
        <v>10</v>
      </c>
      <c r="Q37" s="61" t="s">
        <v>10</v>
      </c>
      <c r="R37" s="61" t="s">
        <v>10</v>
      </c>
      <c r="S37" s="61" t="s">
        <v>10</v>
      </c>
      <c r="T37" s="61" t="s">
        <v>10</v>
      </c>
      <c r="U37" s="61" t="s">
        <v>10</v>
      </c>
      <c r="V37" s="61" t="s">
        <v>10</v>
      </c>
      <c r="W37" s="61" t="s">
        <v>10</v>
      </c>
      <c r="X37" s="69" t="s">
        <v>10</v>
      </c>
      <c r="Y37" s="1" t="s">
        <v>10</v>
      </c>
    </row>
    <row r="38" spans="2:25" hidden="1" x14ac:dyDescent="0.2">
      <c r="B38" s="216">
        <v>65</v>
      </c>
      <c r="C38" s="217">
        <v>63</v>
      </c>
      <c r="D38" s="58" t="s">
        <v>10</v>
      </c>
      <c r="E38" s="61">
        <f>IF(B38=0,cell_HGL,IF(VLOOKUP(B38,table_HGL_JCTS,17,FALSE)&lt;X38,X38,VLOOKUP(B38,table_HGL_JCTS,17,FALSE)))</f>
        <v>395.50236460662461</v>
      </c>
      <c r="F38" s="61">
        <f>IF(B38=0,(E38+K38),IF(VLOOKUP(B38,table_HGL_JCTS,13,FALSE)="T-INTERSECTION",(E38+K38),(IF(VLOOKUP(B38,table_HGL_JCTS,17,FALSE)&lt;X38,(E38+K38),VLOOKUP(B38,table_HGL_JCTS,18,FALSE)))))</f>
        <v>395.84414874584542</v>
      </c>
      <c r="G38" s="62">
        <f>VLOOKUP(C38,table_CIA_JCTS,18)</f>
        <v>54</v>
      </c>
      <c r="H38" s="60">
        <f>VLOOKUP(C38,table_CIA_JCTS,17)</f>
        <v>67.035146411808014</v>
      </c>
      <c r="I38" s="62">
        <f>VLOOKUP(C38,table_CIA_JCTS,21)</f>
        <v>330</v>
      </c>
      <c r="J38" s="61">
        <f>H38/((G38/12)^2*3.1416/4)</f>
        <v>4.214893812812722</v>
      </c>
      <c r="K38" s="61">
        <f>(J38^2)/64.4</f>
        <v>0.27585915921253046</v>
      </c>
      <c r="L38" s="63">
        <f>(H38/((1.486/cell_NP)*((3.1416*(G38/12)^2)/4)*(G38/48)^(2/3)))^2</f>
        <v>1.1620344355339502E-3</v>
      </c>
      <c r="M38" s="61">
        <f>L38*I38</f>
        <v>0.38347136372620355</v>
      </c>
      <c r="N38" s="68" t="s">
        <v>10</v>
      </c>
      <c r="O38" s="52" t="s">
        <v>10</v>
      </c>
      <c r="P38" s="257" t="s">
        <v>10</v>
      </c>
      <c r="Q38" s="61">
        <f>SUM(P38)</f>
        <v>0</v>
      </c>
      <c r="R38" s="61">
        <f>Q38+M38</f>
        <v>0.38347136372620355</v>
      </c>
      <c r="S38" s="61">
        <f>IF(O38="T-INTERSECTION",T38,(T38-K38))</f>
        <v>395.95176095035907</v>
      </c>
      <c r="T38" s="61">
        <f>IF(O38="T-INTERSECTION",(R38+F38-K38),(R38+F38))</f>
        <v>396.2276201095716</v>
      </c>
      <c r="U38" s="61">
        <f>VLOOKUP(C38,table_CIA_JCTS,26)</f>
        <v>404.69</v>
      </c>
      <c r="V38" s="61">
        <f>U38-0.5-S38</f>
        <v>8.2382390496409243</v>
      </c>
      <c r="W38" s="61" t="s">
        <v>10</v>
      </c>
      <c r="X38" s="69">
        <f>IF(B38&gt;0,VLOOKUP(B38,table_CIA_JCTS,28)," ")</f>
        <v>369.79</v>
      </c>
      <c r="Y38" s="1">
        <v>8.2382390496409243</v>
      </c>
    </row>
    <row r="39" spans="2:25" hidden="1" x14ac:dyDescent="0.2">
      <c r="B39" s="216" t="s">
        <v>10</v>
      </c>
      <c r="C39" s="217" t="s">
        <v>10</v>
      </c>
      <c r="D39" s="62" t="s">
        <v>10</v>
      </c>
      <c r="E39" s="61" t="s">
        <v>10</v>
      </c>
      <c r="F39" s="61" t="s">
        <v>10</v>
      </c>
      <c r="G39" s="62" t="s">
        <v>10</v>
      </c>
      <c r="H39" s="60" t="s">
        <v>10</v>
      </c>
      <c r="I39" s="62" t="s">
        <v>10</v>
      </c>
      <c r="J39" s="61" t="s">
        <v>10</v>
      </c>
      <c r="K39" s="68" t="s">
        <v>10</v>
      </c>
      <c r="L39" s="63" t="s">
        <v>10</v>
      </c>
      <c r="M39" s="61" t="s">
        <v>10</v>
      </c>
      <c r="N39" s="68" t="s">
        <v>10</v>
      </c>
      <c r="O39" s="52" t="s">
        <v>176</v>
      </c>
      <c r="P39" s="61" t="s">
        <v>10</v>
      </c>
      <c r="Q39" s="61" t="s">
        <v>10</v>
      </c>
      <c r="R39" s="61" t="s">
        <v>10</v>
      </c>
      <c r="S39" s="61" t="s">
        <v>10</v>
      </c>
      <c r="T39" s="61" t="s">
        <v>10</v>
      </c>
      <c r="U39" s="61" t="s">
        <v>10</v>
      </c>
      <c r="V39" s="61" t="s">
        <v>10</v>
      </c>
      <c r="W39" s="61" t="s">
        <v>10</v>
      </c>
      <c r="X39" s="69" t="s">
        <v>10</v>
      </c>
      <c r="Y39" s="1" t="s">
        <v>10</v>
      </c>
    </row>
    <row r="40" spans="2:25" hidden="1" x14ac:dyDescent="0.2">
      <c r="B40" s="216">
        <v>63</v>
      </c>
      <c r="C40" s="217">
        <v>62</v>
      </c>
      <c r="D40" s="58" t="s">
        <v>10</v>
      </c>
      <c r="E40" s="61">
        <f>IF(B40=0,cell_HGL,IF(VLOOKUP(B40,table_HGL_JCTS,17,FALSE)&lt;X40,X40,VLOOKUP(B40,table_HGL_JCTS,17,FALSE)))</f>
        <v>397.23</v>
      </c>
      <c r="F40" s="61">
        <f>IF(B40=0,(E40+K40),IF(VLOOKUP(B40,table_HGL_JCTS,13,FALSE)="T-INTERSECTION",(E40+K40),(IF(VLOOKUP(B40,table_HGL_JCTS,17,FALSE)&lt;X40,(E40+K40),VLOOKUP(B40,table_HGL_JCTS,18,FALSE)))))</f>
        <v>397.50518728113627</v>
      </c>
      <c r="G40" s="62">
        <f>VLOOKUP(C40,table_CIA_JCTS,18)</f>
        <v>54</v>
      </c>
      <c r="H40" s="60">
        <f>VLOOKUP(C40,table_CIA_JCTS,17)</f>
        <v>66.953461788531769</v>
      </c>
      <c r="I40" s="62">
        <f>VLOOKUP(C40,table_CIA_JCTS,21)</f>
        <v>619</v>
      </c>
      <c r="J40" s="61">
        <f>H40/((G40/12)^2*3.1416/4)</f>
        <v>4.2097578202524319</v>
      </c>
      <c r="K40" s="61">
        <f>(J40^2)/64.4</f>
        <v>0.27518728113628116</v>
      </c>
      <c r="L40" s="63">
        <f>(H40/((1.486/cell_NP)*((3.1416*(G40/12)^2)/4)*(G40/48)^(2/3)))^2</f>
        <v>1.1592042033846512E-3</v>
      </c>
      <c r="M40" s="61">
        <f>L40*I40</f>
        <v>0.71754740189509914</v>
      </c>
      <c r="N40" s="68" t="s">
        <v>10</v>
      </c>
      <c r="O40" s="72" t="s">
        <v>156</v>
      </c>
      <c r="P40" s="61">
        <f>IF(ISBLANK(O40)=FALSE,(VLOOKUP(O40,table_MINOR,2,FALSE))*(K40)," ")</f>
        <v>0.20639046085221086</v>
      </c>
      <c r="Q40" s="61">
        <f>SUM(P40)</f>
        <v>0.20639046085221086</v>
      </c>
      <c r="R40" s="61">
        <f>Q40+M40</f>
        <v>0.92393786274731005</v>
      </c>
      <c r="S40" s="61">
        <f>IF(O40="T-INTERSECTION",T40,(T40-K40))</f>
        <v>398.15393786274734</v>
      </c>
      <c r="T40" s="61">
        <f>IF(O40="T-INTERSECTION",(R40+F40-K40),(R40+F40))</f>
        <v>398.4291251438836</v>
      </c>
      <c r="U40" s="61">
        <f>VLOOKUP(C40,table_CIA_JCTS,26)</f>
        <v>404.25</v>
      </c>
      <c r="V40" s="61">
        <f>U40-0.5-S40</f>
        <v>5.5960621372526589</v>
      </c>
      <c r="W40" s="61" t="s">
        <v>10</v>
      </c>
      <c r="X40" s="69">
        <f>IF(B40&gt;0,VLOOKUP(B40,table_CIA_JCTS,28)," ")</f>
        <v>397.23</v>
      </c>
      <c r="Y40" s="1">
        <v>5.5960621372526589</v>
      </c>
    </row>
    <row r="41" spans="2:25" hidden="1" x14ac:dyDescent="0.2">
      <c r="B41" s="216" t="s">
        <v>10</v>
      </c>
      <c r="C41" s="217" t="s">
        <v>10</v>
      </c>
      <c r="D41" s="62" t="s">
        <v>10</v>
      </c>
      <c r="E41" s="61" t="s">
        <v>10</v>
      </c>
      <c r="F41" s="61" t="s">
        <v>10</v>
      </c>
      <c r="G41" s="62" t="s">
        <v>10</v>
      </c>
      <c r="H41" s="60" t="s">
        <v>10</v>
      </c>
      <c r="I41" s="62" t="s">
        <v>10</v>
      </c>
      <c r="J41" s="61" t="s">
        <v>10</v>
      </c>
      <c r="K41" s="68" t="s">
        <v>10</v>
      </c>
      <c r="L41" s="63" t="s">
        <v>10</v>
      </c>
      <c r="M41" s="61" t="s">
        <v>10</v>
      </c>
      <c r="N41" s="68" t="s">
        <v>10</v>
      </c>
      <c r="O41" s="52" t="s">
        <v>176</v>
      </c>
      <c r="P41" s="61" t="s">
        <v>10</v>
      </c>
      <c r="Q41" s="61" t="s">
        <v>10</v>
      </c>
      <c r="R41" s="61" t="s">
        <v>10</v>
      </c>
      <c r="S41" s="61" t="s">
        <v>10</v>
      </c>
      <c r="T41" s="61" t="s">
        <v>10</v>
      </c>
      <c r="U41" s="61" t="s">
        <v>10</v>
      </c>
      <c r="V41" s="61" t="s">
        <v>10</v>
      </c>
      <c r="W41" s="61" t="s">
        <v>10</v>
      </c>
      <c r="X41" s="69" t="s">
        <v>10</v>
      </c>
      <c r="Y41" s="1" t="s">
        <v>10</v>
      </c>
    </row>
    <row r="42" spans="2:25" hidden="1" x14ac:dyDescent="0.2">
      <c r="B42" s="216">
        <v>62</v>
      </c>
      <c r="C42" s="217">
        <v>57</v>
      </c>
      <c r="D42" s="58" t="s">
        <v>10</v>
      </c>
      <c r="E42" s="61">
        <f>IF(B42=0,cell_HGL,IF(VLOOKUP(B42,table_HGL_JCTS,17,FALSE)&lt;X42,X42,VLOOKUP(B42,table_HGL_JCTS,17,FALSE)))</f>
        <v>398.44</v>
      </c>
      <c r="F42" s="61">
        <f>IF(B42=0,(E42+K42),IF(VLOOKUP(B42,table_HGL_JCTS,13,FALSE)="T-INTERSECTION",(E42+K42),(IF(VLOOKUP(B42,table_HGL_JCTS,17,FALSE)&lt;X42,(E42+K42),VLOOKUP(B42,table_HGL_JCTS,18,FALSE)))))</f>
        <v>398.67354694168574</v>
      </c>
      <c r="G42" s="62">
        <f>VLOOKUP(C42,table_CIA_JCTS,18)</f>
        <v>54</v>
      </c>
      <c r="H42" s="60">
        <f>VLOOKUP(C42,table_CIA_JCTS,17)</f>
        <v>61.680225163483072</v>
      </c>
      <c r="I42" s="62">
        <f>VLOOKUP(C42,table_CIA_JCTS,21)</f>
        <v>420</v>
      </c>
      <c r="J42" s="61">
        <f>H42/((G42/12)^2*3.1416/4)</f>
        <v>3.878198427693246</v>
      </c>
      <c r="K42" s="61">
        <f>(J42^2)/64.4</f>
        <v>0.23354694168575099</v>
      </c>
      <c r="L42" s="63">
        <f>(H42/((1.486/cell_NP)*((3.1416*(G42/12)^2)/4)*(G42/48)^(2/3)))^2</f>
        <v>9.8379763545713918E-4</v>
      </c>
      <c r="M42" s="61">
        <f>L42*I42</f>
        <v>0.41319500689199845</v>
      </c>
      <c r="N42" s="68" t="s">
        <v>10</v>
      </c>
      <c r="O42" s="72" t="s">
        <v>156</v>
      </c>
      <c r="P42" s="61">
        <f>IF(ISBLANK(O42)=FALSE,(VLOOKUP(O42,table_MINOR,2,FALSE))*(K42)," ")</f>
        <v>0.17516020626431325</v>
      </c>
      <c r="Q42" s="61">
        <f>SUM(P42)</f>
        <v>0.17516020626431325</v>
      </c>
      <c r="R42" s="61">
        <f>Q42+M42</f>
        <v>0.58835521315631167</v>
      </c>
      <c r="S42" s="61">
        <f>IF(O42="T-INTERSECTION",T42,(T42-K42))</f>
        <v>399.02835521315632</v>
      </c>
      <c r="T42" s="61">
        <f>IF(O42="T-INTERSECTION",(R42+F42-K42),(R42+F42))</f>
        <v>399.26190215484206</v>
      </c>
      <c r="U42" s="61">
        <f>VLOOKUP(C42,table_CIA_JCTS,26)</f>
        <v>404.82</v>
      </c>
      <c r="V42" s="61">
        <f>U42-0.5-S42</f>
        <v>5.2916447868436762</v>
      </c>
      <c r="W42" s="61" t="s">
        <v>10</v>
      </c>
      <c r="X42" s="69">
        <f>IF(B42&gt;0,VLOOKUP(B42,table_CIA_JCTS,28)," ")</f>
        <v>398.44</v>
      </c>
      <c r="Y42" s="1">
        <v>5.2916447868436762</v>
      </c>
    </row>
    <row r="43" spans="2:25" hidden="1" x14ac:dyDescent="0.2">
      <c r="B43" s="216" t="s">
        <v>10</v>
      </c>
      <c r="C43" s="217" t="s">
        <v>10</v>
      </c>
      <c r="D43" s="62" t="s">
        <v>10</v>
      </c>
      <c r="E43" s="61" t="s">
        <v>10</v>
      </c>
      <c r="F43" s="61" t="s">
        <v>10</v>
      </c>
      <c r="G43" s="62" t="s">
        <v>10</v>
      </c>
      <c r="H43" s="60" t="s">
        <v>10</v>
      </c>
      <c r="I43" s="62" t="s">
        <v>10</v>
      </c>
      <c r="J43" s="61" t="s">
        <v>10</v>
      </c>
      <c r="K43" s="68" t="s">
        <v>10</v>
      </c>
      <c r="L43" s="63" t="s">
        <v>10</v>
      </c>
      <c r="M43" s="61" t="s">
        <v>10</v>
      </c>
      <c r="N43" s="68" t="s">
        <v>10</v>
      </c>
      <c r="O43" s="52" t="s">
        <v>176</v>
      </c>
      <c r="P43" s="61" t="s">
        <v>10</v>
      </c>
      <c r="Q43" s="61" t="s">
        <v>10</v>
      </c>
      <c r="R43" s="61" t="s">
        <v>10</v>
      </c>
      <c r="S43" s="61" t="s">
        <v>10</v>
      </c>
      <c r="T43" s="61" t="s">
        <v>10</v>
      </c>
      <c r="U43" s="61" t="s">
        <v>10</v>
      </c>
      <c r="V43" s="61" t="s">
        <v>10</v>
      </c>
      <c r="W43" s="61" t="s">
        <v>10</v>
      </c>
      <c r="X43" s="69" t="s">
        <v>10</v>
      </c>
      <c r="Y43" s="1" t="s">
        <v>10</v>
      </c>
    </row>
    <row r="44" spans="2:25" hidden="1" x14ac:dyDescent="0.2">
      <c r="B44" s="216">
        <v>57</v>
      </c>
      <c r="C44" s="217">
        <v>54</v>
      </c>
      <c r="D44" s="58" t="s">
        <v>10</v>
      </c>
      <c r="E44" s="61">
        <f>IF(B44=0,cell_HGL,IF(VLOOKUP(B44,table_HGL_JCTS,17,FALSE)&lt;X44,X44,VLOOKUP(B44,table_HGL_JCTS,17,FALSE)))</f>
        <v>400.93</v>
      </c>
      <c r="F44" s="61">
        <f>IF(B44=0,(E44+K44),IF(VLOOKUP(B44,table_HGL_JCTS,13,FALSE)="T-INTERSECTION",(E44+K44),(IF(VLOOKUP(B44,table_HGL_JCTS,17,FALSE)&lt;X44,(E44+K44),VLOOKUP(B44,table_HGL_JCTS,18,FALSE)))))</f>
        <v>401.14068711576476</v>
      </c>
      <c r="G44" s="62">
        <f>VLOOKUP(C44,table_CIA_JCTS,18)</f>
        <v>54</v>
      </c>
      <c r="H44" s="60">
        <f>VLOOKUP(C44,table_CIA_JCTS,17)</f>
        <v>58.583841627474506</v>
      </c>
      <c r="I44" s="62">
        <f>VLOOKUP(C44,table_CIA_JCTS,21)</f>
        <v>45</v>
      </c>
      <c r="J44" s="61">
        <f>H44/((G44/12)^2*3.1416/4)</f>
        <v>3.6835105884537569</v>
      </c>
      <c r="K44" s="61">
        <f>(J44^2)/64.4</f>
        <v>0.21068711576476618</v>
      </c>
      <c r="L44" s="63">
        <f>(H44/((1.486/cell_NP)*((3.1416*(G44/12)^2)/4)*(G44/48)^(2/3)))^2</f>
        <v>8.8750246444913136E-4</v>
      </c>
      <c r="M44" s="61">
        <f>L44*I44</f>
        <v>3.9937610900210911E-2</v>
      </c>
      <c r="N44" s="68" t="s">
        <v>10</v>
      </c>
      <c r="O44" s="52" t="s">
        <v>10</v>
      </c>
      <c r="P44" s="257" t="s">
        <v>10</v>
      </c>
      <c r="Q44" s="61">
        <f>SUM(P44)</f>
        <v>0</v>
      </c>
      <c r="R44" s="61">
        <f>Q44+M44</f>
        <v>3.9937610900210911E-2</v>
      </c>
      <c r="S44" s="61">
        <f>IF(O44="T-INTERSECTION",T44,(T44-K44))</f>
        <v>400.96993761090022</v>
      </c>
      <c r="T44" s="61">
        <f>IF(O44="T-INTERSECTION",(R44+F44-K44),(R44+F44))</f>
        <v>401.18062472666497</v>
      </c>
      <c r="U44" s="61">
        <f>VLOOKUP(C44,table_CIA_JCTS,26)</f>
        <v>404.67</v>
      </c>
      <c r="V44" s="61">
        <f>U44-0.5-S44</f>
        <v>3.2000623890997986</v>
      </c>
      <c r="W44" s="61" t="s">
        <v>10</v>
      </c>
      <c r="X44" s="69">
        <f>IF(B44&gt;0,VLOOKUP(B44,table_CIA_JCTS,28)," ")</f>
        <v>400.93</v>
      </c>
      <c r="Y44" s="1">
        <v>3.2000623890997986</v>
      </c>
    </row>
    <row r="45" spans="2:25" hidden="1" x14ac:dyDescent="0.2">
      <c r="B45" s="216" t="s">
        <v>10</v>
      </c>
      <c r="C45" s="217" t="s">
        <v>10</v>
      </c>
      <c r="D45" s="62" t="s">
        <v>10</v>
      </c>
      <c r="E45" s="61" t="s">
        <v>10</v>
      </c>
      <c r="F45" s="61" t="s">
        <v>10</v>
      </c>
      <c r="G45" s="62" t="s">
        <v>10</v>
      </c>
      <c r="H45" s="60" t="s">
        <v>10</v>
      </c>
      <c r="I45" s="62" t="s">
        <v>10</v>
      </c>
      <c r="J45" s="61" t="s">
        <v>10</v>
      </c>
      <c r="K45" s="68" t="s">
        <v>10</v>
      </c>
      <c r="L45" s="63" t="s">
        <v>10</v>
      </c>
      <c r="M45" s="61" t="s">
        <v>10</v>
      </c>
      <c r="N45" s="68" t="s">
        <v>10</v>
      </c>
      <c r="O45" s="52" t="s">
        <v>176</v>
      </c>
      <c r="P45" s="61" t="s">
        <v>10</v>
      </c>
      <c r="Q45" s="61" t="s">
        <v>10</v>
      </c>
      <c r="R45" s="61" t="s">
        <v>10</v>
      </c>
      <c r="S45" s="61" t="s">
        <v>10</v>
      </c>
      <c r="T45" s="61" t="s">
        <v>10</v>
      </c>
      <c r="U45" s="61" t="s">
        <v>10</v>
      </c>
      <c r="V45" s="61" t="s">
        <v>10</v>
      </c>
      <c r="W45" s="61" t="s">
        <v>10</v>
      </c>
      <c r="X45" s="69" t="s">
        <v>10</v>
      </c>
      <c r="Y45" s="1" t="s">
        <v>10</v>
      </c>
    </row>
    <row r="46" spans="2:25" hidden="1" x14ac:dyDescent="0.2">
      <c r="B46" s="216">
        <v>54</v>
      </c>
      <c r="C46" s="217">
        <v>53</v>
      </c>
      <c r="D46" s="58" t="s">
        <v>10</v>
      </c>
      <c r="E46" s="61">
        <f>IF(B46=0,cell_HGL,IF(VLOOKUP(B46,table_HGL_JCTS,17,FALSE)&lt;X46,X46,VLOOKUP(B46,table_HGL_JCTS,17,FALSE)))</f>
        <v>401.12</v>
      </c>
      <c r="F46" s="61">
        <f>IF(B46=0,(E46+K46),IF(VLOOKUP(B46,table_HGL_JCTS,13,FALSE)="T-INTERSECTION",(E46+K46),(IF(VLOOKUP(B46,table_HGL_JCTS,17,FALSE)&lt;X46,(E46+K46),VLOOKUP(B46,table_HGL_JCTS,18,FALSE)))))</f>
        <v>401.43631500964358</v>
      </c>
      <c r="G46" s="62">
        <f>VLOOKUP(C46,table_CIA_JCTS,18)</f>
        <v>48</v>
      </c>
      <c r="H46" s="60">
        <f>VLOOKUP(C46,table_CIA_JCTS,17)</f>
        <v>56.717060377562504</v>
      </c>
      <c r="I46" s="62">
        <f>VLOOKUP(C46,table_CIA_JCTS,21)</f>
        <v>496</v>
      </c>
      <c r="J46" s="61">
        <f>H46/((G46/12)^2*3.1416/4)</f>
        <v>4.5133897040968378</v>
      </c>
      <c r="K46" s="61">
        <f>(J46^2)/64.4</f>
        <v>0.31631500964359222</v>
      </c>
      <c r="L46" s="63">
        <f>(H46/((1.486/cell_NP)*((3.1416*(G46/12)^2)/4)*(G46/48)^(2/3)))^2</f>
        <v>1.5590310094561357E-3</v>
      </c>
      <c r="M46" s="61">
        <f>L46*I46</f>
        <v>0.77327938069024338</v>
      </c>
      <c r="N46" s="68" t="s">
        <v>10</v>
      </c>
      <c r="O46" s="72"/>
      <c r="P46" s="61" t="str">
        <f>IF(ISBLANK(O46)=FALSE,(VLOOKUP(O46,table_MINOR,2,FALSE))*(K46)," ")</f>
        <v xml:space="preserve"> </v>
      </c>
      <c r="Q46" s="61">
        <f>SUM(P46:P47)</f>
        <v>0</v>
      </c>
      <c r="R46" s="61">
        <f>Q46+M46</f>
        <v>0.77327938069024338</v>
      </c>
      <c r="S46" s="61">
        <f>IF(O46="T-INTERSECTION",T46,(T46-K46))</f>
        <v>401.89327938069027</v>
      </c>
      <c r="T46" s="61">
        <f>IF(O46="T-INTERSECTION",(R46+F46-K46),(R46+F46))</f>
        <v>401.89327938069027</v>
      </c>
      <c r="U46" s="61">
        <f>VLOOKUP(C46,table_CIA_JCTS,26)</f>
        <v>405.82</v>
      </c>
      <c r="V46" s="61">
        <f>U46-0.5-S46</f>
        <v>3.4267206193097195</v>
      </c>
      <c r="W46" s="61" t="s">
        <v>10</v>
      </c>
      <c r="X46" s="69">
        <f>IF(B46&gt;0,VLOOKUP(B46,table_CIA_JCTS,28)," ")</f>
        <v>401.12</v>
      </c>
      <c r="Y46" s="1">
        <v>3.4267206193097195</v>
      </c>
    </row>
    <row r="47" spans="2:25" hidden="1" x14ac:dyDescent="0.2">
      <c r="B47" s="216" t="s">
        <v>10</v>
      </c>
      <c r="C47" s="217" t="s">
        <v>10</v>
      </c>
      <c r="D47" s="62" t="s">
        <v>10</v>
      </c>
      <c r="E47" s="61" t="s">
        <v>10</v>
      </c>
      <c r="F47" s="61" t="s">
        <v>10</v>
      </c>
      <c r="G47" s="62" t="s">
        <v>10</v>
      </c>
      <c r="H47" s="60" t="s">
        <v>10</v>
      </c>
      <c r="I47" s="62" t="s">
        <v>10</v>
      </c>
      <c r="J47" s="61" t="s">
        <v>10</v>
      </c>
      <c r="K47" s="68">
        <f>K46</f>
        <v>0.31631500964359222</v>
      </c>
      <c r="L47" s="63" t="s">
        <v>10</v>
      </c>
      <c r="M47" s="61" t="s">
        <v>10</v>
      </c>
      <c r="N47" s="68" t="s">
        <v>10</v>
      </c>
      <c r="O47" s="52" t="s">
        <v>10</v>
      </c>
      <c r="P47" s="257" t="s">
        <v>10</v>
      </c>
      <c r="Q47" s="61" t="s">
        <v>10</v>
      </c>
      <c r="R47" s="61" t="s">
        <v>10</v>
      </c>
      <c r="S47" s="61" t="s">
        <v>10</v>
      </c>
      <c r="T47" s="61" t="s">
        <v>10</v>
      </c>
      <c r="U47" s="61" t="s">
        <v>10</v>
      </c>
      <c r="V47" s="61" t="s">
        <v>10</v>
      </c>
      <c r="W47" s="61" t="s">
        <v>10</v>
      </c>
      <c r="X47" s="69" t="s">
        <v>10</v>
      </c>
      <c r="Y47" s="1" t="s">
        <v>10</v>
      </c>
    </row>
    <row r="48" spans="2:25" hidden="1" x14ac:dyDescent="0.2">
      <c r="B48" s="216">
        <v>53</v>
      </c>
      <c r="C48" s="217">
        <v>51</v>
      </c>
      <c r="D48" s="58" t="s">
        <v>10</v>
      </c>
      <c r="E48" s="61">
        <f>IF(B48=0,cell_HGL,IF(VLOOKUP(B48,table_HGL_JCTS,17,FALSE)&lt;X48,X48,VLOOKUP(B48,table_HGL_JCTS,17,FALSE)))</f>
        <v>401.89327938069027</v>
      </c>
      <c r="F48" s="61">
        <f>IF(B48=0,(E48+K48),IF(VLOOKUP(B48,table_HGL_JCTS,13,FALSE)="T-INTERSECTION",(E48+K48),(IF(VLOOKUP(B48,table_HGL_JCTS,17,FALSE)&lt;X48,(E48+K48),VLOOKUP(B48,table_HGL_JCTS,18,FALSE)))))</f>
        <v>402.17989472663714</v>
      </c>
      <c r="G48" s="62">
        <f>VLOOKUP(C48,table_CIA_JCTS,18)</f>
        <v>48</v>
      </c>
      <c r="H48" s="60">
        <f>VLOOKUP(C48,table_CIA_JCTS,17)</f>
        <v>53.988782411181653</v>
      </c>
      <c r="I48" s="62">
        <f>VLOOKUP(C48,table_CIA_JCTS,21)</f>
        <v>538</v>
      </c>
      <c r="J48" s="61">
        <f>H48/((G48/12)^2*3.1416/4)</f>
        <v>4.2962807495529072</v>
      </c>
      <c r="K48" s="61">
        <f>(J48^2)/64.4</f>
        <v>0.28661534594687715</v>
      </c>
      <c r="L48" s="63">
        <f>(H48/((1.486/cell_NP)*((3.1416*(G48/12)^2)/4)*(G48/48)^(2/3)))^2</f>
        <v>1.4126494111697662E-3</v>
      </c>
      <c r="M48" s="61">
        <f>L48*I48</f>
        <v>0.7600053832093342</v>
      </c>
      <c r="N48" s="68" t="s">
        <v>10</v>
      </c>
      <c r="O48" s="72" t="s">
        <v>156</v>
      </c>
      <c r="P48" s="61">
        <f>IF(ISBLANK(O48)=FALSE,(VLOOKUP(O48,table_MINOR,2,FALSE))*(K48)," ")</f>
        <v>0.21496150946015785</v>
      </c>
      <c r="Q48" s="61">
        <f>SUM(P48)</f>
        <v>0.21496150946015785</v>
      </c>
      <c r="R48" s="61">
        <f>Q48+M48</f>
        <v>0.9749668926694921</v>
      </c>
      <c r="S48" s="61">
        <f>IF(O48="T-INTERSECTION",T48,(T48-K48))</f>
        <v>402.86824627335977</v>
      </c>
      <c r="T48" s="61">
        <f>IF(O48="T-INTERSECTION",(R48+F48-K48),(R48+F48))</f>
        <v>403.15486161930664</v>
      </c>
      <c r="U48" s="61">
        <f>VLOOKUP(C48,table_CIA_JCTS,26)</f>
        <v>406.8</v>
      </c>
      <c r="V48" s="61">
        <f>U48-0.5-S48</f>
        <v>3.4317537266402383</v>
      </c>
      <c r="W48" s="61" t="s">
        <v>10</v>
      </c>
      <c r="X48" s="69">
        <f>IF(B48&gt;0,VLOOKUP(B48,table_CIA_JCTS,28)," ")</f>
        <v>401.76</v>
      </c>
      <c r="Y48" s="1">
        <v>3.4317537266402383</v>
      </c>
    </row>
    <row r="49" spans="2:25" hidden="1" x14ac:dyDescent="0.2">
      <c r="B49" s="216" t="s">
        <v>10</v>
      </c>
      <c r="C49" s="217" t="s">
        <v>10</v>
      </c>
      <c r="D49" s="62" t="s">
        <v>10</v>
      </c>
      <c r="E49" s="61" t="s">
        <v>10</v>
      </c>
      <c r="F49" s="61" t="s">
        <v>10</v>
      </c>
      <c r="G49" s="62" t="s">
        <v>10</v>
      </c>
      <c r="H49" s="60" t="s">
        <v>10</v>
      </c>
      <c r="I49" s="62" t="s">
        <v>10</v>
      </c>
      <c r="J49" s="61" t="s">
        <v>10</v>
      </c>
      <c r="K49" s="68" t="s">
        <v>10</v>
      </c>
      <c r="L49" s="63" t="s">
        <v>10</v>
      </c>
      <c r="M49" s="61" t="s">
        <v>10</v>
      </c>
      <c r="N49" s="68" t="s">
        <v>10</v>
      </c>
      <c r="O49" s="52" t="s">
        <v>176</v>
      </c>
      <c r="P49" s="61" t="s">
        <v>10</v>
      </c>
      <c r="Q49" s="61" t="s">
        <v>10</v>
      </c>
      <c r="R49" s="61" t="s">
        <v>10</v>
      </c>
      <c r="S49" s="61" t="s">
        <v>10</v>
      </c>
      <c r="T49" s="61" t="s">
        <v>10</v>
      </c>
      <c r="U49" s="61" t="s">
        <v>10</v>
      </c>
      <c r="V49" s="61" t="s">
        <v>10</v>
      </c>
      <c r="W49" s="61" t="s">
        <v>10</v>
      </c>
      <c r="X49" s="69" t="s">
        <v>10</v>
      </c>
      <c r="Y49" s="1" t="s">
        <v>10</v>
      </c>
    </row>
    <row r="50" spans="2:25" hidden="1" x14ac:dyDescent="0.2">
      <c r="B50" s="216">
        <v>51</v>
      </c>
      <c r="C50" s="217">
        <v>42</v>
      </c>
      <c r="D50" s="58" t="s">
        <v>10</v>
      </c>
      <c r="E50" s="61">
        <f>IF(B50=0,cell_HGL,IF(VLOOKUP(B50,table_HGL_JCTS,17,FALSE)&lt;X50,X50,VLOOKUP(B50,table_HGL_JCTS,17,FALSE)))</f>
        <v>402.97</v>
      </c>
      <c r="F50" s="61">
        <f>IF(B50=0,(E50+K50),IF(VLOOKUP(B50,table_HGL_JCTS,13,FALSE)="T-INTERSECTION",(E50+K50),(IF(VLOOKUP(B50,table_HGL_JCTS,17,FALSE)&lt;X50,(E50+K50),VLOOKUP(B50,table_HGL_JCTS,18,FALSE)))))</f>
        <v>403.27030138435089</v>
      </c>
      <c r="G50" s="62">
        <f>VLOOKUP(C50,table_CIA_JCTS,18)</f>
        <v>42</v>
      </c>
      <c r="H50" s="60">
        <f>VLOOKUP(C50,table_CIA_JCTS,17)</f>
        <v>42.31054177965126</v>
      </c>
      <c r="I50" s="62">
        <f>VLOOKUP(C50,table_CIA_JCTS,21)</f>
        <v>770</v>
      </c>
      <c r="J50" s="61">
        <f>H50/((G50/12)^2*3.1416/4)</f>
        <v>4.3976595084424686</v>
      </c>
      <c r="K50" s="61">
        <f>(J50^2)/64.4</f>
        <v>0.30030138435084552</v>
      </c>
      <c r="L50" s="63">
        <f>(H50/((1.486/cell_NP)*((3.1416*(G50/12)^2)/4)*(G50/48)^(2/3)))^2</f>
        <v>1.7685399853861197E-3</v>
      </c>
      <c r="M50" s="61">
        <f>L50*I50</f>
        <v>1.3617757887473121</v>
      </c>
      <c r="N50" s="68" t="s">
        <v>10</v>
      </c>
      <c r="O50" s="52" t="s">
        <v>131</v>
      </c>
      <c r="P50" s="61">
        <f>IF(ISBLANK(O50)=FALSE,(VLOOKUP(O50,table_MINOR,2,FALSE))*(K50)," ")</f>
        <v>7.5075346087711381E-2</v>
      </c>
      <c r="Q50" s="61">
        <f>SUM(P50)</f>
        <v>7.5075346087711381E-2</v>
      </c>
      <c r="R50" s="61">
        <f>Q50+M50</f>
        <v>1.4368511348350235</v>
      </c>
      <c r="S50" s="61">
        <f>IF(O50="T-INTERSECTION",T50,(T50-K50))</f>
        <v>404.40685113483505</v>
      </c>
      <c r="T50" s="61">
        <f>IF(O50="T-INTERSECTION",(R50+F50-K50),(R50+F50))</f>
        <v>404.70715251918591</v>
      </c>
      <c r="U50" s="61">
        <f>VLOOKUP(C50,table_CIA_JCTS,26)</f>
        <v>409.19</v>
      </c>
      <c r="V50" s="61">
        <f>U50-0.5-S50</f>
        <v>4.2831488651649465</v>
      </c>
      <c r="W50" s="61" t="s">
        <v>10</v>
      </c>
      <c r="X50" s="69">
        <f>IF(B50&gt;0,VLOOKUP(B50,table_CIA_JCTS,28)," ")</f>
        <v>402.97</v>
      </c>
      <c r="Y50" s="1">
        <v>4.2831488651649465</v>
      </c>
    </row>
    <row r="51" spans="2:25" hidden="1" x14ac:dyDescent="0.2">
      <c r="B51" s="216" t="s">
        <v>10</v>
      </c>
      <c r="C51" s="217" t="s">
        <v>10</v>
      </c>
      <c r="D51" s="62" t="s">
        <v>10</v>
      </c>
      <c r="E51" s="61" t="s">
        <v>10</v>
      </c>
      <c r="F51" s="61" t="s">
        <v>10</v>
      </c>
      <c r="G51" s="62" t="s">
        <v>10</v>
      </c>
      <c r="H51" s="60" t="s">
        <v>10</v>
      </c>
      <c r="I51" s="62" t="s">
        <v>10</v>
      </c>
      <c r="J51" s="61" t="s">
        <v>10</v>
      </c>
      <c r="K51" s="68" t="s">
        <v>10</v>
      </c>
      <c r="L51" s="63" t="s">
        <v>10</v>
      </c>
      <c r="M51" s="61" t="s">
        <v>10</v>
      </c>
      <c r="N51" s="68" t="s">
        <v>10</v>
      </c>
      <c r="O51" s="52" t="s">
        <v>176</v>
      </c>
      <c r="P51" s="61" t="s">
        <v>10</v>
      </c>
      <c r="Q51" s="61" t="s">
        <v>10</v>
      </c>
      <c r="R51" s="61" t="s">
        <v>10</v>
      </c>
      <c r="S51" s="61" t="s">
        <v>10</v>
      </c>
      <c r="T51" s="61" t="s">
        <v>10</v>
      </c>
      <c r="U51" s="61" t="s">
        <v>10</v>
      </c>
      <c r="V51" s="61" t="s">
        <v>10</v>
      </c>
      <c r="W51" s="61" t="s">
        <v>10</v>
      </c>
      <c r="X51" s="69" t="s">
        <v>10</v>
      </c>
      <c r="Y51" s="1" t="s">
        <v>10</v>
      </c>
    </row>
    <row r="52" spans="2:25" hidden="1" x14ac:dyDescent="0.2">
      <c r="B52" s="216">
        <v>42</v>
      </c>
      <c r="C52" s="217">
        <v>39</v>
      </c>
      <c r="D52" s="58" t="s">
        <v>10</v>
      </c>
      <c r="E52" s="61">
        <f>IF(B52=0,cell_HGL,IF(VLOOKUP(B52,table_HGL_JCTS,17,FALSE)&lt;X52,X52,VLOOKUP(B52,table_HGL_JCTS,17,FALSE)))</f>
        <v>404.40685113483505</v>
      </c>
      <c r="F52" s="61">
        <f>IF(B52=0,(E52+K52),IF(VLOOKUP(B52,table_HGL_JCTS,13,FALSE)="T-INTERSECTION",(E52+K52),(IF(VLOOKUP(B52,table_HGL_JCTS,17,FALSE)&lt;X52,(E52+K52),VLOOKUP(B52,table_HGL_JCTS,18,FALSE)))))</f>
        <v>404.70715251918591</v>
      </c>
      <c r="G52" s="62">
        <f>VLOOKUP(C52,table_CIA_JCTS,18)</f>
        <v>36</v>
      </c>
      <c r="H52" s="60">
        <f>VLOOKUP(C52,table_CIA_JCTS,17)</f>
        <v>39.408877174972979</v>
      </c>
      <c r="I52" s="62">
        <f>VLOOKUP(C52,table_CIA_JCTS,21)</f>
        <v>106</v>
      </c>
      <c r="J52" s="61">
        <f>H52/((G52/12)^2*3.1416/4)</f>
        <v>5.5752026108384944</v>
      </c>
      <c r="K52" s="61">
        <f>(J52^2)/64.4</f>
        <v>0.48265348061957086</v>
      </c>
      <c r="L52" s="63">
        <f>(H52/((1.486/cell_NP)*((3.1416*(G52/12)^2)/4)*(G52/48)^(2/3)))^2</f>
        <v>3.4910444431687344E-3</v>
      </c>
      <c r="M52" s="61">
        <f>L52*I52</f>
        <v>0.37005071097588582</v>
      </c>
      <c r="N52" s="68" t="s">
        <v>10</v>
      </c>
      <c r="O52" s="52" t="s">
        <v>10</v>
      </c>
      <c r="P52" s="257" t="s">
        <v>10</v>
      </c>
      <c r="Q52" s="61">
        <f>SUM(P52)</f>
        <v>0</v>
      </c>
      <c r="R52" s="61">
        <f>Q52+M52</f>
        <v>0.37005071097588582</v>
      </c>
      <c r="S52" s="61">
        <f>IF(O52="T-INTERSECTION",T52,(T52-K52))</f>
        <v>404.59454974954224</v>
      </c>
      <c r="T52" s="61">
        <f>IF(O52="T-INTERSECTION",(R52+F52-K52),(R52+F52))</f>
        <v>405.07720323016179</v>
      </c>
      <c r="U52" s="61">
        <f>VLOOKUP(C52,table_CIA_JCTS,26)</f>
        <v>409.3</v>
      </c>
      <c r="V52" s="61">
        <f>U52-0.5-S52</f>
        <v>4.2054502504577727</v>
      </c>
      <c r="W52" s="61" t="s">
        <v>10</v>
      </c>
      <c r="X52" s="69">
        <f>IF(B52&gt;0,VLOOKUP(B52,table_CIA_JCTS,28)," ")</f>
        <v>403.67</v>
      </c>
      <c r="Y52" s="1">
        <v>4.2054502504577727</v>
      </c>
    </row>
    <row r="53" spans="2:25" hidden="1" x14ac:dyDescent="0.2">
      <c r="B53" s="216" t="s">
        <v>10</v>
      </c>
      <c r="C53" s="217" t="s">
        <v>10</v>
      </c>
      <c r="D53" s="62" t="s">
        <v>10</v>
      </c>
      <c r="E53" s="61" t="s">
        <v>10</v>
      </c>
      <c r="F53" s="61" t="s">
        <v>10</v>
      </c>
      <c r="G53" s="62" t="s">
        <v>10</v>
      </c>
      <c r="H53" s="60" t="s">
        <v>10</v>
      </c>
      <c r="I53" s="62" t="s">
        <v>10</v>
      </c>
      <c r="J53" s="61" t="s">
        <v>10</v>
      </c>
      <c r="K53" s="68" t="s">
        <v>10</v>
      </c>
      <c r="L53" s="63" t="s">
        <v>10</v>
      </c>
      <c r="M53" s="61" t="s">
        <v>10</v>
      </c>
      <c r="N53" s="68" t="s">
        <v>10</v>
      </c>
      <c r="O53" s="52" t="s">
        <v>176</v>
      </c>
      <c r="P53" s="61" t="s">
        <v>10</v>
      </c>
      <c r="Q53" s="61" t="s">
        <v>10</v>
      </c>
      <c r="R53" s="61" t="s">
        <v>10</v>
      </c>
      <c r="S53" s="61" t="s">
        <v>10</v>
      </c>
      <c r="T53" s="61" t="s">
        <v>10</v>
      </c>
      <c r="U53" s="61" t="s">
        <v>10</v>
      </c>
      <c r="V53" s="61" t="s">
        <v>10</v>
      </c>
      <c r="W53" s="61" t="s">
        <v>10</v>
      </c>
      <c r="X53" s="69" t="s">
        <v>10</v>
      </c>
      <c r="Y53" s="1" t="s">
        <v>10</v>
      </c>
    </row>
    <row r="54" spans="2:25" hidden="1" x14ac:dyDescent="0.2">
      <c r="B54" s="216">
        <v>39</v>
      </c>
      <c r="C54" s="217">
        <v>37</v>
      </c>
      <c r="D54" s="58" t="s">
        <v>10</v>
      </c>
      <c r="E54" s="61">
        <f>IF(B54=0,cell_HGL,IF(VLOOKUP(B54,table_HGL_JCTS,17,FALSE)&lt;X54,X54,VLOOKUP(B54,table_HGL_JCTS,17,FALSE)))</f>
        <v>404.59454974954224</v>
      </c>
      <c r="F54" s="61">
        <f>IF(B54=0,(E54+K54),IF(VLOOKUP(B54,table_HGL_JCTS,13,FALSE)="T-INTERSECTION",(E54+K54),(IF(VLOOKUP(B54,table_HGL_JCTS,17,FALSE)&lt;X54,(E54+K54),VLOOKUP(B54,table_HGL_JCTS,18,FALSE)))))</f>
        <v>405.07720323016179</v>
      </c>
      <c r="G54" s="62">
        <f>VLOOKUP(C54,table_CIA_JCTS,18)</f>
        <v>36</v>
      </c>
      <c r="H54" s="60">
        <f>VLOOKUP(C54,table_CIA_JCTS,17)</f>
        <v>38.467658590789902</v>
      </c>
      <c r="I54" s="62">
        <f>VLOOKUP(C54,table_CIA_JCTS,21)</f>
        <v>156</v>
      </c>
      <c r="J54" s="61">
        <f>H54/((G54/12)^2*3.1416/4)</f>
        <v>5.4420477309212432</v>
      </c>
      <c r="K54" s="61">
        <f>(J54^2)/64.4</f>
        <v>0.45987396747864984</v>
      </c>
      <c r="L54" s="63">
        <f>(H54/((1.486/cell_NP)*((3.1416*(G54/12)^2)/4)*(G54/48)^(2/3)))^2</f>
        <v>3.3262796668604446E-3</v>
      </c>
      <c r="M54" s="61">
        <f>L54*I54</f>
        <v>0.51889962803022938</v>
      </c>
      <c r="N54" s="68" t="s">
        <v>10</v>
      </c>
      <c r="O54" s="52" t="s">
        <v>10</v>
      </c>
      <c r="P54" s="257" t="s">
        <v>10</v>
      </c>
      <c r="Q54" s="61">
        <f>SUM(P54)</f>
        <v>0</v>
      </c>
      <c r="R54" s="61">
        <f>Q54+M54</f>
        <v>0.51889962803022938</v>
      </c>
      <c r="S54" s="61">
        <f>IF(O54="T-INTERSECTION",T54,(T54-K54))</f>
        <v>405.13622889071337</v>
      </c>
      <c r="T54" s="61">
        <f>IF(O54="T-INTERSECTION",(R54+F54-K54),(R54+F54))</f>
        <v>405.59610285819201</v>
      </c>
      <c r="U54" s="61">
        <f>VLOOKUP(C54,table_CIA_JCTS,26)</f>
        <v>409.61</v>
      </c>
      <c r="V54" s="61">
        <f>U54-0.5-S54</f>
        <v>3.9737711092866448</v>
      </c>
      <c r="W54" s="61" t="s">
        <v>10</v>
      </c>
      <c r="X54" s="69">
        <f>IF(B54&gt;0,VLOOKUP(B54,table_CIA_JCTS,28)," ")</f>
        <v>403.67</v>
      </c>
      <c r="Y54" s="1">
        <v>3.9737711092866448</v>
      </c>
    </row>
    <row r="55" spans="2:25" hidden="1" x14ac:dyDescent="0.2">
      <c r="B55" s="216" t="s">
        <v>10</v>
      </c>
      <c r="C55" s="217" t="s">
        <v>10</v>
      </c>
      <c r="D55" s="62" t="s">
        <v>10</v>
      </c>
      <c r="E55" s="61" t="s">
        <v>10</v>
      </c>
      <c r="F55" s="61" t="s">
        <v>10</v>
      </c>
      <c r="G55" s="62" t="s">
        <v>10</v>
      </c>
      <c r="H55" s="60" t="s">
        <v>10</v>
      </c>
      <c r="I55" s="62" t="s">
        <v>10</v>
      </c>
      <c r="J55" s="61" t="s">
        <v>10</v>
      </c>
      <c r="K55" s="68" t="s">
        <v>10</v>
      </c>
      <c r="L55" s="63" t="s">
        <v>10</v>
      </c>
      <c r="M55" s="61" t="s">
        <v>10</v>
      </c>
      <c r="N55" s="68" t="s">
        <v>10</v>
      </c>
      <c r="O55" s="52" t="s">
        <v>176</v>
      </c>
      <c r="P55" s="61" t="s">
        <v>10</v>
      </c>
      <c r="Q55" s="61" t="s">
        <v>10</v>
      </c>
      <c r="R55" s="61" t="s">
        <v>10</v>
      </c>
      <c r="S55" s="61" t="s">
        <v>10</v>
      </c>
      <c r="T55" s="61" t="s">
        <v>10</v>
      </c>
      <c r="U55" s="61" t="s">
        <v>10</v>
      </c>
      <c r="V55" s="61" t="s">
        <v>10</v>
      </c>
      <c r="W55" s="61" t="s">
        <v>10</v>
      </c>
      <c r="X55" s="69" t="s">
        <v>10</v>
      </c>
      <c r="Y55" s="1" t="s">
        <v>10</v>
      </c>
    </row>
    <row r="56" spans="2:25" hidden="1" x14ac:dyDescent="0.2">
      <c r="B56" s="216">
        <v>37</v>
      </c>
      <c r="C56" s="217">
        <v>35</v>
      </c>
      <c r="D56" s="58" t="s">
        <v>10</v>
      </c>
      <c r="E56" s="61">
        <f>IF(B56=0,cell_HGL,IF(VLOOKUP(B56,table_HGL_JCTS,17,FALSE)&lt;X56,X56,VLOOKUP(B56,table_HGL_JCTS,17,FALSE)))</f>
        <v>405.13622889071337</v>
      </c>
      <c r="F56" s="61">
        <f>IF(B56=0,(E56+K56),IF(VLOOKUP(B56,table_HGL_JCTS,13,FALSE)="T-INTERSECTION",(E56+K56),(IF(VLOOKUP(B56,table_HGL_JCTS,17,FALSE)&lt;X56,(E56+K56),VLOOKUP(B56,table_HGL_JCTS,18,FALSE)))))</f>
        <v>405.59610285819201</v>
      </c>
      <c r="G56" s="62">
        <f>VLOOKUP(C56,table_CIA_JCTS,18)</f>
        <v>36</v>
      </c>
      <c r="H56" s="60">
        <f>VLOOKUP(C56,table_CIA_JCTS,17)</f>
        <v>38.43834664229783</v>
      </c>
      <c r="I56" s="62">
        <f>VLOOKUP(C56,table_CIA_JCTS,21)</f>
        <v>439</v>
      </c>
      <c r="J56" s="61">
        <f>H56/((G56/12)^2*3.1416/4)</f>
        <v>5.4379009481789646</v>
      </c>
      <c r="K56" s="61">
        <f>(J56^2)/64.4</f>
        <v>0.45917339630754161</v>
      </c>
      <c r="L56" s="63">
        <f>(H56/((1.486/cell_NP)*((3.1416*(G56/12)^2)/4)*(G56/48)^(2/3)))^2</f>
        <v>3.3212124184262217E-3</v>
      </c>
      <c r="M56" s="61">
        <f>L56*I56</f>
        <v>1.4580122516891114</v>
      </c>
      <c r="N56" s="68" t="s">
        <v>10</v>
      </c>
      <c r="O56" s="52" t="s">
        <v>10</v>
      </c>
      <c r="P56" s="257" t="s">
        <v>10</v>
      </c>
      <c r="Q56" s="61">
        <f>SUM(P56)</f>
        <v>0</v>
      </c>
      <c r="R56" s="61">
        <f>Q56+M56</f>
        <v>1.4580122516891114</v>
      </c>
      <c r="S56" s="61">
        <f>IF(O56="T-INTERSECTION",T56,(T56-K56))</f>
        <v>406.59494171357358</v>
      </c>
      <c r="T56" s="61">
        <f>IF(O56="T-INTERSECTION",(R56+F56-K56),(R56+F56))</f>
        <v>407.05411510988114</v>
      </c>
      <c r="U56" s="61">
        <f>VLOOKUP(C56,table_CIA_JCTS,26)</f>
        <v>410.59</v>
      </c>
      <c r="V56" s="61">
        <f>U56-0.5-S56</f>
        <v>3.4950582864263993</v>
      </c>
      <c r="W56" s="61" t="s">
        <v>10</v>
      </c>
      <c r="X56" s="69">
        <f>IF(B56&gt;0,VLOOKUP(B56,table_CIA_JCTS,28)," ")</f>
        <v>403.83</v>
      </c>
      <c r="Y56" s="1">
        <v>3.4950582864263993</v>
      </c>
    </row>
    <row r="57" spans="2:25" hidden="1" x14ac:dyDescent="0.2">
      <c r="B57" s="216" t="s">
        <v>10</v>
      </c>
      <c r="C57" s="217" t="s">
        <v>10</v>
      </c>
      <c r="D57" s="62" t="s">
        <v>10</v>
      </c>
      <c r="E57" s="61" t="s">
        <v>10</v>
      </c>
      <c r="F57" s="61" t="s">
        <v>10</v>
      </c>
      <c r="G57" s="62" t="s">
        <v>10</v>
      </c>
      <c r="H57" s="60" t="s">
        <v>10</v>
      </c>
      <c r="I57" s="62" t="s">
        <v>10</v>
      </c>
      <c r="J57" s="61" t="s">
        <v>10</v>
      </c>
      <c r="K57" s="68" t="s">
        <v>10</v>
      </c>
      <c r="L57" s="63" t="s">
        <v>10</v>
      </c>
      <c r="M57" s="61" t="s">
        <v>10</v>
      </c>
      <c r="N57" s="68" t="s">
        <v>10</v>
      </c>
      <c r="O57" s="52" t="s">
        <v>176</v>
      </c>
      <c r="P57" s="61" t="s">
        <v>10</v>
      </c>
      <c r="Q57" s="61" t="s">
        <v>10</v>
      </c>
      <c r="R57" s="61" t="s">
        <v>10</v>
      </c>
      <c r="S57" s="61" t="s">
        <v>10</v>
      </c>
      <c r="T57" s="61" t="s">
        <v>10</v>
      </c>
      <c r="U57" s="61" t="s">
        <v>10</v>
      </c>
      <c r="V57" s="61" t="s">
        <v>10</v>
      </c>
      <c r="W57" s="61" t="s">
        <v>10</v>
      </c>
      <c r="X57" s="69" t="s">
        <v>10</v>
      </c>
      <c r="Y57" s="1" t="s">
        <v>10</v>
      </c>
    </row>
    <row r="58" spans="2:25" hidden="1" x14ac:dyDescent="0.2">
      <c r="B58" s="216">
        <v>35</v>
      </c>
      <c r="C58" s="217">
        <v>31</v>
      </c>
      <c r="D58" s="58" t="s">
        <v>10</v>
      </c>
      <c r="E58" s="61">
        <f>IF(B58=0,cell_HGL,IF(VLOOKUP(B58,table_HGL_JCTS,17,FALSE)&lt;X58,X58,VLOOKUP(B58,table_HGL_JCTS,17,FALSE)))</f>
        <v>406.59494171357358</v>
      </c>
      <c r="F58" s="61">
        <f>IF(B58=0,(E58+K58),IF(VLOOKUP(B58,table_HGL_JCTS,13,FALSE)="T-INTERSECTION",(E58+K58),(IF(VLOOKUP(B58,table_HGL_JCTS,17,FALSE)&lt;X58,(E58+K58),VLOOKUP(B58,table_HGL_JCTS,18,FALSE)))))</f>
        <v>407.05411510988114</v>
      </c>
      <c r="G58" s="62">
        <f>VLOOKUP(C58,table_CIA_JCTS,18)</f>
        <v>36</v>
      </c>
      <c r="H58" s="60">
        <f>VLOOKUP(C58,table_CIA_JCTS,17)</f>
        <v>36.301394655163719</v>
      </c>
      <c r="I58" s="62">
        <f>VLOOKUP(C58,table_CIA_JCTS,21)</f>
        <v>131</v>
      </c>
      <c r="J58" s="61">
        <f>H58/((G58/12)^2*3.1416/4)</f>
        <v>5.1355847912123647</v>
      </c>
      <c r="K58" s="61">
        <f>(J58^2)/64.4</f>
        <v>0.40953775074117621</v>
      </c>
      <c r="L58" s="63">
        <f>(H58/((1.486/cell_NP)*((3.1416*(G58/12)^2)/4)*(G58/48)^(2/3)))^2</f>
        <v>2.9621965787080093E-3</v>
      </c>
      <c r="M58" s="61">
        <f>L58*I58</f>
        <v>0.38804775181074924</v>
      </c>
      <c r="N58" s="68" t="s">
        <v>10</v>
      </c>
      <c r="O58" s="52" t="s">
        <v>10</v>
      </c>
      <c r="P58" s="257" t="s">
        <v>10</v>
      </c>
      <c r="Q58" s="61">
        <f>SUM(P58)</f>
        <v>0</v>
      </c>
      <c r="R58" s="61">
        <f>Q58+M58</f>
        <v>0.38804775181074924</v>
      </c>
      <c r="S58" s="61">
        <f>IF(O58="T-INTERSECTION",T58,(T58-K58))</f>
        <v>407.03262511095073</v>
      </c>
      <c r="T58" s="61">
        <f>IF(O58="T-INTERSECTION",(R58+F58-K58),(R58+F58))</f>
        <v>407.44216286169188</v>
      </c>
      <c r="U58" s="61">
        <f>VLOOKUP(C58,table_CIA_JCTS,26)</f>
        <v>411.46</v>
      </c>
      <c r="V58" s="61">
        <f>U58-0.5-S58</f>
        <v>3.927374889049247</v>
      </c>
      <c r="W58" s="61" t="s">
        <v>10</v>
      </c>
      <c r="X58" s="69">
        <f>IF(B58&gt;0,VLOOKUP(B58,table_CIA_JCTS,28)," ")</f>
        <v>405.38</v>
      </c>
      <c r="Y58" s="1">
        <v>3.927374889049247</v>
      </c>
    </row>
    <row r="59" spans="2:25" hidden="1" x14ac:dyDescent="0.2">
      <c r="B59" s="216" t="s">
        <v>10</v>
      </c>
      <c r="C59" s="217" t="s">
        <v>10</v>
      </c>
      <c r="D59" s="62" t="s">
        <v>10</v>
      </c>
      <c r="E59" s="61" t="s">
        <v>10</v>
      </c>
      <c r="F59" s="61" t="s">
        <v>10</v>
      </c>
      <c r="G59" s="62" t="s">
        <v>10</v>
      </c>
      <c r="H59" s="60" t="s">
        <v>10</v>
      </c>
      <c r="I59" s="62" t="s">
        <v>10</v>
      </c>
      <c r="J59" s="61" t="s">
        <v>10</v>
      </c>
      <c r="K59" s="68" t="s">
        <v>10</v>
      </c>
      <c r="L59" s="63" t="s">
        <v>10</v>
      </c>
      <c r="M59" s="61" t="s">
        <v>10</v>
      </c>
      <c r="N59" s="68" t="s">
        <v>10</v>
      </c>
      <c r="O59" s="52" t="s">
        <v>176</v>
      </c>
      <c r="P59" s="61" t="s">
        <v>10</v>
      </c>
      <c r="Q59" s="61" t="s">
        <v>10</v>
      </c>
      <c r="R59" s="61" t="s">
        <v>10</v>
      </c>
      <c r="S59" s="61" t="s">
        <v>10</v>
      </c>
      <c r="T59" s="61" t="s">
        <v>10</v>
      </c>
      <c r="U59" s="61" t="s">
        <v>10</v>
      </c>
      <c r="V59" s="61" t="s">
        <v>10</v>
      </c>
      <c r="W59" s="61" t="s">
        <v>10</v>
      </c>
      <c r="X59" s="69" t="s">
        <v>10</v>
      </c>
      <c r="Y59" s="1" t="s">
        <v>10</v>
      </c>
    </row>
    <row r="60" spans="2:25" hidden="1" x14ac:dyDescent="0.2">
      <c r="B60" s="216">
        <v>31</v>
      </c>
      <c r="C60" s="217">
        <v>29</v>
      </c>
      <c r="D60" s="58" t="s">
        <v>10</v>
      </c>
      <c r="E60" s="61">
        <f>IF(B60=0,cell_HGL,IF(VLOOKUP(B60,table_HGL_JCTS,17,FALSE)&lt;X60,X60,VLOOKUP(B60,table_HGL_JCTS,17,FALSE)))</f>
        <v>407.03262511095073</v>
      </c>
      <c r="F60" s="61">
        <f>IF(B60=0,(E60+K60),IF(VLOOKUP(B60,table_HGL_JCTS,13,FALSE)="T-INTERSECTION",(E60+K60),(IF(VLOOKUP(B60,table_HGL_JCTS,17,FALSE)&lt;X60,(E60+K60),VLOOKUP(B60,table_HGL_JCTS,18,FALSE)))))</f>
        <v>407.44216286169188</v>
      </c>
      <c r="G60" s="62">
        <f>VLOOKUP(C60,table_CIA_JCTS,18)</f>
        <v>36</v>
      </c>
      <c r="H60" s="60">
        <f>VLOOKUP(C60,table_CIA_JCTS,17)</f>
        <v>35.828985328174774</v>
      </c>
      <c r="I60" s="62">
        <f>VLOOKUP(C60,table_CIA_JCTS,21)</f>
        <v>512</v>
      </c>
      <c r="J60" s="61">
        <f>H60/((G60/12)^2*3.1416/4)</f>
        <v>5.0687526990033067</v>
      </c>
      <c r="K60" s="61">
        <f>(J60^2)/64.4</f>
        <v>0.39894804229275321</v>
      </c>
      <c r="L60" s="63">
        <f>(H60/((1.486/cell_NP)*((3.1416*(G60/12)^2)/4)*(G60/48)^(2/3)))^2</f>
        <v>2.8856009582098677E-3</v>
      </c>
      <c r="M60" s="61">
        <f>L60*I60</f>
        <v>1.4774276906034522</v>
      </c>
      <c r="N60" s="68" t="s">
        <v>10</v>
      </c>
      <c r="O60" s="72" t="s">
        <v>156</v>
      </c>
      <c r="P60" s="61">
        <f>IF(ISBLANK(O60)=FALSE,(VLOOKUP(O60,table_MINOR,2,FALSE))*(K60)," ")</f>
        <v>0.29921103171956492</v>
      </c>
      <c r="Q60" s="61">
        <f>SUM(P60:P61)</f>
        <v>0.29921103171956492</v>
      </c>
      <c r="R60" s="61">
        <f>Q60+M60</f>
        <v>1.7766387223230171</v>
      </c>
      <c r="S60" s="61">
        <f>IF(O60="T-INTERSECTION",T60,(T60-K60))</f>
        <v>408.81985354172213</v>
      </c>
      <c r="T60" s="61">
        <f>IF(O60="T-INTERSECTION",(R60+F60-K60),(R60+F60))</f>
        <v>409.2188015840149</v>
      </c>
      <c r="U60" s="61">
        <f>VLOOKUP(C60,table_CIA_JCTS,26)</f>
        <v>414.44</v>
      </c>
      <c r="V60" s="61">
        <f>U60-0.5-S60</f>
        <v>5.1201464582778726</v>
      </c>
      <c r="W60" s="61" t="s">
        <v>10</v>
      </c>
      <c r="X60" s="69">
        <f>IF(B60&gt;0,VLOOKUP(B60,table_CIA_JCTS,28)," ")</f>
        <v>405.24</v>
      </c>
      <c r="Y60" s="1">
        <v>5.1201464582778726</v>
      </c>
    </row>
    <row r="61" spans="2:25" hidden="1" x14ac:dyDescent="0.2">
      <c r="B61" s="216" t="s">
        <v>10</v>
      </c>
      <c r="C61" s="217" t="s">
        <v>10</v>
      </c>
      <c r="D61" s="62" t="s">
        <v>10</v>
      </c>
      <c r="E61" s="61" t="s">
        <v>10</v>
      </c>
      <c r="F61" s="61" t="s">
        <v>10</v>
      </c>
      <c r="G61" s="62" t="s">
        <v>10</v>
      </c>
      <c r="H61" s="60" t="s">
        <v>10</v>
      </c>
      <c r="I61" s="62" t="s">
        <v>10</v>
      </c>
      <c r="J61" s="61" t="s">
        <v>10</v>
      </c>
      <c r="K61" s="68">
        <f>K60</f>
        <v>0.39894804229275321</v>
      </c>
      <c r="L61" s="63" t="s">
        <v>10</v>
      </c>
      <c r="M61" s="61" t="s">
        <v>10</v>
      </c>
      <c r="N61" s="68" t="s">
        <v>10</v>
      </c>
      <c r="O61" s="52" t="s">
        <v>10</v>
      </c>
      <c r="P61" s="257" t="s">
        <v>10</v>
      </c>
      <c r="Q61" s="61" t="s">
        <v>10</v>
      </c>
      <c r="R61" s="61" t="s">
        <v>10</v>
      </c>
      <c r="S61" s="61" t="s">
        <v>10</v>
      </c>
      <c r="T61" s="61" t="s">
        <v>10</v>
      </c>
      <c r="U61" s="61" t="s">
        <v>10</v>
      </c>
      <c r="V61" s="61" t="s">
        <v>10</v>
      </c>
      <c r="W61" s="61" t="s">
        <v>10</v>
      </c>
      <c r="X61" s="69" t="s">
        <v>10</v>
      </c>
      <c r="Y61" s="1" t="s">
        <v>10</v>
      </c>
    </row>
    <row r="62" spans="2:25" hidden="1" x14ac:dyDescent="0.2">
      <c r="B62" s="216">
        <v>29</v>
      </c>
      <c r="C62" s="217">
        <v>15</v>
      </c>
      <c r="D62" s="58" t="s">
        <v>10</v>
      </c>
      <c r="E62" s="61">
        <f>IF(B62=0,cell_HGL,IF(VLOOKUP(B62,table_HGL_JCTS,17,FALSE)&lt;X62,X62,VLOOKUP(B62,table_HGL_JCTS,17,FALSE)))</f>
        <v>408.81985354172213</v>
      </c>
      <c r="F62" s="61">
        <f>IF(B62=0,(E62+K62),IF(VLOOKUP(B62,table_HGL_JCTS,13,FALSE)="T-INTERSECTION",(E62+K62),(IF(VLOOKUP(B62,table_HGL_JCTS,17,FALSE)&lt;X62,(E62+K62),VLOOKUP(B62,table_HGL_JCTS,18,FALSE)))))</f>
        <v>409.2188015840149</v>
      </c>
      <c r="G62" s="62">
        <f>VLOOKUP(C62,table_CIA_JCTS,18)</f>
        <v>36</v>
      </c>
      <c r="H62" s="60">
        <f>VLOOKUP(C62,table_CIA_JCTS,17)</f>
        <v>19.658737621993851</v>
      </c>
      <c r="I62" s="62">
        <f>VLOOKUP(C62,table_CIA_JCTS,21)</f>
        <v>630</v>
      </c>
      <c r="J62" s="61">
        <f>H62/((G62/12)^2*3.1416/4)</f>
        <v>2.7811359564827334</v>
      </c>
      <c r="K62" s="61">
        <f>(J62^2)/64.4</f>
        <v>0.1201043044788995</v>
      </c>
      <c r="L62" s="63">
        <f>(H62/((1.486/cell_NP)*((3.1416*(G62/12)^2)/4)*(G62/48)^(2/3)))^2</f>
        <v>8.6871737506891275E-4</v>
      </c>
      <c r="M62" s="61">
        <f>L62*I62</f>
        <v>0.54729194629341504</v>
      </c>
      <c r="N62" s="68" t="s">
        <v>10</v>
      </c>
      <c r="O62" s="72" t="s">
        <v>156</v>
      </c>
      <c r="P62" s="61">
        <f>IF(ISBLANK(O62)=FALSE,(VLOOKUP(O62,table_MINOR,2,FALSE))*(K62)," ")</f>
        <v>9.0078228359174617E-2</v>
      </c>
      <c r="Q62" s="61">
        <f>SUM(P62:P63)</f>
        <v>9.0078228359174617E-2</v>
      </c>
      <c r="R62" s="61">
        <f>Q62+M62</f>
        <v>0.63737017465258972</v>
      </c>
      <c r="S62" s="61">
        <f>IF(O62="T-INTERSECTION",T62,(T62-K62))</f>
        <v>409.73606745418857</v>
      </c>
      <c r="T62" s="61">
        <f>IF(O62="T-INTERSECTION",(R62+F62-K62),(R62+F62))</f>
        <v>409.85617175866747</v>
      </c>
      <c r="U62" s="61">
        <f>VLOOKUP(C62,table_CIA_JCTS,26)</f>
        <v>417.6</v>
      </c>
      <c r="V62" s="61">
        <f>U62-0.5-S62</f>
        <v>7.3639325458114513</v>
      </c>
      <c r="W62" s="61" t="s">
        <v>10</v>
      </c>
      <c r="X62" s="69">
        <f>IF(B62&gt;0,VLOOKUP(B62,table_CIA_JCTS,28)," ")</f>
        <v>406.04</v>
      </c>
      <c r="Y62" s="1">
        <v>7.3639325458114513</v>
      </c>
    </row>
    <row r="63" spans="2:25" hidden="1" x14ac:dyDescent="0.2">
      <c r="B63" s="216" t="s">
        <v>10</v>
      </c>
      <c r="C63" s="217" t="s">
        <v>10</v>
      </c>
      <c r="D63" s="62" t="s">
        <v>10</v>
      </c>
      <c r="E63" s="61" t="s">
        <v>10</v>
      </c>
      <c r="F63" s="61" t="s">
        <v>10</v>
      </c>
      <c r="G63" s="62" t="s">
        <v>10</v>
      </c>
      <c r="H63" s="60" t="s">
        <v>10</v>
      </c>
      <c r="I63" s="62" t="s">
        <v>10</v>
      </c>
      <c r="J63" s="61" t="s">
        <v>10</v>
      </c>
      <c r="K63" s="68">
        <f>K62</f>
        <v>0.1201043044788995</v>
      </c>
      <c r="L63" s="63" t="s">
        <v>10</v>
      </c>
      <c r="M63" s="61" t="s">
        <v>10</v>
      </c>
      <c r="N63" s="68" t="s">
        <v>10</v>
      </c>
      <c r="O63" s="52" t="s">
        <v>10</v>
      </c>
      <c r="P63" s="257" t="s">
        <v>10</v>
      </c>
      <c r="Q63" s="61" t="s">
        <v>10</v>
      </c>
      <c r="R63" s="61" t="s">
        <v>10</v>
      </c>
      <c r="S63" s="61" t="s">
        <v>10</v>
      </c>
      <c r="T63" s="61" t="s">
        <v>10</v>
      </c>
      <c r="U63" s="61" t="s">
        <v>10</v>
      </c>
      <c r="V63" s="61" t="s">
        <v>10</v>
      </c>
      <c r="W63" s="61" t="s">
        <v>10</v>
      </c>
      <c r="X63" s="69" t="s">
        <v>10</v>
      </c>
      <c r="Y63" s="1" t="s">
        <v>10</v>
      </c>
    </row>
    <row r="64" spans="2:25" hidden="1" x14ac:dyDescent="0.2">
      <c r="B64" s="216">
        <v>15</v>
      </c>
      <c r="C64" s="217">
        <v>11</v>
      </c>
      <c r="D64" s="58" t="s">
        <v>10</v>
      </c>
      <c r="E64" s="61">
        <f>IF(B64=0,cell_HGL,IF(VLOOKUP(B64,table_HGL_JCTS,17,FALSE)&lt;X64,X64,VLOOKUP(B64,table_HGL_JCTS,17,FALSE)))</f>
        <v>411.83</v>
      </c>
      <c r="F64" s="61">
        <f>IF(B64=0,(E64+K64),IF(VLOOKUP(B64,table_HGL_JCTS,13,FALSE)="T-INTERSECTION",(E64+K64),(IF(VLOOKUP(B64,table_HGL_JCTS,17,FALSE)&lt;X64,(E64+K64),VLOOKUP(B64,table_HGL_JCTS,18,FALSE)))))</f>
        <v>412.04069823738536</v>
      </c>
      <c r="G64" s="62">
        <f>VLOOKUP(C64,table_CIA_JCTS,18)</f>
        <v>30</v>
      </c>
      <c r="H64" s="60">
        <f>VLOOKUP(C64,table_CIA_JCTS,17)</f>
        <v>18.081909830491604</v>
      </c>
      <c r="I64" s="62">
        <f>VLOOKUP(C64,table_CIA_JCTS,21)</f>
        <v>50</v>
      </c>
      <c r="J64" s="61">
        <f>H64/((G64/12)^2*3.1416/4)</f>
        <v>3.6836078086053692</v>
      </c>
      <c r="K64" s="61">
        <f>(J64^2)/64.4</f>
        <v>0.21069823738537966</v>
      </c>
      <c r="L64" s="63">
        <f>(H64/((1.486/cell_NP)*((3.1416*(G64/12)^2)/4)*(G64/48)^(2/3)))^2</f>
        <v>1.9433715137991228E-3</v>
      </c>
      <c r="M64" s="61">
        <f>L64*I64</f>
        <v>9.7168575689956141E-2</v>
      </c>
      <c r="N64" s="68" t="s">
        <v>10</v>
      </c>
      <c r="O64" s="72" t="s">
        <v>156</v>
      </c>
      <c r="P64" s="61">
        <f>IF(ISBLANK(O64)=FALSE,(VLOOKUP(O64,table_MINOR,2,FALSE))*(K64)," ")</f>
        <v>0.15802367803903475</v>
      </c>
      <c r="Q64" s="61">
        <f>SUM(P64:P65)</f>
        <v>0.15802367803903475</v>
      </c>
      <c r="R64" s="61">
        <f>Q64+M64</f>
        <v>0.2551922537289909</v>
      </c>
      <c r="S64" s="61">
        <f>IF(O64="T-INTERSECTION",T64,(T64-K64))</f>
        <v>412.08519225372896</v>
      </c>
      <c r="T64" s="61">
        <f>IF(O64="T-INTERSECTION",(R64+F64-K64),(R64+F64))</f>
        <v>412.29589049111433</v>
      </c>
      <c r="U64" s="61">
        <f>VLOOKUP(C64,table_CIA_JCTS,26)</f>
        <v>417.6</v>
      </c>
      <c r="V64" s="61">
        <f>U64-0.5-S64</f>
        <v>5.0148077462710603</v>
      </c>
      <c r="W64" s="61" t="s">
        <v>10</v>
      </c>
      <c r="X64" s="69">
        <f>IF(B64&gt;0,VLOOKUP(B64,table_CIA_JCTS,28)," ")</f>
        <v>411.83</v>
      </c>
      <c r="Y64" s="1">
        <v>5.0148077462710603</v>
      </c>
    </row>
    <row r="65" spans="2:25" hidden="1" x14ac:dyDescent="0.2">
      <c r="B65" s="216" t="s">
        <v>10</v>
      </c>
      <c r="C65" s="217" t="s">
        <v>10</v>
      </c>
      <c r="D65" s="62" t="s">
        <v>10</v>
      </c>
      <c r="E65" s="61" t="s">
        <v>10</v>
      </c>
      <c r="F65" s="61" t="s">
        <v>10</v>
      </c>
      <c r="G65" s="62" t="s">
        <v>10</v>
      </c>
      <c r="H65" s="60" t="s">
        <v>10</v>
      </c>
      <c r="I65" s="62" t="s">
        <v>10</v>
      </c>
      <c r="J65" s="61" t="s">
        <v>10</v>
      </c>
      <c r="K65" s="68">
        <f>K64</f>
        <v>0.21069823738537966</v>
      </c>
      <c r="L65" s="63" t="s">
        <v>10</v>
      </c>
      <c r="M65" s="61" t="s">
        <v>10</v>
      </c>
      <c r="N65" s="68" t="s">
        <v>10</v>
      </c>
      <c r="O65" s="52" t="s">
        <v>10</v>
      </c>
      <c r="P65" s="257" t="s">
        <v>10</v>
      </c>
      <c r="Q65" s="61" t="s">
        <v>10</v>
      </c>
      <c r="R65" s="61" t="s">
        <v>10</v>
      </c>
      <c r="S65" s="61" t="s">
        <v>10</v>
      </c>
      <c r="T65" s="61" t="s">
        <v>10</v>
      </c>
      <c r="U65" s="61" t="s">
        <v>10</v>
      </c>
      <c r="V65" s="61" t="s">
        <v>10</v>
      </c>
      <c r="W65" s="61" t="s">
        <v>10</v>
      </c>
      <c r="X65" s="69" t="s">
        <v>10</v>
      </c>
      <c r="Y65" s="1" t="s">
        <v>10</v>
      </c>
    </row>
    <row r="66" spans="2:25" hidden="1" x14ac:dyDescent="0.2">
      <c r="B66" s="216">
        <v>11</v>
      </c>
      <c r="C66" s="217">
        <v>9</v>
      </c>
      <c r="D66" s="58" t="s">
        <v>10</v>
      </c>
      <c r="E66" s="61">
        <f>IF(B66=0,cell_HGL,IF(VLOOKUP(B66,table_HGL_JCTS,17,FALSE)&lt;X66,X66,VLOOKUP(B66,table_HGL_JCTS,17,FALSE)))</f>
        <v>412.08519225372896</v>
      </c>
      <c r="F66" s="61">
        <f>IF(B66=0,(E66+K66),IF(VLOOKUP(B66,table_HGL_JCTS,13,FALSE)="T-INTERSECTION",(E66+K66),(IF(VLOOKUP(B66,table_HGL_JCTS,17,FALSE)&lt;X66,(E66+K66),VLOOKUP(B66,table_HGL_JCTS,18,FALSE)))))</f>
        <v>412.29589049111433</v>
      </c>
      <c r="G66" s="62">
        <f>VLOOKUP(C66,table_CIA_JCTS,18)</f>
        <v>30</v>
      </c>
      <c r="H66" s="60">
        <f>VLOOKUP(C66,table_CIA_JCTS,17)</f>
        <v>17.724875414984634</v>
      </c>
      <c r="I66" s="62">
        <f>VLOOKUP(C66,table_CIA_JCTS,21)</f>
        <v>683</v>
      </c>
      <c r="J66" s="61">
        <f>H66/((G66/12)^2*3.1416/4)</f>
        <v>3.6108735248249832</v>
      </c>
      <c r="K66" s="61">
        <f>(J66^2)/64.4</f>
        <v>0.20245974553232915</v>
      </c>
      <c r="L66" s="63">
        <f>(H66/((1.486/cell_NP)*((3.1416*(G66/12)^2)/4)*(G66/48)^(2/3)))^2</f>
        <v>1.8673839280339869E-3</v>
      </c>
      <c r="M66" s="61">
        <f>L66*I66</f>
        <v>1.2754232228472131</v>
      </c>
      <c r="N66" s="68" t="s">
        <v>10</v>
      </c>
      <c r="O66" s="72" t="s">
        <v>156</v>
      </c>
      <c r="P66" s="61">
        <f>IF(ISBLANK(O66)=FALSE,(VLOOKUP(O66,table_MINOR,2,FALSE))*(K66)," ")</f>
        <v>0.15184480914924686</v>
      </c>
      <c r="Q66" s="61">
        <f>SUM(P66:P67)</f>
        <v>0.15184480914924686</v>
      </c>
      <c r="R66" s="61">
        <f>Q66+M66</f>
        <v>1.4272680319964599</v>
      </c>
      <c r="S66" s="61">
        <f>IF(O66="T-INTERSECTION",T66,(T66-K66))</f>
        <v>413.52069877757845</v>
      </c>
      <c r="T66" s="61">
        <f>IF(O66="T-INTERSECTION",(R66+F66-K66),(R66+F66))</f>
        <v>413.72315852311078</v>
      </c>
      <c r="U66" s="61">
        <f>VLOOKUP(C66,table_CIA_JCTS,26)</f>
        <v>421.4</v>
      </c>
      <c r="V66" s="61">
        <f>U66-0.5-S66</f>
        <v>7.3793012224215317</v>
      </c>
      <c r="W66" s="61" t="s">
        <v>10</v>
      </c>
      <c r="X66" s="69">
        <f>IF(B66&gt;0,VLOOKUP(B66,table_CIA_JCTS,28)," ")</f>
        <v>411.73</v>
      </c>
      <c r="Y66" s="1">
        <v>7.3793012224215317</v>
      </c>
    </row>
    <row r="67" spans="2:25" hidden="1" x14ac:dyDescent="0.2">
      <c r="B67" s="216" t="s">
        <v>10</v>
      </c>
      <c r="C67" s="217" t="s">
        <v>10</v>
      </c>
      <c r="D67" s="62" t="s">
        <v>10</v>
      </c>
      <c r="E67" s="61" t="s">
        <v>10</v>
      </c>
      <c r="F67" s="61" t="s">
        <v>10</v>
      </c>
      <c r="G67" s="62" t="s">
        <v>10</v>
      </c>
      <c r="H67" s="60" t="s">
        <v>10</v>
      </c>
      <c r="I67" s="62" t="s">
        <v>10</v>
      </c>
      <c r="J67" s="61" t="s">
        <v>10</v>
      </c>
      <c r="K67" s="68">
        <f>K66</f>
        <v>0.20245974553232915</v>
      </c>
      <c r="L67" s="63" t="s">
        <v>10</v>
      </c>
      <c r="M67" s="61" t="s">
        <v>10</v>
      </c>
      <c r="N67" s="68" t="s">
        <v>10</v>
      </c>
      <c r="O67" s="52" t="s">
        <v>10</v>
      </c>
      <c r="P67" s="257" t="s">
        <v>10</v>
      </c>
      <c r="Q67" s="61" t="s">
        <v>10</v>
      </c>
      <c r="R67" s="61" t="s">
        <v>10</v>
      </c>
      <c r="S67" s="61" t="s">
        <v>10</v>
      </c>
      <c r="T67" s="61" t="s">
        <v>10</v>
      </c>
      <c r="U67" s="61" t="s">
        <v>10</v>
      </c>
      <c r="V67" s="61" t="s">
        <v>10</v>
      </c>
      <c r="W67" s="61" t="s">
        <v>10</v>
      </c>
      <c r="X67" s="69" t="s">
        <v>10</v>
      </c>
      <c r="Y67" s="1" t="s">
        <v>10</v>
      </c>
    </row>
    <row r="68" spans="2:25" hidden="1" x14ac:dyDescent="0.2">
      <c r="B68" s="216">
        <v>9</v>
      </c>
      <c r="C68" s="217">
        <v>7.1</v>
      </c>
      <c r="D68" s="58" t="s">
        <v>10</v>
      </c>
      <c r="E68" s="61">
        <f>IF(B68=0,cell_HGL,IF(VLOOKUP(B68,table_HGL_JCTS,17,FALSE)&lt;X68,X68,VLOOKUP(B68,table_HGL_JCTS,17,FALSE)))</f>
        <v>415.62</v>
      </c>
      <c r="F68" s="61">
        <f>IF(B68=0,(E68+K68),IF(VLOOKUP(B68,table_HGL_JCTS,13,FALSE)="T-INTERSECTION",(E68+K68),(IF(VLOOKUP(B68,table_HGL_JCTS,17,FALSE)&lt;X68,(E68+K68),VLOOKUP(B68,table_HGL_JCTS,18,FALSE)))))</f>
        <v>415.80229175122236</v>
      </c>
      <c r="G68" s="62">
        <f>VLOOKUP(C68,table_CIA_JCTS,18)</f>
        <v>30</v>
      </c>
      <c r="H68" s="60">
        <f>VLOOKUP(C68,table_CIA_JCTS,17)</f>
        <v>16.818891019537716</v>
      </c>
      <c r="I68" s="62">
        <f>VLOOKUP(C68,table_CIA_JCTS,21)</f>
        <v>30</v>
      </c>
      <c r="J68" s="61">
        <f>H68/((G68/12)^2*3.1416/4)</f>
        <v>3.4263083309473323</v>
      </c>
      <c r="K68" s="61">
        <f>(J68^2)/64.4</f>
        <v>0.18229175122234617</v>
      </c>
      <c r="L68" s="63">
        <f>(H68/((1.486/cell_NP)*((3.1416*(G68/12)^2)/4)*(G68/48)^(2/3)))^2</f>
        <v>1.6813647846426936E-3</v>
      </c>
      <c r="M68" s="61">
        <f>L68*I68</f>
        <v>5.0440943539280809E-2</v>
      </c>
      <c r="N68" s="68" t="s">
        <v>10</v>
      </c>
      <c r="O68" s="52" t="s">
        <v>10</v>
      </c>
      <c r="P68" s="257" t="s">
        <v>10</v>
      </c>
      <c r="Q68" s="61">
        <f>SUM(P68)</f>
        <v>0</v>
      </c>
      <c r="R68" s="61">
        <f>Q68+M68</f>
        <v>5.0440943539280809E-2</v>
      </c>
      <c r="S68" s="61">
        <f>IF(O68="T-INTERSECTION",T68,(T68-K68))</f>
        <v>415.67044094353929</v>
      </c>
      <c r="T68" s="61">
        <f>IF(O68="T-INTERSECTION",(R68+F68-K68),(R68+F68))</f>
        <v>415.85273269476164</v>
      </c>
      <c r="U68" s="61">
        <f>VLOOKUP(C68,table_CIA_JCTS,26)</f>
        <v>421.55</v>
      </c>
      <c r="V68" s="61">
        <f>U68-0.5-S68</f>
        <v>5.379559056460721</v>
      </c>
      <c r="W68" s="61" t="s">
        <v>10</v>
      </c>
      <c r="X68" s="69">
        <f>IF(B68&gt;0,VLOOKUP(B68,table_CIA_JCTS,28)," ")</f>
        <v>415.62</v>
      </c>
      <c r="Y68" s="1">
        <v>5.379559056460721</v>
      </c>
    </row>
    <row r="69" spans="2:25" hidden="1" x14ac:dyDescent="0.2">
      <c r="B69" s="216" t="s">
        <v>10</v>
      </c>
      <c r="C69" s="217" t="s">
        <v>10</v>
      </c>
      <c r="D69" s="62" t="s">
        <v>10</v>
      </c>
      <c r="E69" s="61" t="s">
        <v>10</v>
      </c>
      <c r="F69" s="61" t="s">
        <v>10</v>
      </c>
      <c r="G69" s="62" t="s">
        <v>10</v>
      </c>
      <c r="H69" s="60" t="s">
        <v>10</v>
      </c>
      <c r="I69" s="62" t="s">
        <v>10</v>
      </c>
      <c r="J69" s="61" t="s">
        <v>10</v>
      </c>
      <c r="K69" s="68" t="s">
        <v>10</v>
      </c>
      <c r="L69" s="63" t="s">
        <v>10</v>
      </c>
      <c r="M69" s="61" t="s">
        <v>10</v>
      </c>
      <c r="N69" s="68" t="s">
        <v>10</v>
      </c>
      <c r="O69" s="52" t="s">
        <v>176</v>
      </c>
      <c r="P69" s="61" t="s">
        <v>10</v>
      </c>
      <c r="Q69" s="61" t="s">
        <v>10</v>
      </c>
      <c r="R69" s="61" t="s">
        <v>10</v>
      </c>
      <c r="S69" s="61" t="s">
        <v>10</v>
      </c>
      <c r="T69" s="61" t="s">
        <v>10</v>
      </c>
      <c r="U69" s="61" t="s">
        <v>10</v>
      </c>
      <c r="V69" s="61" t="s">
        <v>10</v>
      </c>
      <c r="W69" s="61" t="s">
        <v>10</v>
      </c>
      <c r="X69" s="69" t="s">
        <v>10</v>
      </c>
      <c r="Y69" s="1" t="s">
        <v>10</v>
      </c>
    </row>
    <row r="70" spans="2:25" hidden="1" x14ac:dyDescent="0.2">
      <c r="B70" s="216">
        <v>7.1</v>
      </c>
      <c r="C70" s="217">
        <v>6.1</v>
      </c>
      <c r="D70" s="58" t="s">
        <v>10</v>
      </c>
      <c r="E70" s="61">
        <f>IF(B70=0,cell_HGL,IF(VLOOKUP(B70,table_HGL_JCTS,17,FALSE)&lt;X70,X70,VLOOKUP(B70,table_HGL_JCTS,17,FALSE)))</f>
        <v>415.67044094353929</v>
      </c>
      <c r="F70" s="61">
        <f>IF(B70=0,(E70+K70),IF(VLOOKUP(B70,table_HGL_JCTS,13,FALSE)="T-INTERSECTION",(E70+K70),(IF(VLOOKUP(B70,table_HGL_JCTS,17,FALSE)&lt;X70,(E70+K70),VLOOKUP(B70,table_HGL_JCTS,18,FALSE)))))</f>
        <v>415.85273269476164</v>
      </c>
      <c r="G70" s="62">
        <f>VLOOKUP(C70,table_CIA_JCTS,18)</f>
        <v>30</v>
      </c>
      <c r="H70" s="60">
        <f>VLOOKUP(C70,table_CIA_JCTS,17)</f>
        <v>16.149102252582001</v>
      </c>
      <c r="I70" s="62">
        <f>VLOOKUP(C70,table_CIA_JCTS,21)</f>
        <v>32</v>
      </c>
      <c r="J70" s="61">
        <f>H70/((G70/12)^2*3.1416/4)</f>
        <v>3.2898604028687553</v>
      </c>
      <c r="K70" s="61">
        <f>(J70^2)/64.4</f>
        <v>0.16806182407397155</v>
      </c>
      <c r="L70" s="63">
        <f>(H70/((1.486/cell_NP)*((3.1416*(G70/12)^2)/4)*(G70/48)^(2/3)))^2</f>
        <v>1.5501153000397107E-3</v>
      </c>
      <c r="M70" s="61">
        <f>L70*I70</f>
        <v>4.9603689601270741E-2</v>
      </c>
      <c r="N70" s="68" t="s">
        <v>10</v>
      </c>
      <c r="O70" s="52" t="s">
        <v>10</v>
      </c>
      <c r="P70" s="257" t="s">
        <v>10</v>
      </c>
      <c r="Q70" s="61">
        <f>SUM(P70)</f>
        <v>0</v>
      </c>
      <c r="R70" s="61">
        <f>Q70+M70</f>
        <v>4.9603689601270741E-2</v>
      </c>
      <c r="S70" s="61">
        <f>IF(O70="T-INTERSECTION",T70,(T70-K70))</f>
        <v>415.73427456028895</v>
      </c>
      <c r="T70" s="61">
        <f>IF(O70="T-INTERSECTION",(R70+F70-K70),(R70+F70))</f>
        <v>415.90233638436291</v>
      </c>
      <c r="U70" s="61">
        <f>VLOOKUP(C70,table_CIA_JCTS,26)</f>
        <v>421.46</v>
      </c>
      <c r="V70" s="61">
        <f>U70-0.5-S70</f>
        <v>5.2257254397110273</v>
      </c>
      <c r="W70" s="61" t="s">
        <v>10</v>
      </c>
      <c r="X70" s="69">
        <f>IF(B70&gt;0,VLOOKUP(B70,table_CIA_JCTS,28)," ")</f>
        <v>415.6</v>
      </c>
      <c r="Y70" s="1">
        <v>5.2257254397110273</v>
      </c>
    </row>
    <row r="71" spans="2:25" hidden="1" x14ac:dyDescent="0.2">
      <c r="B71" s="216" t="s">
        <v>10</v>
      </c>
      <c r="C71" s="217" t="s">
        <v>10</v>
      </c>
      <c r="D71" s="62" t="s">
        <v>10</v>
      </c>
      <c r="E71" s="61" t="s">
        <v>10</v>
      </c>
      <c r="F71" s="61" t="s">
        <v>10</v>
      </c>
      <c r="G71" s="62" t="s">
        <v>10</v>
      </c>
      <c r="H71" s="60" t="s">
        <v>10</v>
      </c>
      <c r="I71" s="62" t="s">
        <v>10</v>
      </c>
      <c r="J71" s="61" t="s">
        <v>10</v>
      </c>
      <c r="K71" s="68" t="s">
        <v>10</v>
      </c>
      <c r="L71" s="63" t="s">
        <v>10</v>
      </c>
      <c r="M71" s="61" t="s">
        <v>10</v>
      </c>
      <c r="N71" s="68" t="s">
        <v>10</v>
      </c>
      <c r="O71" s="52" t="s">
        <v>176</v>
      </c>
      <c r="P71" s="61" t="s">
        <v>10</v>
      </c>
      <c r="Q71" s="61" t="s">
        <v>10</v>
      </c>
      <c r="R71" s="61" t="s">
        <v>10</v>
      </c>
      <c r="S71" s="61" t="s">
        <v>10</v>
      </c>
      <c r="T71" s="61" t="s">
        <v>10</v>
      </c>
      <c r="U71" s="61" t="s">
        <v>10</v>
      </c>
      <c r="V71" s="61" t="s">
        <v>10</v>
      </c>
      <c r="W71" s="61" t="s">
        <v>10</v>
      </c>
      <c r="X71" s="69" t="s">
        <v>10</v>
      </c>
      <c r="Y71" s="1" t="s">
        <v>10</v>
      </c>
    </row>
    <row r="72" spans="2:25" hidden="1" x14ac:dyDescent="0.2">
      <c r="B72" s="216">
        <v>6.1</v>
      </c>
      <c r="C72" s="217">
        <v>6</v>
      </c>
      <c r="D72" s="58" t="s">
        <v>10</v>
      </c>
      <c r="E72" s="61">
        <f>IF(B72=0,cell_HGL,IF(VLOOKUP(B72,table_HGL_JCTS,17,FALSE)&lt;X72,X72,VLOOKUP(B72,table_HGL_JCTS,17,FALSE)))</f>
        <v>415.73427456028895</v>
      </c>
      <c r="F72" s="61">
        <f>IF(B72=0,(E72+K72),IF(VLOOKUP(B72,table_HGL_JCTS,13,FALSE)="T-INTERSECTION",(E72+K72),(IF(VLOOKUP(B72,table_HGL_JCTS,17,FALSE)&lt;X72,(E72+K72),VLOOKUP(B72,table_HGL_JCTS,18,FALSE)))))</f>
        <v>415.90233638436291</v>
      </c>
      <c r="G72" s="62">
        <f>VLOOKUP(C72,table_CIA_JCTS,18)</f>
        <v>30</v>
      </c>
      <c r="H72" s="60">
        <f>VLOOKUP(C72,table_CIA_JCTS,17)</f>
        <v>15.534245330397477</v>
      </c>
      <c r="I72" s="62">
        <f>VLOOKUP(C72,table_CIA_JCTS,21)</f>
        <v>606</v>
      </c>
      <c r="J72" s="61">
        <f>H72/((G72/12)^2*3.1416/4)</f>
        <v>3.1646030721461633</v>
      </c>
      <c r="K72" s="61">
        <f>(J72^2)/64.4</f>
        <v>0.15550795969312009</v>
      </c>
      <c r="L72" s="63">
        <f>(H72/((1.486/cell_NP)*((3.1416*(G72/12)^2)/4)*(G72/48)^(2/3)))^2</f>
        <v>1.4343249511094493E-3</v>
      </c>
      <c r="M72" s="61">
        <f>L72*I72</f>
        <v>0.86920092037232621</v>
      </c>
      <c r="N72" s="68" t="s">
        <v>10</v>
      </c>
      <c r="O72" s="72" t="s">
        <v>152</v>
      </c>
      <c r="P72" s="61">
        <f>IF(ISBLANK(O72)=FALSE,(VLOOKUP(O72,table_MINOR,2,FALSE))*(K72)," ")</f>
        <v>9.3304775815872057E-2</v>
      </c>
      <c r="Q72" s="61">
        <f>SUM(P72:P73)</f>
        <v>9.3304775815872057E-2</v>
      </c>
      <c r="R72" s="61">
        <f>Q72+M72</f>
        <v>0.96250569618819826</v>
      </c>
      <c r="S72" s="61">
        <f>IF(O72="T-INTERSECTION",T72,(T72-K72))</f>
        <v>416.70933412085799</v>
      </c>
      <c r="T72" s="61">
        <f>IF(O72="T-INTERSECTION",(R72+F72-K72),(R72+F72))</f>
        <v>416.86484208055111</v>
      </c>
      <c r="U72" s="61">
        <f>VLOOKUP(C72,table_CIA_JCTS,26)</f>
        <v>425.17</v>
      </c>
      <c r="V72" s="61">
        <f>U72-0.5-S72</f>
        <v>7.9606658791420273</v>
      </c>
      <c r="W72" s="61" t="s">
        <v>10</v>
      </c>
      <c r="X72" s="69">
        <f>IF(B72&gt;0,VLOOKUP(B72,table_CIA_JCTS,28)," ")</f>
        <v>415.62</v>
      </c>
      <c r="Y72" s="1">
        <v>7.9606658791420273</v>
      </c>
    </row>
    <row r="73" spans="2:25" hidden="1" x14ac:dyDescent="0.2">
      <c r="B73" s="216" t="s">
        <v>10</v>
      </c>
      <c r="C73" s="217" t="s">
        <v>10</v>
      </c>
      <c r="D73" s="62" t="s">
        <v>10</v>
      </c>
      <c r="E73" s="61" t="s">
        <v>10</v>
      </c>
      <c r="F73" s="61" t="s">
        <v>10</v>
      </c>
      <c r="G73" s="62" t="s">
        <v>10</v>
      </c>
      <c r="H73" s="60" t="s">
        <v>10</v>
      </c>
      <c r="I73" s="62" t="s">
        <v>10</v>
      </c>
      <c r="J73" s="61" t="s">
        <v>10</v>
      </c>
      <c r="K73" s="68">
        <f>K72</f>
        <v>0.15550795969312009</v>
      </c>
      <c r="L73" s="63" t="s">
        <v>10</v>
      </c>
      <c r="M73" s="61" t="s">
        <v>10</v>
      </c>
      <c r="N73" s="68" t="s">
        <v>10</v>
      </c>
      <c r="O73" s="52" t="s">
        <v>10</v>
      </c>
      <c r="P73" s="257" t="s">
        <v>10</v>
      </c>
      <c r="Q73" s="61" t="s">
        <v>10</v>
      </c>
      <c r="R73" s="61" t="s">
        <v>10</v>
      </c>
      <c r="S73" s="61" t="s">
        <v>10</v>
      </c>
      <c r="T73" s="61" t="s">
        <v>10</v>
      </c>
      <c r="U73" s="61" t="s">
        <v>10</v>
      </c>
      <c r="V73" s="61" t="s">
        <v>10</v>
      </c>
      <c r="W73" s="61" t="s">
        <v>10</v>
      </c>
      <c r="X73" s="69" t="s">
        <v>10</v>
      </c>
      <c r="Y73" s="1" t="s">
        <v>10</v>
      </c>
    </row>
    <row r="74" spans="2:25" hidden="1" x14ac:dyDescent="0.2">
      <c r="B74" s="216">
        <v>6</v>
      </c>
      <c r="C74" s="217">
        <v>3</v>
      </c>
      <c r="D74" s="58" t="s">
        <v>10</v>
      </c>
      <c r="E74" s="61">
        <f>IF(B74=0,cell_HGL,IF(VLOOKUP(B74,table_HGL_JCTS,17,FALSE)&lt;X74,X74,VLOOKUP(B74,table_HGL_JCTS,17,FALSE)))</f>
        <v>418.39</v>
      </c>
      <c r="F74" s="61">
        <f>IF(B74=0,(E74+K74),IF(VLOOKUP(B74,table_HGL_JCTS,13,FALSE)="T-INTERSECTION",(E74+K74),(IF(VLOOKUP(B74,table_HGL_JCTS,17,FALSE)&lt;X74,(E74+K74),VLOOKUP(B74,table_HGL_JCTS,18,FALSE)))))</f>
        <v>418.57965747126445</v>
      </c>
      <c r="G74" s="62">
        <f>VLOOKUP(C74,table_CIA_JCTS,18)</f>
        <v>24</v>
      </c>
      <c r="H74" s="60">
        <f>VLOOKUP(C74,table_CIA_JCTS,17)</f>
        <v>10.979404861160939</v>
      </c>
      <c r="I74" s="62">
        <f>VLOOKUP(C74,table_CIA_JCTS,21)</f>
        <v>826</v>
      </c>
      <c r="J74" s="61">
        <f>H74/((G74/12)^2*3.1416/4)</f>
        <v>3.494844939254182</v>
      </c>
      <c r="K74" s="61">
        <f>(J74^2)/64.4</f>
        <v>0.18965747126444979</v>
      </c>
      <c r="L74" s="63">
        <f>(H74/((1.486/cell_NP)*((3.1416*(G74/12)^2)/4)*(G74/48)^(2/3)))^2</f>
        <v>2.3554735748296468E-3</v>
      </c>
      <c r="M74" s="61">
        <f>L74*I74</f>
        <v>1.9456211728092883</v>
      </c>
      <c r="N74" s="68" t="s">
        <v>10</v>
      </c>
      <c r="O74" s="72" t="s">
        <v>152</v>
      </c>
      <c r="P74" s="61">
        <f>IF(ISBLANK(O74)=FALSE,(VLOOKUP(O74,table_MINOR,2,FALSE))*(K74)," ")</f>
        <v>0.11379448275866987</v>
      </c>
      <c r="Q74" s="61">
        <f>SUM(P74:P76)</f>
        <v>0.16120885057478232</v>
      </c>
      <c r="R74" s="61">
        <f>Q74+M74</f>
        <v>2.1068300233840707</v>
      </c>
      <c r="S74" s="61">
        <f>IF(O74="T-INTERSECTION",T74,(T74-K74))</f>
        <v>420.49683002338406</v>
      </c>
      <c r="T74" s="61">
        <f>IF(O74="T-INTERSECTION",(R74+F74-K74),(R74+F74))</f>
        <v>420.68648749464853</v>
      </c>
      <c r="U74" s="61">
        <f>VLOOKUP(C74,table_CIA_JCTS,26)</f>
        <v>426.82</v>
      </c>
      <c r="V74" s="61">
        <f>U74-0.5-S74</f>
        <v>5.8231699766159295</v>
      </c>
      <c r="W74" s="61" t="s">
        <v>10</v>
      </c>
      <c r="X74" s="69">
        <f>IF(B74&gt;0,VLOOKUP(B74,table_CIA_JCTS,28)," ")</f>
        <v>418.39</v>
      </c>
      <c r="Y74" s="1">
        <v>5.8231699766159295</v>
      </c>
    </row>
    <row r="75" spans="2:25" hidden="1" x14ac:dyDescent="0.2">
      <c r="B75" s="216" t="s">
        <v>10</v>
      </c>
      <c r="C75" s="217" t="s">
        <v>10</v>
      </c>
      <c r="D75" s="62" t="s">
        <v>10</v>
      </c>
      <c r="E75" s="61" t="s">
        <v>10</v>
      </c>
      <c r="F75" s="61" t="s">
        <v>10</v>
      </c>
      <c r="G75" s="62" t="s">
        <v>10</v>
      </c>
      <c r="H75" s="60" t="s">
        <v>10</v>
      </c>
      <c r="I75" s="62" t="s">
        <v>10</v>
      </c>
      <c r="J75" s="61" t="s">
        <v>10</v>
      </c>
      <c r="K75" s="68">
        <f>K74</f>
        <v>0.18965747126444979</v>
      </c>
      <c r="L75" s="63" t="s">
        <v>10</v>
      </c>
      <c r="M75" s="61" t="s">
        <v>10</v>
      </c>
      <c r="N75" s="68" t="s">
        <v>10</v>
      </c>
      <c r="O75" s="52" t="s">
        <v>131</v>
      </c>
      <c r="P75" s="61">
        <f>IF(ISBLANK(O75)=FALSE,(VLOOKUP(O75,table_MINOR,2,FALSE))*(K75)," ")</f>
        <v>4.7414367816112447E-2</v>
      </c>
      <c r="Q75" s="61" t="s">
        <v>10</v>
      </c>
      <c r="R75" s="61" t="s">
        <v>10</v>
      </c>
      <c r="S75" s="61" t="s">
        <v>10</v>
      </c>
      <c r="T75" s="61" t="s">
        <v>10</v>
      </c>
      <c r="U75" s="61" t="s">
        <v>10</v>
      </c>
      <c r="V75" s="61" t="s">
        <v>10</v>
      </c>
      <c r="W75" s="61" t="s">
        <v>10</v>
      </c>
      <c r="X75" s="69" t="s">
        <v>10</v>
      </c>
      <c r="Y75" s="1" t="s">
        <v>10</v>
      </c>
    </row>
    <row r="76" spans="2:25" hidden="1" x14ac:dyDescent="0.2">
      <c r="B76" s="216" t="s">
        <v>10</v>
      </c>
      <c r="C76" s="217" t="s">
        <v>10</v>
      </c>
      <c r="D76" s="62" t="s">
        <v>10</v>
      </c>
      <c r="E76" s="61" t="s">
        <v>10</v>
      </c>
      <c r="F76" s="61" t="s">
        <v>10</v>
      </c>
      <c r="G76" s="62" t="s">
        <v>10</v>
      </c>
      <c r="H76" s="60" t="s">
        <v>10</v>
      </c>
      <c r="I76" s="62" t="s">
        <v>10</v>
      </c>
      <c r="J76" s="61" t="s">
        <v>10</v>
      </c>
      <c r="K76" s="68">
        <f>K75</f>
        <v>0.18965747126444979</v>
      </c>
      <c r="L76" s="63" t="s">
        <v>10</v>
      </c>
      <c r="M76" s="61" t="s">
        <v>10</v>
      </c>
      <c r="N76" s="68" t="s">
        <v>10</v>
      </c>
      <c r="O76" s="52" t="s">
        <v>10</v>
      </c>
      <c r="P76" s="257" t="s">
        <v>10</v>
      </c>
      <c r="Q76" s="61" t="s">
        <v>10</v>
      </c>
      <c r="R76" s="61" t="s">
        <v>10</v>
      </c>
      <c r="S76" s="61" t="s">
        <v>10</v>
      </c>
      <c r="T76" s="61" t="s">
        <v>10</v>
      </c>
      <c r="U76" s="61" t="s">
        <v>10</v>
      </c>
      <c r="V76" s="61" t="s">
        <v>10</v>
      </c>
      <c r="W76" s="61" t="s">
        <v>10</v>
      </c>
      <c r="X76" s="69" t="s">
        <v>10</v>
      </c>
      <c r="Y76" s="1" t="s">
        <v>10</v>
      </c>
    </row>
    <row r="77" spans="2:25" hidden="1" x14ac:dyDescent="0.2">
      <c r="B77" s="216">
        <v>3</v>
      </c>
      <c r="C77" s="217">
        <v>2</v>
      </c>
      <c r="D77" s="58" t="s">
        <v>10</v>
      </c>
      <c r="E77" s="61">
        <f>IF(B77=0,cell_HGL,IF(VLOOKUP(B77,table_HGL_JCTS,17,FALSE)&lt;X77,X77,VLOOKUP(B77,table_HGL_JCTS,17,FALSE)))</f>
        <v>420.96</v>
      </c>
      <c r="F77" s="61">
        <f>IF(B77=0,(E77+K77),IF(VLOOKUP(B77,table_HGL_JCTS,13,FALSE)="T-INTERSECTION",(E77+K77),(IF(VLOOKUP(B77,table_HGL_JCTS,17,FALSE)&lt;X77,(E77+K77),VLOOKUP(B77,table_HGL_JCTS,18,FALSE)))))</f>
        <v>421.14674746395065</v>
      </c>
      <c r="G77" s="62">
        <f>VLOOKUP(C77,table_CIA_JCTS,18)</f>
        <v>24</v>
      </c>
      <c r="H77" s="60">
        <f>VLOOKUP(C77,table_CIA_JCTS,17)</f>
        <v>10.894848069755655</v>
      </c>
      <c r="I77" s="62">
        <f>VLOOKUP(C77,table_CIA_JCTS,21)</f>
        <v>943</v>
      </c>
      <c r="J77" s="61">
        <f>H77/((G77/12)^2*3.1416/4)</f>
        <v>3.4679297395453448</v>
      </c>
      <c r="K77" s="61">
        <f>(J77^2)/64.4</f>
        <v>0.18674746395066835</v>
      </c>
      <c r="L77" s="63">
        <f>(H77/((1.486/cell_NP)*((3.1416*(G77/12)^2)/4)*(G77/48)^(2/3)))^2</f>
        <v>2.3193323920727826E-3</v>
      </c>
      <c r="M77" s="61">
        <f>L77*I77</f>
        <v>2.1871304457246339</v>
      </c>
      <c r="N77" s="68" t="s">
        <v>10</v>
      </c>
      <c r="O77" s="72" t="s">
        <v>156</v>
      </c>
      <c r="P77" s="61">
        <f>IF(ISBLANK(O77)=FALSE,(VLOOKUP(O77,table_MINOR,2,FALSE))*(K77)," ")</f>
        <v>0.14006059796300127</v>
      </c>
      <c r="Q77" s="61">
        <f>SUM(P77:P78)</f>
        <v>0.14006059796300127</v>
      </c>
      <c r="R77" s="61">
        <f>Q77+M77</f>
        <v>2.3271910436876353</v>
      </c>
      <c r="S77" s="61">
        <f>IF(O77="T-INTERSECTION",T77,(T77-K77))</f>
        <v>423.28719104368764</v>
      </c>
      <c r="T77" s="61">
        <f>IF(O77="T-INTERSECTION",(R77+F77-K77),(R77+F77))</f>
        <v>423.47393850763831</v>
      </c>
      <c r="U77" s="61">
        <f>VLOOKUP(C77,table_CIA_JCTS,26)</f>
        <v>428.5</v>
      </c>
      <c r="V77" s="61">
        <f>U77-0.5-S77</f>
        <v>4.7128089563123581</v>
      </c>
      <c r="W77" s="61" t="s">
        <v>10</v>
      </c>
      <c r="X77" s="69">
        <f>IF(B77&gt;0,VLOOKUP(B77,table_CIA_JCTS,28)," ")</f>
        <v>420.96</v>
      </c>
      <c r="Y77" s="1">
        <v>4.7128089563123581</v>
      </c>
    </row>
    <row r="78" spans="2:25" hidden="1" x14ac:dyDescent="0.2">
      <c r="B78" s="216" t="s">
        <v>10</v>
      </c>
      <c r="C78" s="217" t="s">
        <v>10</v>
      </c>
      <c r="D78" s="62" t="s">
        <v>10</v>
      </c>
      <c r="E78" s="61" t="s">
        <v>10</v>
      </c>
      <c r="F78" s="61" t="s">
        <v>10</v>
      </c>
      <c r="G78" s="62" t="s">
        <v>10</v>
      </c>
      <c r="H78" s="60" t="s">
        <v>10</v>
      </c>
      <c r="I78" s="62" t="s">
        <v>10</v>
      </c>
      <c r="J78" s="61" t="s">
        <v>10</v>
      </c>
      <c r="K78" s="68">
        <f>K77</f>
        <v>0.18674746395066835</v>
      </c>
      <c r="L78" s="63" t="s">
        <v>10</v>
      </c>
      <c r="M78" s="61" t="s">
        <v>10</v>
      </c>
      <c r="N78" s="68" t="s">
        <v>10</v>
      </c>
      <c r="O78" s="52" t="s">
        <v>10</v>
      </c>
      <c r="P78" s="257" t="s">
        <v>10</v>
      </c>
      <c r="Q78" s="61" t="s">
        <v>10</v>
      </c>
      <c r="R78" s="61" t="s">
        <v>10</v>
      </c>
      <c r="S78" s="61" t="s">
        <v>10</v>
      </c>
      <c r="T78" s="61" t="s">
        <v>10</v>
      </c>
      <c r="U78" s="61" t="s">
        <v>10</v>
      </c>
      <c r="V78" s="61" t="s">
        <v>10</v>
      </c>
      <c r="W78" s="61" t="s">
        <v>10</v>
      </c>
      <c r="X78" s="69" t="s">
        <v>10</v>
      </c>
      <c r="Y78" s="1" t="s">
        <v>10</v>
      </c>
    </row>
    <row r="79" spans="2:25" hidden="1" x14ac:dyDescent="0.2">
      <c r="B79" s="216" t="s">
        <v>10</v>
      </c>
      <c r="C79" s="217" t="s">
        <v>10</v>
      </c>
      <c r="D79" s="62" t="s">
        <v>10</v>
      </c>
      <c r="E79" s="61" t="s">
        <v>10</v>
      </c>
      <c r="F79" s="61" t="s">
        <v>10</v>
      </c>
      <c r="G79" s="62" t="s">
        <v>10</v>
      </c>
      <c r="H79" s="60" t="s">
        <v>10</v>
      </c>
      <c r="I79" s="62" t="s">
        <v>10</v>
      </c>
      <c r="J79" s="61" t="s">
        <v>10</v>
      </c>
      <c r="K79" s="68" t="s">
        <v>10</v>
      </c>
      <c r="L79" s="63" t="s">
        <v>10</v>
      </c>
      <c r="M79" s="61" t="s">
        <v>10</v>
      </c>
      <c r="N79" s="68" t="s">
        <v>10</v>
      </c>
      <c r="O79" s="52" t="s">
        <v>176</v>
      </c>
      <c r="P79" s="61" t="s">
        <v>10</v>
      </c>
      <c r="Q79" s="61" t="s">
        <v>10</v>
      </c>
      <c r="R79" s="61" t="s">
        <v>10</v>
      </c>
      <c r="S79" s="61" t="s">
        <v>10</v>
      </c>
      <c r="T79" s="61" t="s">
        <v>10</v>
      </c>
      <c r="U79" s="61" t="s">
        <v>10</v>
      </c>
      <c r="V79" s="61" t="s">
        <v>10</v>
      </c>
      <c r="W79" s="61" t="s">
        <v>10</v>
      </c>
      <c r="X79" s="69" t="s">
        <v>10</v>
      </c>
      <c r="Y79" s="1" t="s">
        <v>10</v>
      </c>
    </row>
    <row r="80" spans="2:25" hidden="1" x14ac:dyDescent="0.2">
      <c r="B80" s="216">
        <v>2</v>
      </c>
      <c r="C80" s="217">
        <v>1</v>
      </c>
      <c r="D80" s="58" t="s">
        <v>10</v>
      </c>
      <c r="E80" s="61">
        <f>IF(B80=0,cell_HGL,IF(VLOOKUP(B80,table_HGL_JCTS,17,FALSE)&lt;X80,X80,VLOOKUP(B80,table_HGL_JCTS,17,FALSE)))</f>
        <v>423.28719104368764</v>
      </c>
      <c r="F80" s="61">
        <f>IF(B80=0,(E80+K80),IF(VLOOKUP(B80,table_HGL_JCTS,13,FALSE)="T-INTERSECTION",(E80+K80),(IF(VLOOKUP(B80,table_HGL_JCTS,17,FALSE)&lt;X80,(E80+K80),VLOOKUP(B80,table_HGL_JCTS,18,FALSE)))))</f>
        <v>423.47393850763831</v>
      </c>
      <c r="G80" s="62">
        <f>VLOOKUP(C80,table_CIA_JCTS,18)</f>
        <v>24</v>
      </c>
      <c r="H80" s="60">
        <f>VLOOKUP(C80,table_CIA_JCTS,17)</f>
        <v>7.9783215791673898</v>
      </c>
      <c r="I80" s="62">
        <f>VLOOKUP(C80,table_CIA_JCTS,21)</f>
        <v>176</v>
      </c>
      <c r="J80" s="61">
        <f>H80/((G80/12)^2*3.1416/4)</f>
        <v>2.5395726951767856</v>
      </c>
      <c r="K80" s="61">
        <f>(J80^2)/64.4</f>
        <v>0.10014642040508513</v>
      </c>
      <c r="L80" s="63">
        <f>(H80/((1.486/cell_NP)*((3.1416*(G80/12)^2)/4)*(G80/48)^(2/3)))^2</f>
        <v>1.2437804074116388E-3</v>
      </c>
      <c r="M80" s="61">
        <f>L80*I80</f>
        <v>0.21890535170444844</v>
      </c>
      <c r="N80" s="68" t="s">
        <v>10</v>
      </c>
      <c r="O80" s="52" t="s">
        <v>10</v>
      </c>
      <c r="P80" s="257" t="s">
        <v>10</v>
      </c>
      <c r="Q80" s="61">
        <f>SUM(P80)</f>
        <v>0</v>
      </c>
      <c r="R80" s="61">
        <f>Q80+M80</f>
        <v>0.21890535170444844</v>
      </c>
      <c r="S80" s="61">
        <f>IF(O80="T-INTERSECTION",T80,(T80-K80))</f>
        <v>423.59269743893765</v>
      </c>
      <c r="T80" s="61">
        <f>IF(O80="T-INTERSECTION",(R80+F80-K80),(R80+F80))</f>
        <v>423.69284385934276</v>
      </c>
      <c r="U80" s="61">
        <f>VLOOKUP(C80,table_CIA_JCTS,26)</f>
        <v>427.61</v>
      </c>
      <c r="V80" s="61">
        <f>U80-0.5-S80</f>
        <v>3.5173025610623654</v>
      </c>
      <c r="W80" s="61" t="s">
        <v>10</v>
      </c>
      <c r="X80" s="69">
        <f>IF(B80&gt;0,VLOOKUP(B80,table_CIA_JCTS,28)," ")</f>
        <v>422.36</v>
      </c>
      <c r="Y80" s="1">
        <v>3.5173025610623654</v>
      </c>
    </row>
    <row r="81" spans="2:25" hidden="1" x14ac:dyDescent="0.2">
      <c r="B81" s="216" t="s">
        <v>10</v>
      </c>
      <c r="C81" s="217" t="s">
        <v>10</v>
      </c>
      <c r="D81" s="62" t="s">
        <v>10</v>
      </c>
      <c r="E81" s="61" t="s">
        <v>10</v>
      </c>
      <c r="F81" s="61" t="s">
        <v>10</v>
      </c>
      <c r="G81" s="62" t="s">
        <v>10</v>
      </c>
      <c r="H81" s="60" t="s">
        <v>10</v>
      </c>
      <c r="I81" s="62" t="s">
        <v>10</v>
      </c>
      <c r="J81" s="61" t="s">
        <v>10</v>
      </c>
      <c r="K81" s="68" t="s">
        <v>10</v>
      </c>
      <c r="L81" s="63" t="s">
        <v>10</v>
      </c>
      <c r="M81" s="61" t="s">
        <v>10</v>
      </c>
      <c r="N81" s="68" t="s">
        <v>10</v>
      </c>
      <c r="O81" s="52" t="s">
        <v>176</v>
      </c>
      <c r="P81" s="61" t="s">
        <v>10</v>
      </c>
      <c r="Q81" s="61" t="s">
        <v>10</v>
      </c>
      <c r="R81" s="61" t="s">
        <v>10</v>
      </c>
      <c r="S81" s="61" t="s">
        <v>10</v>
      </c>
      <c r="T81" s="61" t="s">
        <v>10</v>
      </c>
      <c r="U81" s="61" t="s">
        <v>10</v>
      </c>
      <c r="V81" s="61" t="s">
        <v>10</v>
      </c>
      <c r="W81" s="61" t="s">
        <v>10</v>
      </c>
      <c r="X81" s="69" t="s">
        <v>10</v>
      </c>
      <c r="Y81" s="1" t="s">
        <v>10</v>
      </c>
    </row>
    <row r="82" spans="2:25" hidden="1" x14ac:dyDescent="0.2">
      <c r="B82" s="216" t="s">
        <v>10</v>
      </c>
      <c r="C82" s="217" t="s">
        <v>10</v>
      </c>
      <c r="D82" s="62" t="s">
        <v>10</v>
      </c>
      <c r="E82" s="61" t="s">
        <v>10</v>
      </c>
      <c r="F82" s="61" t="s">
        <v>10</v>
      </c>
      <c r="G82" s="62" t="s">
        <v>10</v>
      </c>
      <c r="H82" s="60" t="s">
        <v>10</v>
      </c>
      <c r="I82" s="62" t="s">
        <v>10</v>
      </c>
      <c r="J82" s="61" t="s">
        <v>10</v>
      </c>
      <c r="K82" s="68" t="s">
        <v>10</v>
      </c>
      <c r="L82" s="63" t="s">
        <v>10</v>
      </c>
      <c r="M82" s="61" t="s">
        <v>10</v>
      </c>
      <c r="N82" s="68" t="s">
        <v>10</v>
      </c>
      <c r="O82" s="52" t="s">
        <v>176</v>
      </c>
      <c r="P82" s="61" t="s">
        <v>10</v>
      </c>
      <c r="Q82" s="61" t="s">
        <v>10</v>
      </c>
      <c r="R82" s="61" t="s">
        <v>10</v>
      </c>
      <c r="S82" s="61" t="s">
        <v>10</v>
      </c>
      <c r="T82" s="61" t="s">
        <v>10</v>
      </c>
      <c r="U82" s="61" t="s">
        <v>10</v>
      </c>
      <c r="V82" s="61" t="s">
        <v>10</v>
      </c>
      <c r="W82" s="61" t="s">
        <v>10</v>
      </c>
      <c r="X82" s="69" t="s">
        <v>10</v>
      </c>
      <c r="Y82" s="1" t="s">
        <v>10</v>
      </c>
    </row>
    <row r="83" spans="2:25" hidden="1" x14ac:dyDescent="0.2">
      <c r="B83" s="216">
        <v>6</v>
      </c>
      <c r="C83" s="217">
        <v>5</v>
      </c>
      <c r="D83" s="58" t="s">
        <v>10</v>
      </c>
      <c r="E83" s="61">
        <f>IF(B83=0,cell_HGL,IF(VLOOKUP(B83,table_HGL_JCTS,17,FALSE)&lt;X83,X83,VLOOKUP(B83,table_HGL_JCTS,17,FALSE)))</f>
        <v>418.39</v>
      </c>
      <c r="F83" s="61">
        <f>IF(B83=0,(E83+K83),IF(VLOOKUP(B83,table_HGL_JCTS,13,FALSE)="T-INTERSECTION",(E83+K83),(IF(VLOOKUP(B83,table_HGL_JCTS,17,FALSE)&lt;X83,(E83+K83),VLOOKUP(B83,table_HGL_JCTS,18,FALSE)))))</f>
        <v>418.43155328380732</v>
      </c>
      <c r="G83" s="62">
        <f>VLOOKUP(C83,table_CIA_JCTS,18)</f>
        <v>24</v>
      </c>
      <c r="H83" s="60">
        <f>VLOOKUP(C83,table_CIA_JCTS,17)</f>
        <v>5.1392115706040205</v>
      </c>
      <c r="I83" s="62">
        <f>VLOOKUP(C83,table_CIA_JCTS,21)</f>
        <v>519</v>
      </c>
      <c r="J83" s="61">
        <f>H83/((G83/12)^2*3.1416/4)</f>
        <v>1.6358580247657311</v>
      </c>
      <c r="K83" s="61">
        <f>(J83^2)/64.4</f>
        <v>4.1553283807304955E-2</v>
      </c>
      <c r="L83" s="63">
        <f>(H83/((1.486/cell_NP)*((3.1416*(G83/12)^2)/4)*(G83/48)^(2/3)))^2</f>
        <v>5.160759621171332E-4</v>
      </c>
      <c r="M83" s="61">
        <f>L83*I83</f>
        <v>0.26784342433879216</v>
      </c>
      <c r="N83" s="68" t="s">
        <v>10</v>
      </c>
      <c r="O83" s="72" t="s">
        <v>130</v>
      </c>
      <c r="P83" s="61">
        <f>IF(ISBLANK(O83)=FALSE,(VLOOKUP(O83,table_MINOR,2,FALSE))*(K83)," ")</f>
        <v>1.2465985142191487E-2</v>
      </c>
      <c r="Q83" s="61">
        <f>SUM(P83:P85)</f>
        <v>2.2854306094017725E-2</v>
      </c>
      <c r="R83" s="61">
        <f>Q83+M83</f>
        <v>0.29069773043280989</v>
      </c>
      <c r="S83" s="61">
        <f>IF(O83="T-INTERSECTION",T83,(T83-K83))</f>
        <v>418.68069773043277</v>
      </c>
      <c r="T83" s="61">
        <f>IF(O83="T-INTERSECTION",(R83+F83-K83),(R83+F83))</f>
        <v>418.7222510142401</v>
      </c>
      <c r="U83" s="61">
        <f>VLOOKUP(C83,table_CIA_JCTS,26)</f>
        <v>424.09</v>
      </c>
      <c r="V83" s="61">
        <f>U83-0.5-S83</f>
        <v>4.9093022695672062</v>
      </c>
      <c r="W83" s="61" t="s">
        <v>10</v>
      </c>
      <c r="X83" s="69">
        <f>IF(B83&gt;0,VLOOKUP(B83,table_CIA_JCTS,28)," ")</f>
        <v>418.39</v>
      </c>
      <c r="Y83" s="1">
        <v>4.9093022695672062</v>
      </c>
    </row>
    <row r="84" spans="2:25" hidden="1" x14ac:dyDescent="0.2">
      <c r="B84" s="216" t="s">
        <v>10</v>
      </c>
      <c r="C84" s="217" t="s">
        <v>10</v>
      </c>
      <c r="D84" s="62" t="s">
        <v>10</v>
      </c>
      <c r="E84" s="61" t="s">
        <v>10</v>
      </c>
      <c r="F84" s="61" t="s">
        <v>10</v>
      </c>
      <c r="G84" s="62" t="s">
        <v>10</v>
      </c>
      <c r="H84" s="60" t="s">
        <v>10</v>
      </c>
      <c r="I84" s="62" t="s">
        <v>10</v>
      </c>
      <c r="J84" s="61" t="s">
        <v>10</v>
      </c>
      <c r="K84" s="68">
        <f>K83</f>
        <v>4.1553283807304955E-2</v>
      </c>
      <c r="L84" s="63" t="s">
        <v>10</v>
      </c>
      <c r="M84" s="61" t="s">
        <v>10</v>
      </c>
      <c r="N84" s="68" t="s">
        <v>10</v>
      </c>
      <c r="O84" s="52" t="s">
        <v>131</v>
      </c>
      <c r="P84" s="61">
        <f>IF(ISBLANK(O84)=FALSE,(VLOOKUP(O84,table_MINOR,2,FALSE))*(K84)," ")</f>
        <v>1.0388320951826239E-2</v>
      </c>
      <c r="Q84" s="61" t="s">
        <v>10</v>
      </c>
      <c r="R84" s="61" t="s">
        <v>10</v>
      </c>
      <c r="S84" s="61" t="s">
        <v>10</v>
      </c>
      <c r="T84" s="61" t="s">
        <v>10</v>
      </c>
      <c r="U84" s="61" t="s">
        <v>10</v>
      </c>
      <c r="V84" s="61" t="s">
        <v>10</v>
      </c>
      <c r="W84" s="61" t="s">
        <v>10</v>
      </c>
      <c r="X84" s="69" t="s">
        <v>10</v>
      </c>
      <c r="Y84" s="1" t="s">
        <v>10</v>
      </c>
    </row>
    <row r="85" spans="2:25" hidden="1" x14ac:dyDescent="0.2">
      <c r="B85" s="216" t="s">
        <v>10</v>
      </c>
      <c r="C85" s="217" t="s">
        <v>10</v>
      </c>
      <c r="D85" s="62" t="s">
        <v>10</v>
      </c>
      <c r="E85" s="61" t="s">
        <v>10</v>
      </c>
      <c r="F85" s="61" t="s">
        <v>10</v>
      </c>
      <c r="G85" s="62" t="s">
        <v>10</v>
      </c>
      <c r="H85" s="60" t="s">
        <v>10</v>
      </c>
      <c r="I85" s="62" t="s">
        <v>10</v>
      </c>
      <c r="J85" s="61" t="s">
        <v>10</v>
      </c>
      <c r="K85" s="68">
        <f>K84</f>
        <v>4.1553283807304955E-2</v>
      </c>
      <c r="L85" s="63" t="s">
        <v>10</v>
      </c>
      <c r="M85" s="61" t="s">
        <v>10</v>
      </c>
      <c r="N85" s="68" t="s">
        <v>10</v>
      </c>
      <c r="O85" s="52" t="s">
        <v>10</v>
      </c>
      <c r="P85" s="257" t="s">
        <v>10</v>
      </c>
      <c r="Q85" s="61" t="s">
        <v>10</v>
      </c>
      <c r="R85" s="61" t="s">
        <v>10</v>
      </c>
      <c r="S85" s="61" t="s">
        <v>10</v>
      </c>
      <c r="T85" s="61" t="s">
        <v>10</v>
      </c>
      <c r="U85" s="61" t="s">
        <v>10</v>
      </c>
      <c r="V85" s="61" t="s">
        <v>10</v>
      </c>
      <c r="W85" s="61" t="s">
        <v>10</v>
      </c>
      <c r="X85" s="69" t="s">
        <v>10</v>
      </c>
      <c r="Y85" s="1" t="s">
        <v>10</v>
      </c>
    </row>
    <row r="86" spans="2:25" hidden="1" x14ac:dyDescent="0.2">
      <c r="B86" s="216">
        <v>5</v>
      </c>
      <c r="C86" s="217">
        <v>4</v>
      </c>
      <c r="D86" s="58" t="s">
        <v>10</v>
      </c>
      <c r="E86" s="61">
        <f>IF(B86=0,cell_HGL,IF(VLOOKUP(B86,table_HGL_JCTS,17,FALSE)&lt;X86,X86,VLOOKUP(B86,table_HGL_JCTS,17,FALSE)))</f>
        <v>419.27</v>
      </c>
      <c r="F86" s="61">
        <f>IF(B86=0,(E86+K86),IF(VLOOKUP(B86,table_HGL_JCTS,13,FALSE)="T-INTERSECTION",(E86+K86),(IF(VLOOKUP(B86,table_HGL_JCTS,17,FALSE)&lt;X86,(E86+K86),VLOOKUP(B86,table_HGL_JCTS,18,FALSE)))))</f>
        <v>419.30115198845277</v>
      </c>
      <c r="G86" s="62">
        <f>VLOOKUP(C86,table_CIA_JCTS,18)</f>
        <v>18</v>
      </c>
      <c r="H86" s="60">
        <f>VLOOKUP(C86,table_CIA_JCTS,17)</f>
        <v>2.5029906962932422</v>
      </c>
      <c r="I86" s="62">
        <f>VLOOKUP(C86,table_CIA_JCTS,21)</f>
        <v>214</v>
      </c>
      <c r="J86" s="61">
        <f>H86/((G86/12)^2*3.1416/4)</f>
        <v>1.4163996810079746</v>
      </c>
      <c r="K86" s="61">
        <f>(J86^2)/64.4</f>
        <v>3.1151988452787147E-2</v>
      </c>
      <c r="L86" s="63">
        <f>(H86/((1.486/cell_NP)*((3.1416*(G86/12)^2)/4)*(G86/48)^(2/3)))^2</f>
        <v>5.6777862144172079E-4</v>
      </c>
      <c r="M86" s="61">
        <f>L86*I86</f>
        <v>0.12150462498852825</v>
      </c>
      <c r="N86" s="68" t="s">
        <v>10</v>
      </c>
      <c r="O86" s="72" t="s">
        <v>129</v>
      </c>
      <c r="P86" s="61">
        <f>IF(ISBLANK(O86)=FALSE,(VLOOKUP(O86,table_MINOR,2,FALSE))*(K86)," ")</f>
        <v>1.5575994226393573E-2</v>
      </c>
      <c r="Q86" s="61">
        <f>SUM(P86:P89)</f>
        <v>3.8939985565983937E-2</v>
      </c>
      <c r="R86" s="61">
        <f>Q86+M86</f>
        <v>0.1604446105545122</v>
      </c>
      <c r="S86" s="61">
        <f>IF(O86="T-INTERSECTION",T86,(T86-K86))</f>
        <v>419.4304446105545</v>
      </c>
      <c r="T86" s="61">
        <f>IF(O86="T-INTERSECTION",(R86+F86-K86),(R86+F86))</f>
        <v>419.46159659900729</v>
      </c>
      <c r="U86" s="61">
        <f>VLOOKUP(C86,table_CIA_JCTS,26)</f>
        <v>423.33</v>
      </c>
      <c r="V86" s="61">
        <f>U86-0.5-S86</f>
        <v>3.3995553894454815</v>
      </c>
      <c r="W86" s="61" t="s">
        <v>10</v>
      </c>
      <c r="X86" s="69">
        <f>IF(B86&gt;0,VLOOKUP(B86,table_CIA_JCTS,28)," ")</f>
        <v>419.27</v>
      </c>
      <c r="Y86" s="1">
        <v>3.3995553894454815</v>
      </c>
    </row>
    <row r="87" spans="2:25" hidden="1" x14ac:dyDescent="0.2">
      <c r="B87" s="216" t="s">
        <v>10</v>
      </c>
      <c r="C87" s="217" t="s">
        <v>10</v>
      </c>
      <c r="D87" s="62" t="s">
        <v>10</v>
      </c>
      <c r="E87" s="61" t="s">
        <v>10</v>
      </c>
      <c r="F87" s="61" t="s">
        <v>10</v>
      </c>
      <c r="G87" s="62" t="s">
        <v>10</v>
      </c>
      <c r="H87" s="60" t="s">
        <v>10</v>
      </c>
      <c r="I87" s="62" t="s">
        <v>10</v>
      </c>
      <c r="J87" s="61" t="s">
        <v>10</v>
      </c>
      <c r="K87" s="68">
        <f>K86</f>
        <v>3.1151988452787147E-2</v>
      </c>
      <c r="L87" s="63" t="s">
        <v>10</v>
      </c>
      <c r="M87" s="61" t="s">
        <v>10</v>
      </c>
      <c r="N87" s="68" t="s">
        <v>10</v>
      </c>
      <c r="O87" s="52" t="s">
        <v>131</v>
      </c>
      <c r="P87" s="61">
        <f>IF(ISBLANK(O87)=FALSE,(VLOOKUP(O87,table_MINOR,2,FALSE))*(K87)," ")</f>
        <v>7.7879971131967866E-3</v>
      </c>
      <c r="Q87" s="61" t="s">
        <v>10</v>
      </c>
      <c r="R87" s="61" t="s">
        <v>10</v>
      </c>
      <c r="S87" s="61" t="s">
        <v>10</v>
      </c>
      <c r="T87" s="61" t="s">
        <v>10</v>
      </c>
      <c r="U87" s="61" t="s">
        <v>10</v>
      </c>
      <c r="V87" s="61" t="s">
        <v>10</v>
      </c>
      <c r="W87" s="61" t="s">
        <v>10</v>
      </c>
      <c r="X87" s="69" t="s">
        <v>10</v>
      </c>
      <c r="Y87" s="1" t="s">
        <v>10</v>
      </c>
    </row>
    <row r="88" spans="2:25" hidden="1" x14ac:dyDescent="0.2">
      <c r="B88" s="216" t="s">
        <v>10</v>
      </c>
      <c r="C88" s="217" t="s">
        <v>10</v>
      </c>
      <c r="D88" s="62" t="s">
        <v>10</v>
      </c>
      <c r="E88" s="61" t="s">
        <v>10</v>
      </c>
      <c r="F88" s="61" t="s">
        <v>10</v>
      </c>
      <c r="G88" s="62" t="s">
        <v>10</v>
      </c>
      <c r="H88" s="60" t="s">
        <v>10</v>
      </c>
      <c r="I88" s="62" t="s">
        <v>10</v>
      </c>
      <c r="J88" s="61" t="s">
        <v>10</v>
      </c>
      <c r="K88" s="68">
        <f>K87</f>
        <v>3.1151988452787147E-2</v>
      </c>
      <c r="L88" s="63" t="s">
        <v>10</v>
      </c>
      <c r="M88" s="61" t="s">
        <v>10</v>
      </c>
      <c r="N88" s="68" t="s">
        <v>10</v>
      </c>
      <c r="O88" s="52" t="s">
        <v>129</v>
      </c>
      <c r="P88" s="61">
        <f>IF(ISBLANK(O88)=FALSE,(VLOOKUP(O88,table_MINOR,2,FALSE))*(K88)," ")</f>
        <v>1.5575994226393573E-2</v>
      </c>
      <c r="Q88" s="61" t="s">
        <v>10</v>
      </c>
      <c r="R88" s="61" t="s">
        <v>10</v>
      </c>
      <c r="S88" s="61" t="s">
        <v>10</v>
      </c>
      <c r="T88" s="61" t="s">
        <v>10</v>
      </c>
      <c r="U88" s="61" t="s">
        <v>10</v>
      </c>
      <c r="V88" s="61" t="s">
        <v>10</v>
      </c>
      <c r="W88" s="61" t="s">
        <v>10</v>
      </c>
      <c r="X88" s="69" t="s">
        <v>10</v>
      </c>
      <c r="Y88" s="1" t="s">
        <v>10</v>
      </c>
    </row>
    <row r="89" spans="2:25" hidden="1" x14ac:dyDescent="0.2">
      <c r="B89" s="216" t="s">
        <v>10</v>
      </c>
      <c r="C89" s="217" t="s">
        <v>10</v>
      </c>
      <c r="D89" s="62" t="s">
        <v>10</v>
      </c>
      <c r="E89" s="61" t="s">
        <v>10</v>
      </c>
      <c r="F89" s="61" t="s">
        <v>10</v>
      </c>
      <c r="G89" s="62" t="s">
        <v>10</v>
      </c>
      <c r="H89" s="60" t="s">
        <v>10</v>
      </c>
      <c r="I89" s="62" t="s">
        <v>10</v>
      </c>
      <c r="J89" s="61" t="s">
        <v>10</v>
      </c>
      <c r="K89" s="68">
        <f>K88</f>
        <v>3.1151988452787147E-2</v>
      </c>
      <c r="L89" s="63" t="s">
        <v>10</v>
      </c>
      <c r="M89" s="61" t="s">
        <v>10</v>
      </c>
      <c r="N89" s="68" t="s">
        <v>10</v>
      </c>
      <c r="O89" s="52" t="s">
        <v>10</v>
      </c>
      <c r="P89" s="257" t="s">
        <v>10</v>
      </c>
      <c r="Q89" s="61" t="s">
        <v>10</v>
      </c>
      <c r="R89" s="61" t="s">
        <v>10</v>
      </c>
      <c r="S89" s="61" t="s">
        <v>10</v>
      </c>
      <c r="T89" s="61" t="s">
        <v>10</v>
      </c>
      <c r="U89" s="61" t="s">
        <v>10</v>
      </c>
      <c r="V89" s="61" t="s">
        <v>10</v>
      </c>
      <c r="W89" s="61" t="s">
        <v>10</v>
      </c>
      <c r="X89" s="69" t="s">
        <v>10</v>
      </c>
      <c r="Y89" s="1" t="s">
        <v>10</v>
      </c>
    </row>
    <row r="90" spans="2:25" hidden="1" x14ac:dyDescent="0.2">
      <c r="B90" s="216" t="s">
        <v>10</v>
      </c>
      <c r="C90" s="217" t="s">
        <v>10</v>
      </c>
      <c r="D90" s="62" t="s">
        <v>10</v>
      </c>
      <c r="E90" s="61" t="s">
        <v>10</v>
      </c>
      <c r="F90" s="61" t="s">
        <v>10</v>
      </c>
      <c r="G90" s="62" t="s">
        <v>10</v>
      </c>
      <c r="H90" s="60" t="s">
        <v>10</v>
      </c>
      <c r="I90" s="62" t="s">
        <v>10</v>
      </c>
      <c r="J90" s="61" t="s">
        <v>10</v>
      </c>
      <c r="K90" s="68" t="s">
        <v>10</v>
      </c>
      <c r="L90" s="63" t="s">
        <v>10</v>
      </c>
      <c r="M90" s="61" t="s">
        <v>10</v>
      </c>
      <c r="N90" s="68" t="s">
        <v>10</v>
      </c>
      <c r="O90" s="52" t="s">
        <v>176</v>
      </c>
      <c r="P90" s="61" t="s">
        <v>10</v>
      </c>
      <c r="Q90" s="61" t="s">
        <v>10</v>
      </c>
      <c r="R90" s="61" t="s">
        <v>10</v>
      </c>
      <c r="S90" s="61" t="s">
        <v>10</v>
      </c>
      <c r="T90" s="61" t="s">
        <v>10</v>
      </c>
      <c r="U90" s="61" t="s">
        <v>10</v>
      </c>
      <c r="V90" s="61" t="s">
        <v>10</v>
      </c>
      <c r="W90" s="61" t="s">
        <v>10</v>
      </c>
      <c r="X90" s="69" t="s">
        <v>10</v>
      </c>
      <c r="Y90" s="1" t="s">
        <v>10</v>
      </c>
    </row>
    <row r="91" spans="2:25" hidden="1" x14ac:dyDescent="0.2">
      <c r="B91" s="216">
        <v>7.1</v>
      </c>
      <c r="C91" s="217">
        <v>7</v>
      </c>
      <c r="D91" s="58" t="s">
        <v>10</v>
      </c>
      <c r="E91" s="61">
        <f>IF(B91=0,cell_HGL,IF(VLOOKUP(B91,table_HGL_JCTS,17,FALSE)&lt;X91,X91,VLOOKUP(B91,table_HGL_JCTS,17,FALSE)))</f>
        <v>415.67044094353929</v>
      </c>
      <c r="F91" s="61">
        <f>IF(B91=0,(E91+K91),IF(VLOOKUP(B91,table_HGL_JCTS,13,FALSE)="T-INTERSECTION",(E91+K91),(IF(VLOOKUP(B91,table_HGL_JCTS,17,FALSE)&lt;X91,(E91+K91),VLOOKUP(B91,table_HGL_JCTS,18,FALSE)))))</f>
        <v>415.85273269476164</v>
      </c>
      <c r="G91" s="62">
        <f>VLOOKUP(C91,table_CIA_JCTS,18)</f>
        <v>18</v>
      </c>
      <c r="H91" s="60">
        <f>VLOOKUP(C91,table_CIA_JCTS,17)</f>
        <v>1.1653070302667903</v>
      </c>
      <c r="I91" s="62">
        <f>VLOOKUP(C91,table_CIA_JCTS,21)</f>
        <v>300</v>
      </c>
      <c r="J91" s="61">
        <f>H91/((G91/12)^2*3.1416/4)</f>
        <v>0.65942734361360966</v>
      </c>
      <c r="K91" s="61">
        <f>(J91^2)/64.4</f>
        <v>6.7522425699580993E-3</v>
      </c>
      <c r="L91" s="63">
        <f>(H91/((1.486/cell_NP)*((3.1416*(G91/12)^2)/4)*(G91/48)^(2/3)))^2</f>
        <v>1.2306691060255277E-4</v>
      </c>
      <c r="M91" s="61">
        <f>L91*I91</f>
        <v>3.6920073180765831E-2</v>
      </c>
      <c r="N91" s="68" t="s">
        <v>10</v>
      </c>
      <c r="O91" s="72" t="s">
        <v>129</v>
      </c>
      <c r="P91" s="61">
        <f>IF(ISBLANK(O91)=FALSE,(VLOOKUP(O91,table_MINOR,2,FALSE))*(K91)," ")</f>
        <v>3.3761212849790496E-3</v>
      </c>
      <c r="Q91" s="61">
        <f>SUM(P91:P92)</f>
        <v>3.3761212849790496E-3</v>
      </c>
      <c r="R91" s="61">
        <f>Q91+M91</f>
        <v>4.0296194465744881E-2</v>
      </c>
      <c r="S91" s="61">
        <f>IF(O91="T-INTERSECTION",T91,(T91-K91))</f>
        <v>415.88627664665739</v>
      </c>
      <c r="T91" s="61">
        <f>IF(O91="T-INTERSECTION",(R91+F91-K91),(R91+F91))</f>
        <v>415.89302888922737</v>
      </c>
      <c r="U91" s="61">
        <f>VLOOKUP(C91,table_CIA_JCTS,26)</f>
        <v>421.85</v>
      </c>
      <c r="V91" s="61">
        <f>U91-0.5-S91</f>
        <v>5.4637233533426297</v>
      </c>
      <c r="W91" s="61" t="s">
        <v>10</v>
      </c>
      <c r="X91" s="69">
        <f>IF(B91&gt;0,VLOOKUP(B91,table_CIA_JCTS,28)," ")</f>
        <v>415.6</v>
      </c>
      <c r="Y91" s="1">
        <v>5.4637233533426297</v>
      </c>
    </row>
    <row r="92" spans="2:25" hidden="1" x14ac:dyDescent="0.2">
      <c r="B92" s="216" t="s">
        <v>10</v>
      </c>
      <c r="C92" s="217" t="s">
        <v>10</v>
      </c>
      <c r="D92" s="62" t="s">
        <v>10</v>
      </c>
      <c r="E92" s="61" t="s">
        <v>10</v>
      </c>
      <c r="F92" s="61" t="s">
        <v>10</v>
      </c>
      <c r="G92" s="62" t="s">
        <v>10</v>
      </c>
      <c r="H92" s="60" t="s">
        <v>10</v>
      </c>
      <c r="I92" s="62" t="s">
        <v>10</v>
      </c>
      <c r="J92" s="61" t="s">
        <v>10</v>
      </c>
      <c r="K92" s="68">
        <f>K91</f>
        <v>6.7522425699580993E-3</v>
      </c>
      <c r="L92" s="63" t="s">
        <v>10</v>
      </c>
      <c r="M92" s="61" t="s">
        <v>10</v>
      </c>
      <c r="N92" s="68" t="s">
        <v>10</v>
      </c>
      <c r="O92" s="52" t="s">
        <v>10</v>
      </c>
      <c r="P92" s="257" t="s">
        <v>10</v>
      </c>
      <c r="Q92" s="61" t="s">
        <v>10</v>
      </c>
      <c r="R92" s="61" t="s">
        <v>10</v>
      </c>
      <c r="S92" s="61" t="s">
        <v>10</v>
      </c>
      <c r="T92" s="61" t="s">
        <v>10</v>
      </c>
      <c r="U92" s="61" t="s">
        <v>10</v>
      </c>
      <c r="V92" s="61" t="s">
        <v>10</v>
      </c>
      <c r="W92" s="61" t="s">
        <v>10</v>
      </c>
      <c r="X92" s="69" t="s">
        <v>10</v>
      </c>
      <c r="Y92" s="1" t="s">
        <v>10</v>
      </c>
    </row>
    <row r="93" spans="2:25" hidden="1" x14ac:dyDescent="0.2">
      <c r="B93" s="216" t="s">
        <v>10</v>
      </c>
      <c r="C93" s="217" t="s">
        <v>10</v>
      </c>
      <c r="D93" s="62" t="s">
        <v>10</v>
      </c>
      <c r="E93" s="61" t="s">
        <v>10</v>
      </c>
      <c r="F93" s="61" t="s">
        <v>10</v>
      </c>
      <c r="G93" s="62" t="s">
        <v>10</v>
      </c>
      <c r="H93" s="60" t="s">
        <v>10</v>
      </c>
      <c r="I93" s="62" t="s">
        <v>10</v>
      </c>
      <c r="J93" s="61" t="s">
        <v>10</v>
      </c>
      <c r="K93" s="68" t="s">
        <v>10</v>
      </c>
      <c r="L93" s="63" t="s">
        <v>10</v>
      </c>
      <c r="M93" s="61" t="s">
        <v>10</v>
      </c>
      <c r="N93" s="68" t="s">
        <v>10</v>
      </c>
      <c r="O93" s="52" t="s">
        <v>176</v>
      </c>
      <c r="P93" s="61" t="s">
        <v>10</v>
      </c>
      <c r="Q93" s="61" t="s">
        <v>10</v>
      </c>
      <c r="R93" s="61" t="s">
        <v>10</v>
      </c>
      <c r="S93" s="61" t="s">
        <v>10</v>
      </c>
      <c r="T93" s="61" t="s">
        <v>10</v>
      </c>
      <c r="U93" s="61" t="s">
        <v>10</v>
      </c>
      <c r="V93" s="61" t="s">
        <v>10</v>
      </c>
      <c r="W93" s="61" t="s">
        <v>10</v>
      </c>
      <c r="X93" s="69" t="s">
        <v>10</v>
      </c>
      <c r="Y93" s="1" t="s">
        <v>10</v>
      </c>
    </row>
    <row r="94" spans="2:25" hidden="1" x14ac:dyDescent="0.2">
      <c r="B94" s="216">
        <v>9</v>
      </c>
      <c r="C94" s="217">
        <v>8</v>
      </c>
      <c r="D94" s="58" t="s">
        <v>10</v>
      </c>
      <c r="E94" s="61">
        <f>IF(B94=0,cell_HGL,IF(VLOOKUP(B94,table_HGL_JCTS,17,FALSE)&lt;X94,X94,VLOOKUP(B94,table_HGL_JCTS,17,FALSE)))</f>
        <v>415.62</v>
      </c>
      <c r="F94" s="61">
        <f>IF(B94=0,(E94+K94),IF(VLOOKUP(B94,table_HGL_JCTS,13,FALSE)="T-INTERSECTION",(E94+K94),(IF(VLOOKUP(B94,table_HGL_JCTS,17,FALSE)&lt;X94,(E94+K94),VLOOKUP(B94,table_HGL_JCTS,18,FALSE)))))</f>
        <v>415.62845078404666</v>
      </c>
      <c r="G94" s="62">
        <f>VLOOKUP(C94,table_CIA_JCTS,18)</f>
        <v>18</v>
      </c>
      <c r="H94" s="60">
        <f>VLOOKUP(C94,table_CIA_JCTS,17)</f>
        <v>1.3036615317438387</v>
      </c>
      <c r="I94" s="62">
        <f>VLOOKUP(C94,table_CIA_JCTS,21)</f>
        <v>291</v>
      </c>
      <c r="J94" s="61">
        <f>H94/((G94/12)^2*3.1416/4)</f>
        <v>0.73771979274189436</v>
      </c>
      <c r="K94" s="61">
        <f>(J94^2)/64.4</f>
        <v>8.4507840466326641E-3</v>
      </c>
      <c r="L94" s="63">
        <f>(H94/((1.486/cell_NP)*((3.1416*(G94/12)^2)/4)*(G94/48)^(2/3)))^2</f>
        <v>1.5402466277139021E-4</v>
      </c>
      <c r="M94" s="61">
        <f>L94*I94</f>
        <v>4.4821176866474549E-2</v>
      </c>
      <c r="N94" s="68" t="s">
        <v>10</v>
      </c>
      <c r="O94" s="52" t="s">
        <v>10</v>
      </c>
      <c r="P94" s="257" t="s">
        <v>10</v>
      </c>
      <c r="Q94" s="61">
        <f>SUM(P94)</f>
        <v>0</v>
      </c>
      <c r="R94" s="61">
        <f>Q94+M94</f>
        <v>4.4821176866474549E-2</v>
      </c>
      <c r="S94" s="61">
        <f>IF(O94="T-INTERSECTION",T94,(T94-K94))</f>
        <v>415.6648211768665</v>
      </c>
      <c r="T94" s="61">
        <f>IF(O94="T-INTERSECTION",(R94+F94-K94),(R94+F94))</f>
        <v>415.67327196091315</v>
      </c>
      <c r="U94" s="61">
        <f>VLOOKUP(C94,table_CIA_JCTS,26)</f>
        <v>422</v>
      </c>
      <c r="V94" s="61">
        <f>U94-0.5-S94</f>
        <v>5.8351788231335036</v>
      </c>
      <c r="W94" s="61" t="s">
        <v>10</v>
      </c>
      <c r="X94" s="69">
        <f>IF(B94&gt;0,VLOOKUP(B94,table_CIA_JCTS,28)," ")</f>
        <v>415.62</v>
      </c>
      <c r="Y94" s="1">
        <v>5.8351788231335036</v>
      </c>
    </row>
    <row r="95" spans="2:25" hidden="1" x14ac:dyDescent="0.2">
      <c r="B95" s="216" t="s">
        <v>10</v>
      </c>
      <c r="C95" s="217" t="s">
        <v>10</v>
      </c>
      <c r="D95" s="62" t="s">
        <v>10</v>
      </c>
      <c r="E95" s="61" t="s">
        <v>10</v>
      </c>
      <c r="F95" s="61" t="s">
        <v>10</v>
      </c>
      <c r="G95" s="62" t="s">
        <v>10</v>
      </c>
      <c r="H95" s="60" t="s">
        <v>10</v>
      </c>
      <c r="I95" s="62" t="s">
        <v>10</v>
      </c>
      <c r="J95" s="61" t="s">
        <v>10</v>
      </c>
      <c r="K95" s="68" t="s">
        <v>10</v>
      </c>
      <c r="L95" s="63" t="s">
        <v>10</v>
      </c>
      <c r="M95" s="61" t="s">
        <v>10</v>
      </c>
      <c r="N95" s="68" t="s">
        <v>10</v>
      </c>
      <c r="O95" s="52" t="s">
        <v>176</v>
      </c>
      <c r="P95" s="61" t="s">
        <v>10</v>
      </c>
      <c r="Q95" s="61" t="s">
        <v>10</v>
      </c>
      <c r="R95" s="61" t="s">
        <v>10</v>
      </c>
      <c r="S95" s="61" t="s">
        <v>10</v>
      </c>
      <c r="T95" s="61" t="s">
        <v>10</v>
      </c>
      <c r="U95" s="61" t="s">
        <v>10</v>
      </c>
      <c r="V95" s="61" t="s">
        <v>10</v>
      </c>
      <c r="W95" s="61" t="s">
        <v>10</v>
      </c>
      <c r="X95" s="69" t="s">
        <v>10</v>
      </c>
      <c r="Y95" s="1" t="s">
        <v>10</v>
      </c>
    </row>
    <row r="96" spans="2:25" hidden="1" x14ac:dyDescent="0.2">
      <c r="B96" s="216" t="s">
        <v>10</v>
      </c>
      <c r="C96" s="217" t="s">
        <v>10</v>
      </c>
      <c r="D96" s="62" t="s">
        <v>10</v>
      </c>
      <c r="E96" s="61" t="s">
        <v>10</v>
      </c>
      <c r="F96" s="61" t="s">
        <v>10</v>
      </c>
      <c r="G96" s="62" t="s">
        <v>10</v>
      </c>
      <c r="H96" s="60" t="s">
        <v>10</v>
      </c>
      <c r="I96" s="62" t="s">
        <v>10</v>
      </c>
      <c r="J96" s="61" t="s">
        <v>10</v>
      </c>
      <c r="K96" s="68" t="s">
        <v>10</v>
      </c>
      <c r="L96" s="63" t="s">
        <v>10</v>
      </c>
      <c r="M96" s="61" t="s">
        <v>10</v>
      </c>
      <c r="N96" s="68" t="s">
        <v>10</v>
      </c>
      <c r="O96" s="52" t="s">
        <v>176</v>
      </c>
      <c r="P96" s="61" t="s">
        <v>10</v>
      </c>
      <c r="Q96" s="61" t="s">
        <v>10</v>
      </c>
      <c r="R96" s="61" t="s">
        <v>10</v>
      </c>
      <c r="S96" s="61" t="s">
        <v>10</v>
      </c>
      <c r="T96" s="61" t="s">
        <v>10</v>
      </c>
      <c r="U96" s="61" t="s">
        <v>10</v>
      </c>
      <c r="V96" s="61" t="s">
        <v>10</v>
      </c>
      <c r="W96" s="61" t="s">
        <v>10</v>
      </c>
      <c r="X96" s="69" t="s">
        <v>10</v>
      </c>
      <c r="Y96" s="1" t="s">
        <v>10</v>
      </c>
    </row>
    <row r="97" spans="2:25" hidden="1" x14ac:dyDescent="0.2">
      <c r="B97" s="216">
        <v>15</v>
      </c>
      <c r="C97" s="217">
        <v>13</v>
      </c>
      <c r="D97" s="58" t="s">
        <v>10</v>
      </c>
      <c r="E97" s="61">
        <f>IF(B97=0,cell_HGL,IF(VLOOKUP(B97,table_HGL_JCTS,17,FALSE)&lt;X97,X97,VLOOKUP(B97,table_HGL_JCTS,17,FALSE)))</f>
        <v>411.83</v>
      </c>
      <c r="F97" s="61">
        <f>IF(B97=0,(E97+K97),IF(VLOOKUP(B97,table_HGL_JCTS,13,FALSE)="T-INTERSECTION",(E97+K97),(IF(VLOOKUP(B97,table_HGL_JCTS,17,FALSE)&lt;X97,(E97+K97),VLOOKUP(B97,table_HGL_JCTS,18,FALSE)))))</f>
        <v>411.8369591908276</v>
      </c>
      <c r="G97" s="62">
        <f>VLOOKUP(C97,table_CIA_JCTS,18)</f>
        <v>18</v>
      </c>
      <c r="H97" s="60">
        <f>VLOOKUP(C97,table_CIA_JCTS,17)</f>
        <v>1.1830299007494003</v>
      </c>
      <c r="I97" s="62">
        <f>VLOOKUP(C97,table_CIA_JCTS,21)</f>
        <v>264</v>
      </c>
      <c r="J97" s="61">
        <f>H97/((G97/12)^2*3.1416/4)</f>
        <v>0.66945641329225036</v>
      </c>
      <c r="K97" s="61">
        <f>(J97^2)/64.4</f>
        <v>6.9591908276106255E-3</v>
      </c>
      <c r="L97" s="63">
        <f>(H97/((1.486/cell_NP)*((3.1416*(G97/12)^2)/4)*(G97/48)^(2/3)))^2</f>
        <v>1.2683876602095722E-4</v>
      </c>
      <c r="M97" s="61">
        <f>L97*I97</f>
        <v>3.3485434229532707E-2</v>
      </c>
      <c r="N97" s="68" t="s">
        <v>10</v>
      </c>
      <c r="O97" s="72" t="s">
        <v>152</v>
      </c>
      <c r="P97" s="61">
        <f>IF(ISBLANK(O97)=FALSE,(VLOOKUP(O97,table_MINOR,2,FALSE))*(K97)," ")</f>
        <v>4.1755144965663748E-3</v>
      </c>
      <c r="Q97" s="61">
        <f>SUM(P97:P98)</f>
        <v>4.1755144965663748E-3</v>
      </c>
      <c r="R97" s="61">
        <f>Q97+M97</f>
        <v>3.7660948726099083E-2</v>
      </c>
      <c r="S97" s="61">
        <f>IF(O97="T-INTERSECTION",T97,(T97-K97))</f>
        <v>411.8676609487261</v>
      </c>
      <c r="T97" s="61">
        <f>IF(O97="T-INTERSECTION",(R97+F97-K97),(R97+F97))</f>
        <v>411.87462013955371</v>
      </c>
      <c r="U97" s="61">
        <f>VLOOKUP(C97,table_CIA_JCTS,26)</f>
        <v>418.37</v>
      </c>
      <c r="V97" s="61">
        <f>U97-0.5-S97</f>
        <v>6.002339051273907</v>
      </c>
      <c r="W97" s="61" t="s">
        <v>10</v>
      </c>
      <c r="X97" s="69">
        <f>IF(B97&gt;0,VLOOKUP(B97,table_CIA_JCTS,28)," ")</f>
        <v>411.83</v>
      </c>
      <c r="Y97" s="1">
        <v>6.002339051273907</v>
      </c>
    </row>
    <row r="98" spans="2:25" hidden="1" x14ac:dyDescent="0.2">
      <c r="B98" s="216" t="s">
        <v>10</v>
      </c>
      <c r="C98" s="217" t="s">
        <v>10</v>
      </c>
      <c r="D98" s="62" t="s">
        <v>10</v>
      </c>
      <c r="E98" s="61" t="s">
        <v>10</v>
      </c>
      <c r="F98" s="61" t="s">
        <v>10</v>
      </c>
      <c r="G98" s="62" t="s">
        <v>10</v>
      </c>
      <c r="H98" s="60" t="s">
        <v>10</v>
      </c>
      <c r="I98" s="62" t="s">
        <v>10</v>
      </c>
      <c r="J98" s="61" t="s">
        <v>10</v>
      </c>
      <c r="K98" s="68">
        <f>K97</f>
        <v>6.9591908276106255E-3</v>
      </c>
      <c r="L98" s="63" t="s">
        <v>10</v>
      </c>
      <c r="M98" s="61" t="s">
        <v>10</v>
      </c>
      <c r="N98" s="68" t="s">
        <v>10</v>
      </c>
      <c r="O98" s="52" t="s">
        <v>10</v>
      </c>
      <c r="P98" s="257" t="s">
        <v>10</v>
      </c>
      <c r="Q98" s="61" t="s">
        <v>10</v>
      </c>
      <c r="R98" s="61" t="s">
        <v>10</v>
      </c>
      <c r="S98" s="61" t="s">
        <v>10</v>
      </c>
      <c r="T98" s="61" t="s">
        <v>10</v>
      </c>
      <c r="U98" s="61" t="s">
        <v>10</v>
      </c>
      <c r="V98" s="61" t="s">
        <v>10</v>
      </c>
      <c r="W98" s="61" t="s">
        <v>10</v>
      </c>
      <c r="X98" s="69" t="s">
        <v>10</v>
      </c>
      <c r="Y98" s="1" t="s">
        <v>10</v>
      </c>
    </row>
    <row r="99" spans="2:25" hidden="1" x14ac:dyDescent="0.2">
      <c r="B99" s="216">
        <v>13</v>
      </c>
      <c r="C99" s="217">
        <v>12</v>
      </c>
      <c r="D99" s="58" t="s">
        <v>10</v>
      </c>
      <c r="E99" s="61">
        <f>IF(B99=0,cell_HGL,IF(VLOOKUP(B99,table_HGL_JCTS,17,FALSE)&lt;X99,X99,VLOOKUP(B99,table_HGL_JCTS,17,FALSE)))</f>
        <v>413.38</v>
      </c>
      <c r="F99" s="61">
        <f>IF(B99=0,(E99+K99),IF(VLOOKUP(B99,table_HGL_JCTS,13,FALSE)="T-INTERSECTION",(E99+K99),(IF(VLOOKUP(B99,table_HGL_JCTS,17,FALSE)&lt;X99,(E99+K99),VLOOKUP(B99,table_HGL_JCTS,18,FALSE)))))</f>
        <v>413.3832889301475</v>
      </c>
      <c r="G99" s="62">
        <f>VLOOKUP(C99,table_CIA_JCTS,18)</f>
        <v>18</v>
      </c>
      <c r="H99" s="60">
        <f>VLOOKUP(C99,table_CIA_JCTS,17)</f>
        <v>0.81328670642216183</v>
      </c>
      <c r="I99" s="62">
        <f>VLOOKUP(C99,table_CIA_JCTS,21)</f>
        <v>356</v>
      </c>
      <c r="J99" s="61">
        <f>H99/((G99/12)^2*3.1416/4)</f>
        <v>0.46022505527100804</v>
      </c>
      <c r="K99" s="61">
        <f>(J99^2)/64.4</f>
        <v>3.2889301475031428E-3</v>
      </c>
      <c r="L99" s="63">
        <f>(H99/((1.486/cell_NP)*((3.1416*(G99/12)^2)/4)*(G99/48)^(2/3)))^2</f>
        <v>5.9944302688657946E-5</v>
      </c>
      <c r="M99" s="61">
        <f>L99*I99</f>
        <v>2.134017175716223E-2</v>
      </c>
      <c r="N99" s="68" t="s">
        <v>10</v>
      </c>
      <c r="O99" s="52" t="s">
        <v>10</v>
      </c>
      <c r="P99" s="257" t="s">
        <v>10</v>
      </c>
      <c r="Q99" s="61">
        <f>SUM(P99)</f>
        <v>0</v>
      </c>
      <c r="R99" s="61">
        <f>Q99+M99</f>
        <v>2.134017175716223E-2</v>
      </c>
      <c r="S99" s="61">
        <f>IF(O99="T-INTERSECTION",T99,(T99-K99))</f>
        <v>413.40134017175717</v>
      </c>
      <c r="T99" s="61">
        <f>IF(O99="T-INTERSECTION",(R99+F99-K99),(R99+F99))</f>
        <v>413.40462910190467</v>
      </c>
      <c r="U99" s="61">
        <f>VLOOKUP(C99,table_CIA_JCTS,26)</f>
        <v>419.78</v>
      </c>
      <c r="V99" s="61">
        <f>U99-0.5-S99</f>
        <v>5.8786598282428031</v>
      </c>
      <c r="W99" s="61" t="s">
        <v>10</v>
      </c>
      <c r="X99" s="69">
        <f>IF(B99&gt;0,VLOOKUP(B99,table_CIA_JCTS,28)," ")</f>
        <v>413.38</v>
      </c>
      <c r="Y99" s="1">
        <v>5.8786598282428031</v>
      </c>
    </row>
    <row r="100" spans="2:25" hidden="1" x14ac:dyDescent="0.2">
      <c r="B100" s="216" t="s">
        <v>10</v>
      </c>
      <c r="C100" s="217" t="s">
        <v>10</v>
      </c>
      <c r="D100" s="62" t="s">
        <v>10</v>
      </c>
      <c r="E100" s="61" t="s">
        <v>10</v>
      </c>
      <c r="F100" s="61" t="s">
        <v>10</v>
      </c>
      <c r="G100" s="62" t="s">
        <v>10</v>
      </c>
      <c r="H100" s="60" t="s">
        <v>10</v>
      </c>
      <c r="I100" s="62" t="s">
        <v>10</v>
      </c>
      <c r="J100" s="61" t="s">
        <v>10</v>
      </c>
      <c r="K100" s="68" t="s">
        <v>10</v>
      </c>
      <c r="L100" s="63" t="s">
        <v>10</v>
      </c>
      <c r="M100" s="61" t="s">
        <v>10</v>
      </c>
      <c r="N100" s="68" t="s">
        <v>10</v>
      </c>
      <c r="O100" s="52" t="s">
        <v>176</v>
      </c>
      <c r="P100" s="61" t="s">
        <v>10</v>
      </c>
      <c r="Q100" s="61" t="s">
        <v>10</v>
      </c>
      <c r="R100" s="61" t="s">
        <v>10</v>
      </c>
      <c r="S100" s="61" t="s">
        <v>10</v>
      </c>
      <c r="T100" s="61" t="s">
        <v>10</v>
      </c>
      <c r="U100" s="61" t="s">
        <v>10</v>
      </c>
      <c r="V100" s="61" t="s">
        <v>10</v>
      </c>
      <c r="W100" s="61" t="s">
        <v>10</v>
      </c>
      <c r="X100" s="69" t="s">
        <v>10</v>
      </c>
      <c r="Y100" s="1" t="s">
        <v>10</v>
      </c>
    </row>
    <row r="101" spans="2:25" hidden="1" x14ac:dyDescent="0.2">
      <c r="B101" s="216" t="s">
        <v>10</v>
      </c>
      <c r="C101" s="217" t="s">
        <v>10</v>
      </c>
      <c r="D101" s="62" t="s">
        <v>10</v>
      </c>
      <c r="E101" s="61" t="s">
        <v>10</v>
      </c>
      <c r="F101" s="61" t="s">
        <v>10</v>
      </c>
      <c r="G101" s="62" t="s">
        <v>10</v>
      </c>
      <c r="H101" s="60" t="s">
        <v>10</v>
      </c>
      <c r="I101" s="62" t="s">
        <v>10</v>
      </c>
      <c r="J101" s="61" t="s">
        <v>10</v>
      </c>
      <c r="K101" s="68" t="s">
        <v>10</v>
      </c>
      <c r="L101" s="63" t="s">
        <v>10</v>
      </c>
      <c r="M101" s="61" t="s">
        <v>10</v>
      </c>
      <c r="N101" s="68" t="s">
        <v>10</v>
      </c>
      <c r="O101" s="52" t="s">
        <v>176</v>
      </c>
      <c r="P101" s="61" t="s">
        <v>10</v>
      </c>
      <c r="Q101" s="61" t="s">
        <v>10</v>
      </c>
      <c r="R101" s="61" t="s">
        <v>10</v>
      </c>
      <c r="S101" s="61" t="s">
        <v>10</v>
      </c>
      <c r="T101" s="61" t="s">
        <v>10</v>
      </c>
      <c r="U101" s="61" t="s">
        <v>10</v>
      </c>
      <c r="V101" s="61" t="s">
        <v>10</v>
      </c>
      <c r="W101" s="61" t="s">
        <v>10</v>
      </c>
      <c r="X101" s="69" t="s">
        <v>10</v>
      </c>
      <c r="Y101" s="1" t="s">
        <v>10</v>
      </c>
    </row>
    <row r="102" spans="2:25" hidden="1" x14ac:dyDescent="0.2">
      <c r="B102" s="216">
        <v>15</v>
      </c>
      <c r="C102" s="217">
        <v>14</v>
      </c>
      <c r="D102" s="58" t="s">
        <v>10</v>
      </c>
      <c r="E102" s="61">
        <f>IF(B102=0,cell_HGL,IF(VLOOKUP(B102,table_HGL_JCTS,17,FALSE)&lt;X102,X102,VLOOKUP(B102,table_HGL_JCTS,17,FALSE)))</f>
        <v>411.83</v>
      </c>
      <c r="F102" s="61">
        <f>IF(B102=0,(E102+K102),IF(VLOOKUP(B102,table_HGL_JCTS,13,FALSE)="T-INTERSECTION",(E102+K102),(IF(VLOOKUP(B102,table_HGL_JCTS,17,FALSE)&lt;X102,(E102+K102),VLOOKUP(B102,table_HGL_JCTS,18,FALSE)))))</f>
        <v>411.83331520222015</v>
      </c>
      <c r="G102" s="62">
        <f>VLOOKUP(C102,table_CIA_JCTS,18)</f>
        <v>18</v>
      </c>
      <c r="H102" s="60">
        <f>VLOOKUP(C102,table_CIA_JCTS,17)</f>
        <v>0.81652852466476666</v>
      </c>
      <c r="I102" s="62">
        <f>VLOOKUP(C102,table_CIA_JCTS,21)</f>
        <v>76</v>
      </c>
      <c r="J102" s="61">
        <f>H102/((G102/12)^2*3.1416/4)</f>
        <v>0.46205954484043044</v>
      </c>
      <c r="K102" s="61">
        <f>(J102^2)/64.4</f>
        <v>3.3152022201575421E-3</v>
      </c>
      <c r="L102" s="63">
        <f>(H102/((1.486/cell_NP)*((3.1416*(G102/12)^2)/4)*(G102/48)^(2/3)))^2</f>
        <v>6.0423139576285175E-5</v>
      </c>
      <c r="M102" s="61">
        <f>L102*I102</f>
        <v>4.5921586077976731E-3</v>
      </c>
      <c r="N102" s="68" t="s">
        <v>10</v>
      </c>
      <c r="O102" s="52" t="s">
        <v>10</v>
      </c>
      <c r="P102" s="257" t="s">
        <v>10</v>
      </c>
      <c r="Q102" s="61">
        <f>SUM(P102)</f>
        <v>0</v>
      </c>
      <c r="R102" s="61">
        <f>Q102+M102</f>
        <v>4.5921586077976731E-3</v>
      </c>
      <c r="S102" s="61">
        <f>IF(O102="T-INTERSECTION",T102,(T102-K102))</f>
        <v>411.83459215860779</v>
      </c>
      <c r="T102" s="61">
        <f>IF(O102="T-INTERSECTION",(R102+F102-K102),(R102+F102))</f>
        <v>411.83790736082796</v>
      </c>
      <c r="U102" s="61">
        <f>VLOOKUP(C102,table_CIA_JCTS,26)</f>
        <v>417.61</v>
      </c>
      <c r="V102" s="61">
        <f>U102-0.5-S102</f>
        <v>5.275407841392223</v>
      </c>
      <c r="W102" s="61" t="s">
        <v>10</v>
      </c>
      <c r="X102" s="69">
        <f>IF(B102&gt;0,VLOOKUP(B102,table_CIA_JCTS,28)," ")</f>
        <v>411.83</v>
      </c>
      <c r="Y102" s="1">
        <v>5.275407841392223</v>
      </c>
    </row>
    <row r="103" spans="2:25" hidden="1" x14ac:dyDescent="0.2">
      <c r="B103" s="216" t="s">
        <v>10</v>
      </c>
      <c r="C103" s="217" t="s">
        <v>10</v>
      </c>
      <c r="D103" s="62" t="s">
        <v>10</v>
      </c>
      <c r="E103" s="61" t="s">
        <v>10</v>
      </c>
      <c r="F103" s="61" t="s">
        <v>10</v>
      </c>
      <c r="G103" s="62" t="s">
        <v>10</v>
      </c>
      <c r="H103" s="60" t="s">
        <v>10</v>
      </c>
      <c r="I103" s="62" t="s">
        <v>10</v>
      </c>
      <c r="J103" s="61" t="s">
        <v>10</v>
      </c>
      <c r="K103" s="68" t="s">
        <v>10</v>
      </c>
      <c r="L103" s="63" t="s">
        <v>10</v>
      </c>
      <c r="M103" s="61" t="s">
        <v>10</v>
      </c>
      <c r="N103" s="68" t="s">
        <v>10</v>
      </c>
      <c r="O103" s="52" t="s">
        <v>176</v>
      </c>
      <c r="P103" s="61" t="s">
        <v>10</v>
      </c>
      <c r="Q103" s="61" t="s">
        <v>10</v>
      </c>
      <c r="R103" s="61" t="s">
        <v>10</v>
      </c>
      <c r="S103" s="61" t="s">
        <v>10</v>
      </c>
      <c r="T103" s="61" t="s">
        <v>10</v>
      </c>
      <c r="U103" s="61" t="s">
        <v>10</v>
      </c>
      <c r="V103" s="61" t="s">
        <v>10</v>
      </c>
      <c r="W103" s="61" t="s">
        <v>10</v>
      </c>
      <c r="X103" s="69" t="s">
        <v>10</v>
      </c>
      <c r="Y103" s="1" t="s">
        <v>10</v>
      </c>
    </row>
    <row r="104" spans="2:25" hidden="1" x14ac:dyDescent="0.2">
      <c r="B104" s="216" t="s">
        <v>10</v>
      </c>
      <c r="C104" s="217" t="s">
        <v>10</v>
      </c>
      <c r="D104" s="62" t="s">
        <v>10</v>
      </c>
      <c r="E104" s="61" t="s">
        <v>10</v>
      </c>
      <c r="F104" s="61" t="s">
        <v>10</v>
      </c>
      <c r="G104" s="62" t="s">
        <v>10</v>
      </c>
      <c r="H104" s="60" t="s">
        <v>10</v>
      </c>
      <c r="I104" s="62" t="s">
        <v>10</v>
      </c>
      <c r="J104" s="61" t="s">
        <v>10</v>
      </c>
      <c r="K104" s="68" t="s">
        <v>10</v>
      </c>
      <c r="L104" s="63" t="s">
        <v>10</v>
      </c>
      <c r="M104" s="61" t="s">
        <v>10</v>
      </c>
      <c r="N104" s="68" t="s">
        <v>10</v>
      </c>
      <c r="O104" s="52" t="s">
        <v>176</v>
      </c>
      <c r="P104" s="61" t="s">
        <v>10</v>
      </c>
      <c r="Q104" s="61" t="s">
        <v>10</v>
      </c>
      <c r="R104" s="61" t="s">
        <v>10</v>
      </c>
      <c r="S104" s="61" t="s">
        <v>10</v>
      </c>
      <c r="T104" s="61" t="s">
        <v>10</v>
      </c>
      <c r="U104" s="61" t="s">
        <v>10</v>
      </c>
      <c r="V104" s="61" t="s">
        <v>10</v>
      </c>
      <c r="W104" s="61" t="s">
        <v>10</v>
      </c>
      <c r="X104" s="69" t="s">
        <v>10</v>
      </c>
      <c r="Y104" s="1" t="s">
        <v>10</v>
      </c>
    </row>
    <row r="105" spans="2:25" hidden="1" x14ac:dyDescent="0.2">
      <c r="B105" s="216">
        <v>29</v>
      </c>
      <c r="C105" s="217">
        <v>26</v>
      </c>
      <c r="D105" s="58" t="s">
        <v>10</v>
      </c>
      <c r="E105" s="61">
        <f>IF(B105=0,cell_HGL,IF(VLOOKUP(B105,table_HGL_JCTS,17,FALSE)&lt;X105,X105,VLOOKUP(B105,table_HGL_JCTS,17,FALSE)))</f>
        <v>408.81985354172213</v>
      </c>
      <c r="F105" s="61">
        <f>IF(B105=0,(E105+K105),IF(VLOOKUP(B105,table_HGL_JCTS,13,FALSE)="T-INTERSECTION",(E105+K105),(IF(VLOOKUP(B105,table_HGL_JCTS,17,FALSE)&lt;X105,(E105+K105),VLOOKUP(B105,table_HGL_JCTS,18,FALSE)))))</f>
        <v>409.2188015840149</v>
      </c>
      <c r="G105" s="62">
        <f>VLOOKUP(C105,table_CIA_JCTS,18)</f>
        <v>30</v>
      </c>
      <c r="H105" s="60">
        <f>VLOOKUP(C105,table_CIA_JCTS,17)</f>
        <v>11.051916500505962</v>
      </c>
      <c r="I105" s="62">
        <f>VLOOKUP(C105,table_CIA_JCTS,21)</f>
        <v>189</v>
      </c>
      <c r="J105" s="61">
        <f>H105/((G105/12)^2*3.1416/4)</f>
        <v>2.2514726764463382</v>
      </c>
      <c r="K105" s="61">
        <f>(J105^2)/64.4</f>
        <v>7.8713186533919829E-2</v>
      </c>
      <c r="L105" s="63">
        <f>(H105/((1.486/cell_NP)*((3.1416*(G105/12)^2)/4)*(G105/48)^(2/3)))^2</f>
        <v>7.2600970168814076E-4</v>
      </c>
      <c r="M105" s="61">
        <f>L105*I105</f>
        <v>0.13721583361905859</v>
      </c>
      <c r="N105" s="68" t="s">
        <v>10</v>
      </c>
      <c r="O105" s="72"/>
      <c r="P105" s="61" t="str">
        <f>IF(ISBLANK(O105)=FALSE,(VLOOKUP(O105,table_MINOR,2,FALSE))*(K105)," ")</f>
        <v xml:space="preserve"> </v>
      </c>
      <c r="Q105" s="61">
        <f>SUM(P105:P106)</f>
        <v>0</v>
      </c>
      <c r="R105" s="61">
        <f>Q105+M105</f>
        <v>0.13721583361905859</v>
      </c>
      <c r="S105" s="61">
        <f>IF(O105="T-INTERSECTION",T105,(T105-K105))</f>
        <v>409.2773042311</v>
      </c>
      <c r="T105" s="61">
        <f>IF(O105="T-INTERSECTION",(R105+F105-K105),(R105+F105))</f>
        <v>409.2773042311</v>
      </c>
      <c r="U105" s="61">
        <f>VLOOKUP(C105,table_CIA_JCTS,26)</f>
        <v>413.76</v>
      </c>
      <c r="V105" s="61">
        <f>U105-0.5-S105</f>
        <v>3.9826957688999869</v>
      </c>
      <c r="W105" s="61" t="s">
        <v>10</v>
      </c>
      <c r="X105" s="69">
        <f>IF(B105&gt;0,VLOOKUP(B105,table_CIA_JCTS,28)," ")</f>
        <v>406.04</v>
      </c>
      <c r="Y105" s="1">
        <v>3.9826957688999869</v>
      </c>
    </row>
    <row r="106" spans="2:25" hidden="1" x14ac:dyDescent="0.2">
      <c r="B106" s="216" t="s">
        <v>10</v>
      </c>
      <c r="C106" s="217" t="s">
        <v>10</v>
      </c>
      <c r="D106" s="62" t="s">
        <v>10</v>
      </c>
      <c r="E106" s="61" t="s">
        <v>10</v>
      </c>
      <c r="F106" s="61" t="s">
        <v>10</v>
      </c>
      <c r="G106" s="62" t="s">
        <v>10</v>
      </c>
      <c r="H106" s="60" t="s">
        <v>10</v>
      </c>
      <c r="I106" s="62" t="s">
        <v>10</v>
      </c>
      <c r="J106" s="61" t="s">
        <v>10</v>
      </c>
      <c r="K106" s="68">
        <f>K105</f>
        <v>7.8713186533919829E-2</v>
      </c>
      <c r="L106" s="63" t="s">
        <v>10</v>
      </c>
      <c r="M106" s="61" t="s">
        <v>10</v>
      </c>
      <c r="N106" s="68" t="s">
        <v>10</v>
      </c>
      <c r="O106" s="52" t="s">
        <v>10</v>
      </c>
      <c r="P106" s="257" t="s">
        <v>10</v>
      </c>
      <c r="Q106" s="61" t="s">
        <v>10</v>
      </c>
      <c r="R106" s="61" t="s">
        <v>10</v>
      </c>
      <c r="S106" s="61" t="s">
        <v>10</v>
      </c>
      <c r="T106" s="61" t="s">
        <v>10</v>
      </c>
      <c r="U106" s="61" t="s">
        <v>10</v>
      </c>
      <c r="V106" s="61" t="s">
        <v>10</v>
      </c>
      <c r="W106" s="61" t="s">
        <v>10</v>
      </c>
      <c r="X106" s="69" t="s">
        <v>10</v>
      </c>
      <c r="Y106" s="1" t="s">
        <v>10</v>
      </c>
    </row>
    <row r="107" spans="2:25" hidden="1" x14ac:dyDescent="0.2">
      <c r="B107" s="216">
        <v>26</v>
      </c>
      <c r="C107" s="217">
        <v>25</v>
      </c>
      <c r="D107" s="58" t="s">
        <v>10</v>
      </c>
      <c r="E107" s="61">
        <f>IF(B107=0,cell_HGL,IF(VLOOKUP(B107,table_HGL_JCTS,17,FALSE)&lt;X107,X107,VLOOKUP(B107,table_HGL_JCTS,17,FALSE)))</f>
        <v>409.2773042311</v>
      </c>
      <c r="F107" s="61">
        <f>IF(B107=0,(E107+K107),IF(VLOOKUP(B107,table_HGL_JCTS,13,FALSE)="T-INTERSECTION",(E107+K107),(IF(VLOOKUP(B107,table_HGL_JCTS,17,FALSE)&lt;X107,(E107+K107),VLOOKUP(B107,table_HGL_JCTS,18,FALSE)))))</f>
        <v>409.34706254411009</v>
      </c>
      <c r="G107" s="62">
        <f>VLOOKUP(C107,table_CIA_JCTS,18)</f>
        <v>30</v>
      </c>
      <c r="H107" s="60">
        <f>VLOOKUP(C107,table_CIA_JCTS,17)</f>
        <v>10.404275237899109</v>
      </c>
      <c r="I107" s="62">
        <f>VLOOKUP(C107,table_CIA_JCTS,21)</f>
        <v>227</v>
      </c>
      <c r="J107" s="61">
        <f>H107/((G107/12)^2*3.1416/4)</f>
        <v>2.1195365903537784</v>
      </c>
      <c r="K107" s="61">
        <f>(J107^2)/64.4</f>
        <v>6.9758313010070197E-2</v>
      </c>
      <c r="L107" s="63">
        <f>(H107/((1.486/cell_NP)*((3.1416*(G107/12)^2)/4)*(G107/48)^(2/3)))^2</f>
        <v>6.4341458209018739E-4</v>
      </c>
      <c r="M107" s="61">
        <f>L107*I107</f>
        <v>0.14605511013447253</v>
      </c>
      <c r="N107" s="68" t="s">
        <v>10</v>
      </c>
      <c r="O107" s="72" t="s">
        <v>156</v>
      </c>
      <c r="P107" s="61">
        <f>IF(ISBLANK(O107)=FALSE,(VLOOKUP(O107,table_MINOR,2,FALSE))*(K107)," ")</f>
        <v>5.2318734757552651E-2</v>
      </c>
      <c r="Q107" s="61">
        <f>SUM(P107:P108)</f>
        <v>5.2318734757552651E-2</v>
      </c>
      <c r="R107" s="61">
        <f>Q107+M107</f>
        <v>0.1983738448920252</v>
      </c>
      <c r="S107" s="61">
        <f>IF(O107="T-INTERSECTION",T107,(T107-K107))</f>
        <v>409.47567807599205</v>
      </c>
      <c r="T107" s="61">
        <f>IF(O107="T-INTERSECTION",(R107+F107-K107),(R107+F107))</f>
        <v>409.54543638900213</v>
      </c>
      <c r="U107" s="61">
        <f>VLOOKUP(C107,table_CIA_JCTS,26)</f>
        <v>413.62</v>
      </c>
      <c r="V107" s="61">
        <f>U107-0.5-S107</f>
        <v>3.6443219240079543</v>
      </c>
      <c r="W107" s="61" t="s">
        <v>10</v>
      </c>
      <c r="X107" s="69">
        <f>IF(B107&gt;0,VLOOKUP(B107,table_CIA_JCTS,28)," ")</f>
        <v>406.57</v>
      </c>
      <c r="Y107" s="1">
        <v>3.6443219240079543</v>
      </c>
    </row>
    <row r="108" spans="2:25" hidden="1" x14ac:dyDescent="0.2">
      <c r="B108" s="216" t="s">
        <v>10</v>
      </c>
      <c r="C108" s="217" t="s">
        <v>10</v>
      </c>
      <c r="D108" s="62" t="s">
        <v>10</v>
      </c>
      <c r="E108" s="61" t="s">
        <v>10</v>
      </c>
      <c r="F108" s="61" t="s">
        <v>10</v>
      </c>
      <c r="G108" s="62" t="s">
        <v>10</v>
      </c>
      <c r="H108" s="60" t="s">
        <v>10</v>
      </c>
      <c r="I108" s="62" t="s">
        <v>10</v>
      </c>
      <c r="J108" s="61" t="s">
        <v>10</v>
      </c>
      <c r="K108" s="68">
        <f>K107</f>
        <v>6.9758313010070197E-2</v>
      </c>
      <c r="L108" s="63" t="s">
        <v>10</v>
      </c>
      <c r="M108" s="61" t="s">
        <v>10</v>
      </c>
      <c r="N108" s="68" t="s">
        <v>10</v>
      </c>
      <c r="O108" s="52" t="s">
        <v>10</v>
      </c>
      <c r="P108" s="257" t="s">
        <v>10</v>
      </c>
      <c r="Q108" s="61" t="s">
        <v>10</v>
      </c>
      <c r="R108" s="61" t="s">
        <v>10</v>
      </c>
      <c r="S108" s="61" t="s">
        <v>10</v>
      </c>
      <c r="T108" s="61" t="s">
        <v>10</v>
      </c>
      <c r="U108" s="61" t="s">
        <v>10</v>
      </c>
      <c r="V108" s="61" t="s">
        <v>10</v>
      </c>
      <c r="W108" s="61" t="s">
        <v>10</v>
      </c>
      <c r="X108" s="69" t="s">
        <v>10</v>
      </c>
      <c r="Y108" s="1" t="s">
        <v>10</v>
      </c>
    </row>
    <row r="109" spans="2:25" hidden="1" x14ac:dyDescent="0.2">
      <c r="B109" s="216">
        <v>25</v>
      </c>
      <c r="C109" s="217">
        <v>23</v>
      </c>
      <c r="D109" s="58" t="s">
        <v>10</v>
      </c>
      <c r="E109" s="61">
        <f>IF(B109=0,cell_HGL,IF(VLOOKUP(B109,table_HGL_JCTS,17,FALSE)&lt;X109,X109,VLOOKUP(B109,table_HGL_JCTS,17,FALSE)))</f>
        <v>409.47567807599205</v>
      </c>
      <c r="F109" s="61">
        <f>IF(B109=0,(E109+K109),IF(VLOOKUP(B109,table_HGL_JCTS,13,FALSE)="T-INTERSECTION",(E109+K109),(IF(VLOOKUP(B109,table_HGL_JCTS,17,FALSE)&lt;X109,(E109+K109),VLOOKUP(B109,table_HGL_JCTS,18,FALSE)))))</f>
        <v>409.54543638900213</v>
      </c>
      <c r="G109" s="62">
        <f>VLOOKUP(C109,table_CIA_JCTS,18)</f>
        <v>30</v>
      </c>
      <c r="H109" s="60">
        <f>VLOOKUP(C109,table_CIA_JCTS,17)</f>
        <v>10.079830011430655</v>
      </c>
      <c r="I109" s="62">
        <f>VLOOKUP(C109,table_CIA_JCTS,21)</f>
        <v>114</v>
      </c>
      <c r="J109" s="61">
        <f>H109/((G109/12)^2*3.1416/4)</f>
        <v>2.0534413061228736</v>
      </c>
      <c r="K109" s="61">
        <f>(J109^2)/64.4</f>
        <v>6.547548443620517E-2</v>
      </c>
      <c r="L109" s="63">
        <f>(H109/((1.486/cell_NP)*((3.1416*(G109/12)^2)/4)*(G109/48)^(2/3)))^2</f>
        <v>6.0391198751598267E-4</v>
      </c>
      <c r="M109" s="61">
        <f>L109*I109</f>
        <v>6.8845966576822029E-2</v>
      </c>
      <c r="N109" s="68" t="s">
        <v>10</v>
      </c>
      <c r="O109" s="72" t="s">
        <v>156</v>
      </c>
      <c r="P109" s="61">
        <f>IF(ISBLANK(O109)=FALSE,(VLOOKUP(O109,table_MINOR,2,FALSE))*(K109)," ")</f>
        <v>4.9106613327153881E-2</v>
      </c>
      <c r="Q109" s="61">
        <f>SUM(P109:P110)</f>
        <v>4.9106613327153881E-2</v>
      </c>
      <c r="R109" s="61">
        <f>Q109+M109</f>
        <v>0.11795257990397591</v>
      </c>
      <c r="S109" s="61">
        <f>IF(O109="T-INTERSECTION",T109,(T109-K109))</f>
        <v>409.59791348446993</v>
      </c>
      <c r="T109" s="61">
        <f>IF(O109="T-INTERSECTION",(R109+F109-K109),(R109+F109))</f>
        <v>409.66338896890613</v>
      </c>
      <c r="U109" s="61">
        <f>VLOOKUP(C109,table_CIA_JCTS,26)</f>
        <v>413.79</v>
      </c>
      <c r="V109" s="61">
        <f>U109-0.5-S109</f>
        <v>3.692086515530093</v>
      </c>
      <c r="W109" s="61" t="s">
        <v>10</v>
      </c>
      <c r="X109" s="69">
        <f>IF(B109&gt;0,VLOOKUP(B109,table_CIA_JCTS,28)," ")</f>
        <v>407.38</v>
      </c>
      <c r="Y109" s="1">
        <v>3.692086515530093</v>
      </c>
    </row>
    <row r="110" spans="2:25" hidden="1" x14ac:dyDescent="0.2">
      <c r="B110" s="216" t="s">
        <v>10</v>
      </c>
      <c r="C110" s="217" t="s">
        <v>10</v>
      </c>
      <c r="D110" s="62" t="s">
        <v>10</v>
      </c>
      <c r="E110" s="61" t="s">
        <v>10</v>
      </c>
      <c r="F110" s="61" t="s">
        <v>10</v>
      </c>
      <c r="G110" s="62" t="s">
        <v>10</v>
      </c>
      <c r="H110" s="60" t="s">
        <v>10</v>
      </c>
      <c r="I110" s="62" t="s">
        <v>10</v>
      </c>
      <c r="J110" s="61" t="s">
        <v>10</v>
      </c>
      <c r="K110" s="68">
        <f>K109</f>
        <v>6.547548443620517E-2</v>
      </c>
      <c r="L110" s="63" t="s">
        <v>10</v>
      </c>
      <c r="M110" s="61" t="s">
        <v>10</v>
      </c>
      <c r="N110" s="68" t="s">
        <v>10</v>
      </c>
      <c r="O110" s="52" t="s">
        <v>10</v>
      </c>
      <c r="P110" s="257" t="s">
        <v>10</v>
      </c>
      <c r="Q110" s="61" t="s">
        <v>10</v>
      </c>
      <c r="R110" s="61" t="s">
        <v>10</v>
      </c>
      <c r="S110" s="61" t="s">
        <v>10</v>
      </c>
      <c r="T110" s="61" t="s">
        <v>10</v>
      </c>
      <c r="U110" s="61" t="s">
        <v>10</v>
      </c>
      <c r="V110" s="61" t="s">
        <v>10</v>
      </c>
      <c r="W110" s="61" t="s">
        <v>10</v>
      </c>
      <c r="X110" s="69" t="s">
        <v>10</v>
      </c>
      <c r="Y110" s="1" t="s">
        <v>10</v>
      </c>
    </row>
    <row r="111" spans="2:25" hidden="1" x14ac:dyDescent="0.2">
      <c r="B111" s="216">
        <v>23</v>
      </c>
      <c r="C111" s="217">
        <v>21</v>
      </c>
      <c r="D111" s="58" t="s">
        <v>10</v>
      </c>
      <c r="E111" s="61">
        <f>IF(B111=0,cell_HGL,IF(VLOOKUP(B111,table_HGL_JCTS,17,FALSE)&lt;X111,X111,VLOOKUP(B111,table_HGL_JCTS,17,FALSE)))</f>
        <v>409.59791348446993</v>
      </c>
      <c r="F111" s="61">
        <f>IF(B111=0,(E111+K111),IF(VLOOKUP(B111,table_HGL_JCTS,13,FALSE)="T-INTERSECTION",(E111+K111),(IF(VLOOKUP(B111,table_HGL_JCTS,17,FALSE)&lt;X111,(E111+K111),VLOOKUP(B111,table_HGL_JCTS,18,FALSE)))))</f>
        <v>409.66338896890613</v>
      </c>
      <c r="G111" s="62">
        <f>VLOOKUP(C111,table_CIA_JCTS,18)</f>
        <v>30</v>
      </c>
      <c r="H111" s="60">
        <f>VLOOKUP(C111,table_CIA_JCTS,17)</f>
        <v>8.9144398880325664</v>
      </c>
      <c r="I111" s="62">
        <f>VLOOKUP(C111,table_CIA_JCTS,21)</f>
        <v>251</v>
      </c>
      <c r="J111" s="61">
        <f>H111/((G111/12)^2*3.1416/4)</f>
        <v>1.8160305348678518</v>
      </c>
      <c r="K111" s="61">
        <f>(J111^2)/64.4</f>
        <v>5.1210666204540622E-2</v>
      </c>
      <c r="L111" s="63">
        <f>(H111/((1.486/cell_NP)*((3.1416*(G111/12)^2)/4)*(G111/48)^(2/3)))^2</f>
        <v>4.7234068561546232E-4</v>
      </c>
      <c r="M111" s="61">
        <f>L111*I111</f>
        <v>0.11855751208948104</v>
      </c>
      <c r="N111" s="68" t="s">
        <v>10</v>
      </c>
      <c r="O111" s="72" t="s">
        <v>152</v>
      </c>
      <c r="P111" s="61">
        <f>IF(ISBLANK(O111)=FALSE,(VLOOKUP(O111,table_MINOR,2,FALSE))*(K111)," ")</f>
        <v>3.0726399722724371E-2</v>
      </c>
      <c r="Q111" s="61">
        <f>SUM(P111:P112)</f>
        <v>3.0726399722724371E-2</v>
      </c>
      <c r="R111" s="61">
        <f>Q111+M111</f>
        <v>0.14928391181220541</v>
      </c>
      <c r="S111" s="61">
        <f>IF(O111="T-INTERSECTION",T111,(T111-K111))</f>
        <v>409.76146221451381</v>
      </c>
      <c r="T111" s="61">
        <f>IF(O111="T-INTERSECTION",(R111+F111-K111),(R111+F111))</f>
        <v>409.81267288071837</v>
      </c>
      <c r="U111" s="61">
        <f>VLOOKUP(C111,table_CIA_JCTS,26)</f>
        <v>413.1</v>
      </c>
      <c r="V111" s="61">
        <f>U111-0.5-S111</f>
        <v>2.8385377854862099</v>
      </c>
      <c r="W111" s="61" t="s">
        <v>10</v>
      </c>
      <c r="X111" s="69">
        <f>IF(B111&gt;0,VLOOKUP(B111,table_CIA_JCTS,28)," ")</f>
        <v>407.69</v>
      </c>
      <c r="Y111" s="1">
        <v>2.8385377854862099</v>
      </c>
    </row>
    <row r="112" spans="2:25" hidden="1" x14ac:dyDescent="0.2">
      <c r="B112" s="216" t="s">
        <v>10</v>
      </c>
      <c r="C112" s="217" t="s">
        <v>10</v>
      </c>
      <c r="D112" s="62" t="s">
        <v>10</v>
      </c>
      <c r="E112" s="61" t="s">
        <v>10</v>
      </c>
      <c r="F112" s="61" t="s">
        <v>10</v>
      </c>
      <c r="G112" s="62" t="s">
        <v>10</v>
      </c>
      <c r="H112" s="60" t="s">
        <v>10</v>
      </c>
      <c r="I112" s="62" t="s">
        <v>10</v>
      </c>
      <c r="J112" s="61" t="s">
        <v>10</v>
      </c>
      <c r="K112" s="68">
        <f>K111</f>
        <v>5.1210666204540622E-2</v>
      </c>
      <c r="L112" s="63" t="s">
        <v>10</v>
      </c>
      <c r="M112" s="61" t="s">
        <v>10</v>
      </c>
      <c r="N112" s="68" t="s">
        <v>10</v>
      </c>
      <c r="O112" s="52" t="s">
        <v>10</v>
      </c>
      <c r="P112" s="257" t="s">
        <v>10</v>
      </c>
      <c r="Q112" s="61" t="s">
        <v>10</v>
      </c>
      <c r="R112" s="61" t="s">
        <v>10</v>
      </c>
      <c r="S112" s="61" t="s">
        <v>10</v>
      </c>
      <c r="T112" s="61" t="s">
        <v>10</v>
      </c>
      <c r="U112" s="61" t="s">
        <v>10</v>
      </c>
      <c r="V112" s="61" t="s">
        <v>10</v>
      </c>
      <c r="W112" s="61" t="s">
        <v>10</v>
      </c>
      <c r="X112" s="69" t="s">
        <v>10</v>
      </c>
      <c r="Y112" s="1" t="s">
        <v>10</v>
      </c>
    </row>
    <row r="113" spans="2:25" hidden="1" x14ac:dyDescent="0.2">
      <c r="B113" s="216">
        <v>21</v>
      </c>
      <c r="C113" s="217">
        <v>20</v>
      </c>
      <c r="D113" s="58" t="s">
        <v>10</v>
      </c>
      <c r="E113" s="61">
        <f>IF(B113=0,cell_HGL,IF(VLOOKUP(B113,table_HGL_JCTS,17,FALSE)&lt;X113,X113,VLOOKUP(B113,table_HGL_JCTS,17,FALSE)))</f>
        <v>409.76146221451381</v>
      </c>
      <c r="F113" s="61">
        <f>IF(B113=0,(E113+K113),IF(VLOOKUP(B113,table_HGL_JCTS,13,FALSE)="T-INTERSECTION",(E113+K113),(IF(VLOOKUP(B113,table_HGL_JCTS,17,FALSE)&lt;X113,(E113+K113),VLOOKUP(B113,table_HGL_JCTS,18,FALSE)))))</f>
        <v>409.81267288071837</v>
      </c>
      <c r="G113" s="62">
        <f>VLOOKUP(C113,table_CIA_JCTS,18)</f>
        <v>24</v>
      </c>
      <c r="H113" s="60">
        <f>VLOOKUP(C113,table_CIA_JCTS,17)</f>
        <v>8.1383440781713023</v>
      </c>
      <c r="I113" s="62">
        <f>VLOOKUP(C113,table_CIA_JCTS,21)</f>
        <v>658</v>
      </c>
      <c r="J113" s="61">
        <f>H113/((G113/12)^2*3.1416/4)</f>
        <v>2.5905093195095819</v>
      </c>
      <c r="K113" s="61">
        <f>(J113^2)/64.4</f>
        <v>0.10420401451034156</v>
      </c>
      <c r="L113" s="63">
        <f>(H113/((1.486/cell_NP)*((3.1416*(G113/12)^2)/4)*(G113/48)^(2/3)))^2</f>
        <v>1.2941741811374808E-3</v>
      </c>
      <c r="M113" s="61">
        <f>L113*I113</f>
        <v>0.85156661118846233</v>
      </c>
      <c r="N113" s="68" t="s">
        <v>10</v>
      </c>
      <c r="O113" s="72" t="s">
        <v>156</v>
      </c>
      <c r="P113" s="61">
        <f>IF(ISBLANK(O113)=FALSE,(VLOOKUP(O113,table_MINOR,2,FALSE))*(K113)," ")</f>
        <v>7.8153010882756169E-2</v>
      </c>
      <c r="Q113" s="61">
        <f>SUM(P113:P114)</f>
        <v>7.8153010882756169E-2</v>
      </c>
      <c r="R113" s="61">
        <f>Q113+M113</f>
        <v>0.9297196220712185</v>
      </c>
      <c r="S113" s="61">
        <f>IF(O113="T-INTERSECTION",T113,(T113-K113))</f>
        <v>410.63818848827924</v>
      </c>
      <c r="T113" s="61">
        <f>IF(O113="T-INTERSECTION",(R113+F113-K113),(R113+F113))</f>
        <v>410.74239250278958</v>
      </c>
      <c r="U113" s="61">
        <f>VLOOKUP(C113,table_CIA_JCTS,26)</f>
        <v>414.84</v>
      </c>
      <c r="V113" s="61">
        <f>U113-0.5-S113</f>
        <v>3.7018115117207344</v>
      </c>
      <c r="W113" s="61" t="s">
        <v>10</v>
      </c>
      <c r="X113" s="69">
        <f>IF(B113&gt;0,VLOOKUP(B113,table_CIA_JCTS,28)," ")</f>
        <v>408.7</v>
      </c>
      <c r="Y113" s="1">
        <v>3.7018115117207344</v>
      </c>
    </row>
    <row r="114" spans="2:25" hidden="1" x14ac:dyDescent="0.2">
      <c r="B114" s="216" t="s">
        <v>10</v>
      </c>
      <c r="C114" s="217" t="s">
        <v>10</v>
      </c>
      <c r="D114" s="62" t="s">
        <v>10</v>
      </c>
      <c r="E114" s="61" t="s">
        <v>10</v>
      </c>
      <c r="F114" s="61" t="s">
        <v>10</v>
      </c>
      <c r="G114" s="62" t="s">
        <v>10</v>
      </c>
      <c r="H114" s="60" t="s">
        <v>10</v>
      </c>
      <c r="I114" s="62" t="s">
        <v>10</v>
      </c>
      <c r="J114" s="61" t="s">
        <v>10</v>
      </c>
      <c r="K114" s="68">
        <f>K113</f>
        <v>0.10420401451034156</v>
      </c>
      <c r="L114" s="63" t="s">
        <v>10</v>
      </c>
      <c r="M114" s="61" t="s">
        <v>10</v>
      </c>
      <c r="N114" s="68" t="s">
        <v>10</v>
      </c>
      <c r="O114" s="52" t="s">
        <v>10</v>
      </c>
      <c r="P114" s="257" t="s">
        <v>10</v>
      </c>
      <c r="Q114" s="61" t="s">
        <v>10</v>
      </c>
      <c r="R114" s="61" t="s">
        <v>10</v>
      </c>
      <c r="S114" s="61" t="s">
        <v>10</v>
      </c>
      <c r="T114" s="61" t="s">
        <v>10</v>
      </c>
      <c r="U114" s="61" t="s">
        <v>10</v>
      </c>
      <c r="V114" s="61" t="s">
        <v>10</v>
      </c>
      <c r="W114" s="61" t="s">
        <v>10</v>
      </c>
      <c r="X114" s="69" t="s">
        <v>10</v>
      </c>
      <c r="Y114" s="1" t="s">
        <v>10</v>
      </c>
    </row>
    <row r="115" spans="2:25" hidden="1" x14ac:dyDescent="0.2">
      <c r="B115" s="216">
        <v>20</v>
      </c>
      <c r="C115" s="217">
        <v>18</v>
      </c>
      <c r="D115" s="58" t="s">
        <v>10</v>
      </c>
      <c r="E115" s="61">
        <f>IF(B115=0,cell_HGL,IF(VLOOKUP(B115,table_HGL_JCTS,17,FALSE)&lt;X115,X115,VLOOKUP(B115,table_HGL_JCTS,17,FALSE)))</f>
        <v>410.63818848827924</v>
      </c>
      <c r="F115" s="61">
        <f>IF(B115=0,(E115+K115),IF(VLOOKUP(B115,table_HGL_JCTS,13,FALSE)="T-INTERSECTION",(E115+K115),(IF(VLOOKUP(B115,table_HGL_JCTS,17,FALSE)&lt;X115,(E115+K115),VLOOKUP(B115,table_HGL_JCTS,18,FALSE)))))</f>
        <v>410.74239250278958</v>
      </c>
      <c r="G115" s="62">
        <f>VLOOKUP(C115,table_CIA_JCTS,18)</f>
        <v>24</v>
      </c>
      <c r="H115" s="60">
        <f>VLOOKUP(C115,table_CIA_JCTS,17)</f>
        <v>6.275999839206702</v>
      </c>
      <c r="I115" s="62">
        <f>VLOOKUP(C115,table_CIA_JCTS,21)</f>
        <v>230</v>
      </c>
      <c r="J115" s="61">
        <f>H115/((G115/12)^2*3.1416/4)</f>
        <v>1.9977081229967857</v>
      </c>
      <c r="K115" s="61">
        <f>(J115^2)/64.4</f>
        <v>6.1969530197008391E-2</v>
      </c>
      <c r="L115" s="63">
        <f>(H115/((1.486/cell_NP)*((3.1416*(G115/12)^2)/4)*(G115/48)^(2/3)))^2</f>
        <v>7.696379681248123E-4</v>
      </c>
      <c r="M115" s="61">
        <f>L115*I115</f>
        <v>0.17701673266870682</v>
      </c>
      <c r="N115" s="68" t="s">
        <v>10</v>
      </c>
      <c r="O115" s="72" t="s">
        <v>156</v>
      </c>
      <c r="P115" s="61">
        <f>IF(ISBLANK(O115)=FALSE,(VLOOKUP(O115,table_MINOR,2,FALSE))*(K115)," ")</f>
        <v>4.6477147647756289E-2</v>
      </c>
      <c r="Q115" s="61">
        <f>SUM(P115:P116)</f>
        <v>4.6477147647756289E-2</v>
      </c>
      <c r="R115" s="61">
        <f>Q115+M115</f>
        <v>0.22349388031646311</v>
      </c>
      <c r="S115" s="61">
        <f>IF(O115="T-INTERSECTION",T115,(T115-K115))</f>
        <v>410.90391685290905</v>
      </c>
      <c r="T115" s="61">
        <f>IF(O115="T-INTERSECTION",(R115+F115-K115),(R115+F115))</f>
        <v>410.96588638310607</v>
      </c>
      <c r="U115" s="61">
        <f>VLOOKUP(C115,table_CIA_JCTS,26)</f>
        <v>416.74</v>
      </c>
      <c r="V115" s="61">
        <f>U115-0.5-S115</f>
        <v>5.3360831470909602</v>
      </c>
      <c r="W115" s="61" t="s">
        <v>10</v>
      </c>
      <c r="X115" s="69">
        <f>IF(B115&gt;0,VLOOKUP(B115,table_CIA_JCTS,28)," ")</f>
        <v>409.23</v>
      </c>
      <c r="Y115" s="1">
        <v>5.3360831470909602</v>
      </c>
    </row>
    <row r="116" spans="2:25" hidden="1" x14ac:dyDescent="0.2">
      <c r="B116" s="216" t="s">
        <v>10</v>
      </c>
      <c r="C116" s="217" t="s">
        <v>10</v>
      </c>
      <c r="D116" s="62" t="s">
        <v>10</v>
      </c>
      <c r="E116" s="61" t="s">
        <v>10</v>
      </c>
      <c r="F116" s="61" t="s">
        <v>10</v>
      </c>
      <c r="G116" s="62" t="s">
        <v>10</v>
      </c>
      <c r="H116" s="60" t="s">
        <v>10</v>
      </c>
      <c r="I116" s="62" t="s">
        <v>10</v>
      </c>
      <c r="J116" s="61" t="s">
        <v>10</v>
      </c>
      <c r="K116" s="68">
        <f>K115</f>
        <v>6.1969530197008391E-2</v>
      </c>
      <c r="L116" s="63" t="s">
        <v>10</v>
      </c>
      <c r="M116" s="61" t="s">
        <v>10</v>
      </c>
      <c r="N116" s="68" t="s">
        <v>10</v>
      </c>
      <c r="O116" s="52" t="s">
        <v>10</v>
      </c>
      <c r="P116" s="257" t="s">
        <v>10</v>
      </c>
      <c r="Q116" s="61" t="s">
        <v>10</v>
      </c>
      <c r="R116" s="61" t="s">
        <v>10</v>
      </c>
      <c r="S116" s="61" t="s">
        <v>10</v>
      </c>
      <c r="T116" s="61" t="s">
        <v>10</v>
      </c>
      <c r="U116" s="61" t="s">
        <v>10</v>
      </c>
      <c r="V116" s="61" t="s">
        <v>10</v>
      </c>
      <c r="W116" s="61" t="s">
        <v>10</v>
      </c>
      <c r="X116" s="69" t="s">
        <v>10</v>
      </c>
      <c r="Y116" s="1" t="s">
        <v>10</v>
      </c>
    </row>
    <row r="117" spans="2:25" hidden="1" x14ac:dyDescent="0.2">
      <c r="B117" s="216">
        <v>18</v>
      </c>
      <c r="C117" s="217">
        <v>16</v>
      </c>
      <c r="D117" s="58" t="s">
        <v>10</v>
      </c>
      <c r="E117" s="61">
        <f>IF(B117=0,cell_HGL,IF(VLOOKUP(B117,table_HGL_JCTS,17,FALSE)&lt;X117,X117,VLOOKUP(B117,table_HGL_JCTS,17,FALSE)))</f>
        <v>410.90391685290905</v>
      </c>
      <c r="F117" s="61">
        <f>IF(B117=0,(E117+K117),IF(VLOOKUP(B117,table_HGL_JCTS,13,FALSE)="T-INTERSECTION",(E117+K117),(IF(VLOOKUP(B117,table_HGL_JCTS,17,FALSE)&lt;X117,(E117+K117),VLOOKUP(B117,table_HGL_JCTS,18,FALSE)))))</f>
        <v>410.96588638310607</v>
      </c>
      <c r="G117" s="62">
        <f>VLOOKUP(C117,table_CIA_JCTS,18)</f>
        <v>18</v>
      </c>
      <c r="H117" s="60">
        <f>VLOOKUP(C117,table_CIA_JCTS,17)</f>
        <v>5.3280332774101851</v>
      </c>
      <c r="I117" s="62">
        <f>VLOOKUP(C117,table_CIA_JCTS,21)</f>
        <v>649</v>
      </c>
      <c r="J117" s="61">
        <f>H117/((G117/12)^2*3.1416/4)</f>
        <v>3.0150430226127862</v>
      </c>
      <c r="K117" s="61">
        <f>(J117^2)/64.4</f>
        <v>0.14115659050009388</v>
      </c>
      <c r="L117" s="63">
        <f>(H117/((1.486/cell_NP)*((3.1416*(G117/12)^2)/4)*(G117/48)^(2/3)))^2</f>
        <v>2.5727312554388879E-3</v>
      </c>
      <c r="M117" s="61">
        <f>L117*I117</f>
        <v>1.6697025847798384</v>
      </c>
      <c r="N117" s="68" t="s">
        <v>10</v>
      </c>
      <c r="O117" s="72" t="s">
        <v>129</v>
      </c>
      <c r="P117" s="61">
        <f>IF(ISBLANK(O117)=FALSE,(VLOOKUP(O117,table_MINOR,2,FALSE))*(K117)," ")</f>
        <v>7.0578295250046941E-2</v>
      </c>
      <c r="Q117" s="61">
        <f>SUM(P117:P118)</f>
        <v>7.0578295250046941E-2</v>
      </c>
      <c r="R117" s="61">
        <f>Q117+M117</f>
        <v>1.7402808800298852</v>
      </c>
      <c r="S117" s="61">
        <f>IF(O117="T-INTERSECTION",T117,(T117-K117))</f>
        <v>412.56501067263588</v>
      </c>
      <c r="T117" s="61">
        <f>IF(O117="T-INTERSECTION",(R117+F117-K117),(R117+F117))</f>
        <v>412.70616726313597</v>
      </c>
      <c r="U117" s="61">
        <f>VLOOKUP(C117,table_CIA_JCTS,26)</f>
        <v>416.46</v>
      </c>
      <c r="V117" s="61">
        <f>U117-0.5-S117</f>
        <v>3.394989327364101</v>
      </c>
      <c r="W117" s="61" t="s">
        <v>10</v>
      </c>
      <c r="X117" s="69">
        <f>IF(B117&gt;0,VLOOKUP(B117,table_CIA_JCTS,28)," ")</f>
        <v>410.28</v>
      </c>
      <c r="Y117" s="1">
        <v>3.394989327364101</v>
      </c>
    </row>
    <row r="118" spans="2:25" hidden="1" x14ac:dyDescent="0.2">
      <c r="B118" s="216" t="s">
        <v>10</v>
      </c>
      <c r="C118" s="217" t="s">
        <v>10</v>
      </c>
      <c r="D118" s="62" t="s">
        <v>10</v>
      </c>
      <c r="E118" s="61" t="s">
        <v>10</v>
      </c>
      <c r="F118" s="61" t="s">
        <v>10</v>
      </c>
      <c r="G118" s="62" t="s">
        <v>10</v>
      </c>
      <c r="H118" s="60" t="s">
        <v>10</v>
      </c>
      <c r="I118" s="62" t="s">
        <v>10</v>
      </c>
      <c r="J118" s="61" t="s">
        <v>10</v>
      </c>
      <c r="K118" s="68">
        <f>K117</f>
        <v>0.14115659050009388</v>
      </c>
      <c r="L118" s="63" t="s">
        <v>10</v>
      </c>
      <c r="M118" s="61" t="s">
        <v>10</v>
      </c>
      <c r="N118" s="68" t="s">
        <v>10</v>
      </c>
      <c r="O118" s="52" t="s">
        <v>10</v>
      </c>
      <c r="P118" s="257" t="s">
        <v>10</v>
      </c>
      <c r="Q118" s="61" t="s">
        <v>10</v>
      </c>
      <c r="R118" s="61" t="s">
        <v>10</v>
      </c>
      <c r="S118" s="61" t="s">
        <v>10</v>
      </c>
      <c r="T118" s="61" t="s">
        <v>10</v>
      </c>
      <c r="U118" s="61" t="s">
        <v>10</v>
      </c>
      <c r="V118" s="61" t="s">
        <v>10</v>
      </c>
      <c r="W118" s="61" t="s">
        <v>10</v>
      </c>
      <c r="X118" s="69" t="s">
        <v>10</v>
      </c>
      <c r="Y118" s="1" t="s">
        <v>10</v>
      </c>
    </row>
    <row r="119" spans="2:25" hidden="1" x14ac:dyDescent="0.2">
      <c r="B119" s="216" t="s">
        <v>10</v>
      </c>
      <c r="C119" s="217" t="s">
        <v>10</v>
      </c>
      <c r="D119" s="62" t="s">
        <v>10</v>
      </c>
      <c r="E119" s="61" t="s">
        <v>10</v>
      </c>
      <c r="F119" s="61" t="s">
        <v>10</v>
      </c>
      <c r="G119" s="62" t="s">
        <v>10</v>
      </c>
      <c r="H119" s="60" t="s">
        <v>10</v>
      </c>
      <c r="I119" s="62" t="s">
        <v>10</v>
      </c>
      <c r="J119" s="61" t="s">
        <v>10</v>
      </c>
      <c r="K119" s="68" t="s">
        <v>10</v>
      </c>
      <c r="L119" s="63" t="s">
        <v>10</v>
      </c>
      <c r="M119" s="61" t="s">
        <v>10</v>
      </c>
      <c r="N119" s="68" t="s">
        <v>10</v>
      </c>
      <c r="O119" s="52" t="s">
        <v>176</v>
      </c>
      <c r="P119" s="61" t="s">
        <v>10</v>
      </c>
      <c r="Q119" s="61" t="s">
        <v>10</v>
      </c>
      <c r="R119" s="61" t="s">
        <v>10</v>
      </c>
      <c r="S119" s="61" t="s">
        <v>10</v>
      </c>
      <c r="T119" s="61" t="s">
        <v>10</v>
      </c>
      <c r="U119" s="61" t="s">
        <v>10</v>
      </c>
      <c r="V119" s="61" t="s">
        <v>10</v>
      </c>
      <c r="W119" s="61" t="s">
        <v>10</v>
      </c>
      <c r="X119" s="69" t="s">
        <v>10</v>
      </c>
      <c r="Y119" s="1" t="s">
        <v>10</v>
      </c>
    </row>
    <row r="120" spans="2:25" hidden="1" x14ac:dyDescent="0.2">
      <c r="B120" s="216">
        <v>18</v>
      </c>
      <c r="C120" s="217">
        <v>17</v>
      </c>
      <c r="D120" s="58" t="s">
        <v>10</v>
      </c>
      <c r="E120" s="61">
        <f>IF(B120=0,cell_HGL,IF(VLOOKUP(B120,table_HGL_JCTS,17,FALSE)&lt;X120,X120,VLOOKUP(B120,table_HGL_JCTS,17,FALSE)))</f>
        <v>410.90391685290905</v>
      </c>
      <c r="F120" s="61">
        <f>IF(B120=0,(E120+K120),IF(VLOOKUP(B120,table_HGL_JCTS,13,FALSE)="T-INTERSECTION",(E120+K120),(IF(VLOOKUP(B120,table_HGL_JCTS,17,FALSE)&lt;X120,(E120+K120),VLOOKUP(B120,table_HGL_JCTS,18,FALSE)))))</f>
        <v>410.96588638310607</v>
      </c>
      <c r="G120" s="62">
        <f>VLOOKUP(C120,table_CIA_JCTS,18)</f>
        <v>18</v>
      </c>
      <c r="H120" s="60">
        <f>VLOOKUP(C120,table_CIA_JCTS,17)</f>
        <v>3.2649731722752176</v>
      </c>
      <c r="I120" s="62">
        <f>VLOOKUP(C120,table_CIA_JCTS,21)</f>
        <v>183</v>
      </c>
      <c r="J120" s="61">
        <f>H120/((G120/12)^2*3.1416/4)</f>
        <v>1.8475925486094658</v>
      </c>
      <c r="K120" s="61">
        <f>(J120^2)/64.4</f>
        <v>5.3006183628528276E-2</v>
      </c>
      <c r="L120" s="63">
        <f>(H120/((1.486/cell_NP)*((3.1416*(G120/12)^2)/4)*(G120/48)^(2/3)))^2</f>
        <v>9.6609492245108516E-4</v>
      </c>
      <c r="M120" s="61">
        <f>L120*I120</f>
        <v>0.1767953708085486</v>
      </c>
      <c r="N120" s="68" t="s">
        <v>10</v>
      </c>
      <c r="O120" s="52" t="s">
        <v>10</v>
      </c>
      <c r="P120" s="257" t="s">
        <v>10</v>
      </c>
      <c r="Q120" s="61">
        <f>SUM(P120)</f>
        <v>0</v>
      </c>
      <c r="R120" s="61">
        <f>Q120+M120</f>
        <v>0.1767953708085486</v>
      </c>
      <c r="S120" s="61">
        <f>IF(O120="T-INTERSECTION",T120,(T120-K120))</f>
        <v>411.08967557028609</v>
      </c>
      <c r="T120" s="61">
        <f>IF(O120="T-INTERSECTION",(R120+F120-K120),(R120+F120))</f>
        <v>411.14268175391464</v>
      </c>
      <c r="U120" s="61">
        <f>VLOOKUP(C120,table_CIA_JCTS,26)</f>
        <v>419.56</v>
      </c>
      <c r="V120" s="61">
        <f>U120-0.5-S120</f>
        <v>7.9703244297139122</v>
      </c>
      <c r="W120" s="61" t="s">
        <v>10</v>
      </c>
      <c r="X120" s="69">
        <f>IF(B120&gt;0,VLOOKUP(B120,table_CIA_JCTS,28)," ")</f>
        <v>410.28</v>
      </c>
      <c r="Y120" s="1">
        <v>7.9703244297139122</v>
      </c>
    </row>
    <row r="121" spans="2:25" hidden="1" x14ac:dyDescent="0.2">
      <c r="B121" s="216" t="s">
        <v>10</v>
      </c>
      <c r="C121" s="217" t="s">
        <v>10</v>
      </c>
      <c r="D121" s="62" t="s">
        <v>10</v>
      </c>
      <c r="E121" s="61" t="s">
        <v>10</v>
      </c>
      <c r="F121" s="61" t="s">
        <v>10</v>
      </c>
      <c r="G121" s="62" t="s">
        <v>10</v>
      </c>
      <c r="H121" s="60" t="s">
        <v>10</v>
      </c>
      <c r="I121" s="62" t="s">
        <v>10</v>
      </c>
      <c r="J121" s="61" t="s">
        <v>10</v>
      </c>
      <c r="K121" s="68" t="s">
        <v>10</v>
      </c>
      <c r="L121" s="63" t="s">
        <v>10</v>
      </c>
      <c r="M121" s="61" t="s">
        <v>10</v>
      </c>
      <c r="N121" s="68" t="s">
        <v>10</v>
      </c>
      <c r="O121" s="52" t="s">
        <v>176</v>
      </c>
      <c r="P121" s="61" t="s">
        <v>10</v>
      </c>
      <c r="Q121" s="61" t="s">
        <v>10</v>
      </c>
      <c r="R121" s="61" t="s">
        <v>10</v>
      </c>
      <c r="S121" s="61" t="s">
        <v>10</v>
      </c>
      <c r="T121" s="61" t="s">
        <v>10</v>
      </c>
      <c r="U121" s="61" t="s">
        <v>10</v>
      </c>
      <c r="V121" s="61" t="s">
        <v>10</v>
      </c>
      <c r="W121" s="61" t="s">
        <v>10</v>
      </c>
      <c r="X121" s="69" t="s">
        <v>10</v>
      </c>
      <c r="Y121" s="1" t="s">
        <v>10</v>
      </c>
    </row>
    <row r="122" spans="2:25" hidden="1" x14ac:dyDescent="0.2">
      <c r="B122" s="216" t="s">
        <v>10</v>
      </c>
      <c r="C122" s="217" t="s">
        <v>10</v>
      </c>
      <c r="D122" s="62" t="s">
        <v>10</v>
      </c>
      <c r="E122" s="61" t="s">
        <v>10</v>
      </c>
      <c r="F122" s="61" t="s">
        <v>10</v>
      </c>
      <c r="G122" s="62" t="s">
        <v>10</v>
      </c>
      <c r="H122" s="60" t="s">
        <v>10</v>
      </c>
      <c r="I122" s="62" t="s">
        <v>10</v>
      </c>
      <c r="J122" s="61" t="s">
        <v>10</v>
      </c>
      <c r="K122" s="68" t="s">
        <v>10</v>
      </c>
      <c r="L122" s="63" t="s">
        <v>10</v>
      </c>
      <c r="M122" s="61" t="s">
        <v>10</v>
      </c>
      <c r="N122" s="68" t="s">
        <v>10</v>
      </c>
      <c r="O122" s="52" t="s">
        <v>176</v>
      </c>
      <c r="P122" s="61" t="s">
        <v>10</v>
      </c>
      <c r="Q122" s="61" t="s">
        <v>10</v>
      </c>
      <c r="R122" s="61" t="s">
        <v>10</v>
      </c>
      <c r="S122" s="61" t="s">
        <v>10</v>
      </c>
      <c r="T122" s="61" t="s">
        <v>10</v>
      </c>
      <c r="U122" s="61" t="s">
        <v>10</v>
      </c>
      <c r="V122" s="61" t="s">
        <v>10</v>
      </c>
      <c r="W122" s="61" t="s">
        <v>10</v>
      </c>
      <c r="X122" s="69" t="s">
        <v>10</v>
      </c>
      <c r="Y122" s="1" t="s">
        <v>10</v>
      </c>
    </row>
    <row r="123" spans="2:25" hidden="1" x14ac:dyDescent="0.2">
      <c r="B123" s="216">
        <v>20</v>
      </c>
      <c r="C123" s="217">
        <v>19</v>
      </c>
      <c r="D123" s="58" t="s">
        <v>10</v>
      </c>
      <c r="E123" s="61">
        <f>IF(B123=0,cell_HGL,IF(VLOOKUP(B123,table_HGL_JCTS,17,FALSE)&lt;X123,X123,VLOOKUP(B123,table_HGL_JCTS,17,FALSE)))</f>
        <v>410.63818848827924</v>
      </c>
      <c r="F123" s="61">
        <f>IF(B123=0,(E123+K123),IF(VLOOKUP(B123,table_HGL_JCTS,13,FALSE)="T-INTERSECTION",(E123+K123),(IF(VLOOKUP(B123,table_HGL_JCTS,17,FALSE)&lt;X123,(E123+K123),VLOOKUP(B123,table_HGL_JCTS,18,FALSE)))))</f>
        <v>410.74239250278958</v>
      </c>
      <c r="G123" s="62">
        <f>VLOOKUP(C123,table_CIA_JCTS,18)</f>
        <v>18</v>
      </c>
      <c r="H123" s="60">
        <f>VLOOKUP(C123,table_CIA_JCTS,17)</f>
        <v>2.3707620925210788</v>
      </c>
      <c r="I123" s="62">
        <f>VLOOKUP(C123,table_CIA_JCTS,21)</f>
        <v>72</v>
      </c>
      <c r="J123" s="61">
        <f>H123/((G123/12)^2*3.1416/4)</f>
        <v>1.3415737727533479</v>
      </c>
      <c r="K123" s="61">
        <f>(J123^2)/64.4</f>
        <v>2.7947518443162289E-2</v>
      </c>
      <c r="L123" s="63">
        <f>(H123/((1.486/cell_NP)*((3.1416*(G123/12)^2)/4)*(G123/48)^(2/3)))^2</f>
        <v>5.0937369594960982E-4</v>
      </c>
      <c r="M123" s="61">
        <f>L123*I123</f>
        <v>3.6674906108371909E-2</v>
      </c>
      <c r="N123" s="68" t="s">
        <v>10</v>
      </c>
      <c r="O123" s="52" t="s">
        <v>10</v>
      </c>
      <c r="P123" s="257" t="s">
        <v>10</v>
      </c>
      <c r="Q123" s="61">
        <f>SUM(P123)</f>
        <v>0</v>
      </c>
      <c r="R123" s="61">
        <f>Q123+M123</f>
        <v>3.6674906108371909E-2</v>
      </c>
      <c r="S123" s="61">
        <f>IF(O123="T-INTERSECTION",T123,(T123-K123))</f>
        <v>410.75111989045479</v>
      </c>
      <c r="T123" s="61">
        <f>IF(O123="T-INTERSECTION",(R123+F123-K123),(R123+F123))</f>
        <v>410.77906740889796</v>
      </c>
      <c r="U123" s="61">
        <f>VLOOKUP(C123,table_CIA_JCTS,26)</f>
        <v>414.36</v>
      </c>
      <c r="V123" s="61">
        <f>U123-0.5-S123</f>
        <v>3.1088801095452254</v>
      </c>
      <c r="W123" s="61" t="s">
        <v>10</v>
      </c>
      <c r="X123" s="69">
        <f>IF(B123&gt;0,VLOOKUP(B123,table_CIA_JCTS,28)," ")</f>
        <v>409.23</v>
      </c>
      <c r="Y123" s="1">
        <v>3.1088801095452254</v>
      </c>
    </row>
    <row r="124" spans="2:25" hidden="1" x14ac:dyDescent="0.2">
      <c r="B124" s="216" t="s">
        <v>10</v>
      </c>
      <c r="C124" s="217" t="s">
        <v>10</v>
      </c>
      <c r="D124" s="62" t="s">
        <v>10</v>
      </c>
      <c r="E124" s="61" t="s">
        <v>10</v>
      </c>
      <c r="F124" s="61" t="s">
        <v>10</v>
      </c>
      <c r="G124" s="62" t="s">
        <v>10</v>
      </c>
      <c r="H124" s="60" t="s">
        <v>10</v>
      </c>
      <c r="I124" s="62" t="s">
        <v>10</v>
      </c>
      <c r="J124" s="61" t="s">
        <v>10</v>
      </c>
      <c r="K124" s="68" t="s">
        <v>10</v>
      </c>
      <c r="L124" s="63" t="s">
        <v>10</v>
      </c>
      <c r="M124" s="61" t="s">
        <v>10</v>
      </c>
      <c r="N124" s="68" t="s">
        <v>10</v>
      </c>
      <c r="O124" s="52" t="s">
        <v>176</v>
      </c>
      <c r="P124" s="61" t="s">
        <v>10</v>
      </c>
      <c r="Q124" s="61" t="s">
        <v>10</v>
      </c>
      <c r="R124" s="61" t="s">
        <v>10</v>
      </c>
      <c r="S124" s="61" t="s">
        <v>10</v>
      </c>
      <c r="T124" s="61" t="s">
        <v>10</v>
      </c>
      <c r="U124" s="61" t="s">
        <v>10</v>
      </c>
      <c r="V124" s="61" t="s">
        <v>10</v>
      </c>
      <c r="W124" s="61" t="s">
        <v>10</v>
      </c>
      <c r="X124" s="69" t="s">
        <v>10</v>
      </c>
      <c r="Y124" s="1" t="s">
        <v>10</v>
      </c>
    </row>
    <row r="125" spans="2:25" hidden="1" x14ac:dyDescent="0.2">
      <c r="B125" s="216" t="s">
        <v>10</v>
      </c>
      <c r="C125" s="217" t="s">
        <v>10</v>
      </c>
      <c r="D125" s="62" t="s">
        <v>10</v>
      </c>
      <c r="E125" s="61" t="s">
        <v>10</v>
      </c>
      <c r="F125" s="61" t="s">
        <v>10</v>
      </c>
      <c r="G125" s="62" t="s">
        <v>10</v>
      </c>
      <c r="H125" s="60" t="s">
        <v>10</v>
      </c>
      <c r="I125" s="62" t="s">
        <v>10</v>
      </c>
      <c r="J125" s="61" t="s">
        <v>10</v>
      </c>
      <c r="K125" s="68" t="s">
        <v>10</v>
      </c>
      <c r="L125" s="63" t="s">
        <v>10</v>
      </c>
      <c r="M125" s="61" t="s">
        <v>10</v>
      </c>
      <c r="N125" s="68" t="s">
        <v>10</v>
      </c>
      <c r="O125" s="52" t="s">
        <v>176</v>
      </c>
      <c r="P125" s="61" t="s">
        <v>10</v>
      </c>
      <c r="Q125" s="61" t="s">
        <v>10</v>
      </c>
      <c r="R125" s="61" t="s">
        <v>10</v>
      </c>
      <c r="S125" s="61" t="s">
        <v>10</v>
      </c>
      <c r="T125" s="61" t="s">
        <v>10</v>
      </c>
      <c r="U125" s="61" t="s">
        <v>10</v>
      </c>
      <c r="V125" s="61" t="s">
        <v>10</v>
      </c>
      <c r="W125" s="61" t="s">
        <v>10</v>
      </c>
      <c r="X125" s="69" t="s">
        <v>10</v>
      </c>
      <c r="Y125" s="1" t="s">
        <v>10</v>
      </c>
    </row>
    <row r="126" spans="2:25" hidden="1" x14ac:dyDescent="0.2">
      <c r="B126" s="216">
        <v>23</v>
      </c>
      <c r="C126" s="217">
        <v>22</v>
      </c>
      <c r="D126" s="58" t="s">
        <v>10</v>
      </c>
      <c r="E126" s="61">
        <f>IF(B126=0,cell_HGL,IF(VLOOKUP(B126,table_HGL_JCTS,17,FALSE)&lt;X126,X126,VLOOKUP(B126,table_HGL_JCTS,17,FALSE)))</f>
        <v>409.59791348446993</v>
      </c>
      <c r="F126" s="61">
        <f>IF(B126=0,(E126+K126),IF(VLOOKUP(B126,table_HGL_JCTS,13,FALSE)="T-INTERSECTION",(E126+K126),(IF(VLOOKUP(B126,table_HGL_JCTS,17,FALSE)&lt;X126,(E126+K126),VLOOKUP(B126,table_HGL_JCTS,18,FALSE)))))</f>
        <v>409.66338896890613</v>
      </c>
      <c r="G126" s="62">
        <f>VLOOKUP(C126,table_CIA_JCTS,18)</f>
        <v>24</v>
      </c>
      <c r="H126" s="60">
        <f>VLOOKUP(C126,table_CIA_JCTS,17)</f>
        <v>2.0786800479202303</v>
      </c>
      <c r="I126" s="62">
        <f>VLOOKUP(C126,table_CIA_JCTS,21)</f>
        <v>146</v>
      </c>
      <c r="J126" s="61">
        <f>H126/((G126/12)^2*3.1416/4)</f>
        <v>0.66166286221041204</v>
      </c>
      <c r="K126" s="61">
        <f>(J126^2)/64.4</f>
        <v>6.7981016029266253E-3</v>
      </c>
      <c r="L126" s="63">
        <f>(H126/((1.486/cell_NP)*((3.1416*(G126/12)^2)/4)*(G126/48)^(2/3)))^2</f>
        <v>8.442983330919392E-5</v>
      </c>
      <c r="M126" s="61">
        <f>L126*I126</f>
        <v>1.2326755663142312E-2</v>
      </c>
      <c r="N126" s="68" t="s">
        <v>10</v>
      </c>
      <c r="O126" s="52" t="s">
        <v>10</v>
      </c>
      <c r="P126" s="257" t="s">
        <v>10</v>
      </c>
      <c r="Q126" s="61">
        <f>SUM(P126)</f>
        <v>0</v>
      </c>
      <c r="R126" s="61">
        <f>Q126+M126</f>
        <v>1.2326755663142312E-2</v>
      </c>
      <c r="S126" s="61">
        <f>IF(O126="T-INTERSECTION",T126,(T126-K126))</f>
        <v>409.66891762296632</v>
      </c>
      <c r="T126" s="61">
        <f>IF(O126="T-INTERSECTION",(R126+F126-K126),(R126+F126))</f>
        <v>409.67571572456927</v>
      </c>
      <c r="U126" s="61">
        <f>VLOOKUP(C126,table_CIA_JCTS,26)</f>
        <v>415.05</v>
      </c>
      <c r="V126" s="61">
        <f>U126-0.5-S126</f>
        <v>4.8810823770336924</v>
      </c>
      <c r="W126" s="61" t="s">
        <v>10</v>
      </c>
      <c r="X126" s="69">
        <f>IF(B126&gt;0,VLOOKUP(B126,table_CIA_JCTS,28)," ")</f>
        <v>407.69</v>
      </c>
      <c r="Y126" s="1">
        <v>4.8810823770336924</v>
      </c>
    </row>
    <row r="127" spans="2:25" hidden="1" x14ac:dyDescent="0.2">
      <c r="B127" s="216" t="s">
        <v>10</v>
      </c>
      <c r="C127" s="217" t="s">
        <v>10</v>
      </c>
      <c r="D127" s="62" t="s">
        <v>10</v>
      </c>
      <c r="E127" s="61" t="s">
        <v>10</v>
      </c>
      <c r="F127" s="61" t="s">
        <v>10</v>
      </c>
      <c r="G127" s="62" t="s">
        <v>10</v>
      </c>
      <c r="H127" s="60" t="s">
        <v>10</v>
      </c>
      <c r="I127" s="62" t="s">
        <v>10</v>
      </c>
      <c r="J127" s="61" t="s">
        <v>10</v>
      </c>
      <c r="K127" s="68" t="s">
        <v>10</v>
      </c>
      <c r="L127" s="63" t="s">
        <v>10</v>
      </c>
      <c r="M127" s="61" t="s">
        <v>10</v>
      </c>
      <c r="N127" s="68" t="s">
        <v>10</v>
      </c>
      <c r="O127" s="52" t="s">
        <v>176</v>
      </c>
      <c r="P127" s="61" t="s">
        <v>10</v>
      </c>
      <c r="Q127" s="61" t="s">
        <v>10</v>
      </c>
      <c r="R127" s="61" t="s">
        <v>10</v>
      </c>
      <c r="S127" s="61" t="s">
        <v>10</v>
      </c>
      <c r="T127" s="61" t="s">
        <v>10</v>
      </c>
      <c r="U127" s="61" t="s">
        <v>10</v>
      </c>
      <c r="V127" s="61" t="s">
        <v>10</v>
      </c>
      <c r="W127" s="61" t="s">
        <v>10</v>
      </c>
      <c r="X127" s="69" t="s">
        <v>10</v>
      </c>
      <c r="Y127" s="1" t="s">
        <v>10</v>
      </c>
    </row>
    <row r="128" spans="2:25" hidden="1" x14ac:dyDescent="0.2">
      <c r="B128" s="216" t="s">
        <v>10</v>
      </c>
      <c r="C128" s="217" t="s">
        <v>10</v>
      </c>
      <c r="D128" s="62" t="s">
        <v>10</v>
      </c>
      <c r="E128" s="61" t="s">
        <v>10</v>
      </c>
      <c r="F128" s="61" t="s">
        <v>10</v>
      </c>
      <c r="G128" s="62" t="s">
        <v>10</v>
      </c>
      <c r="H128" s="60" t="s">
        <v>10</v>
      </c>
      <c r="I128" s="62" t="s">
        <v>10</v>
      </c>
      <c r="J128" s="61" t="s">
        <v>10</v>
      </c>
      <c r="K128" s="68" t="s">
        <v>10</v>
      </c>
      <c r="L128" s="63" t="s">
        <v>10</v>
      </c>
      <c r="M128" s="61" t="s">
        <v>10</v>
      </c>
      <c r="N128" s="68" t="s">
        <v>10</v>
      </c>
      <c r="O128" s="52" t="s">
        <v>176</v>
      </c>
      <c r="P128" s="61" t="s">
        <v>10</v>
      </c>
      <c r="Q128" s="61" t="s">
        <v>10</v>
      </c>
      <c r="R128" s="61" t="s">
        <v>10</v>
      </c>
      <c r="S128" s="61" t="s">
        <v>10</v>
      </c>
      <c r="T128" s="61" t="s">
        <v>10</v>
      </c>
      <c r="U128" s="61" t="s">
        <v>10</v>
      </c>
      <c r="V128" s="61" t="s">
        <v>10</v>
      </c>
      <c r="W128" s="61" t="s">
        <v>10</v>
      </c>
      <c r="X128" s="69" t="s">
        <v>10</v>
      </c>
      <c r="Y128" s="1" t="s">
        <v>10</v>
      </c>
    </row>
    <row r="129" spans="2:25" hidden="1" x14ac:dyDescent="0.2">
      <c r="B129" s="216">
        <v>25</v>
      </c>
      <c r="C129" s="217">
        <v>24</v>
      </c>
      <c r="D129" s="58" t="s">
        <v>10</v>
      </c>
      <c r="E129" s="61">
        <f>IF(B129=0,cell_HGL,IF(VLOOKUP(B129,table_HGL_JCTS,17,FALSE)&lt;X129,X129,VLOOKUP(B129,table_HGL_JCTS,17,FALSE)))</f>
        <v>409.47567807599205</v>
      </c>
      <c r="F129" s="61">
        <f>IF(B129=0,(E129+K129),IF(VLOOKUP(B129,table_HGL_JCTS,13,FALSE)="T-INTERSECTION",(E129+K129),(IF(VLOOKUP(B129,table_HGL_JCTS,17,FALSE)&lt;X129,(E129+K129),VLOOKUP(B129,table_HGL_JCTS,18,FALSE)))))</f>
        <v>409.54543638900213</v>
      </c>
      <c r="G129" s="62">
        <f>VLOOKUP(C129,table_CIA_JCTS,18)</f>
        <v>24</v>
      </c>
      <c r="H129" s="60">
        <f>VLOOKUP(C129,table_CIA_JCTS,17)</f>
        <v>0.72270475630598219</v>
      </c>
      <c r="I129" s="62">
        <f>VLOOKUP(C129,table_CIA_JCTS,21)</f>
        <v>73</v>
      </c>
      <c r="J129" s="61">
        <f>H129/((G129/12)^2*3.1416/4)</f>
        <v>0.2300435307823982</v>
      </c>
      <c r="K129" s="61">
        <f>(J129^2)/64.4</f>
        <v>8.2173953501292214E-4</v>
      </c>
      <c r="L129" s="63">
        <f>(H129/((1.486/cell_NP)*((3.1416*(G129/12)^2)/4)*(G129/48)^(2/3)))^2</f>
        <v>1.0205692120701359E-5</v>
      </c>
      <c r="M129" s="61">
        <f>L129*I129</f>
        <v>7.4501552481119919E-4</v>
      </c>
      <c r="N129" s="68" t="s">
        <v>10</v>
      </c>
      <c r="O129" s="52" t="s">
        <v>10</v>
      </c>
      <c r="P129" s="257" t="s">
        <v>10</v>
      </c>
      <c r="Q129" s="61">
        <f>SUM(P129)</f>
        <v>0</v>
      </c>
      <c r="R129" s="61">
        <f>Q129+M129</f>
        <v>7.4501552481119919E-4</v>
      </c>
      <c r="S129" s="61">
        <f>IF(O129="T-INTERSECTION",T129,(T129-K129))</f>
        <v>409.54535966499191</v>
      </c>
      <c r="T129" s="61">
        <f>IF(O129="T-INTERSECTION",(R129+F129-K129),(R129+F129))</f>
        <v>409.54618140452692</v>
      </c>
      <c r="U129" s="61">
        <f>VLOOKUP(C129,table_CIA_JCTS,26)</f>
        <v>413.15</v>
      </c>
      <c r="V129" s="61">
        <f>U129-0.5-S129</f>
        <v>3.1046403350080709</v>
      </c>
      <c r="W129" s="61" t="s">
        <v>10</v>
      </c>
      <c r="X129" s="69">
        <f>IF(B129&gt;0,VLOOKUP(B129,table_CIA_JCTS,28)," ")</f>
        <v>407.38</v>
      </c>
      <c r="Y129" s="1">
        <v>3.1046403350080709</v>
      </c>
    </row>
    <row r="130" spans="2:25" hidden="1" x14ac:dyDescent="0.2">
      <c r="B130" s="216" t="s">
        <v>10</v>
      </c>
      <c r="C130" s="217" t="s">
        <v>10</v>
      </c>
      <c r="D130" s="62" t="s">
        <v>10</v>
      </c>
      <c r="E130" s="61" t="s">
        <v>10</v>
      </c>
      <c r="F130" s="61" t="s">
        <v>10</v>
      </c>
      <c r="G130" s="62" t="s">
        <v>10</v>
      </c>
      <c r="H130" s="60" t="s">
        <v>10</v>
      </c>
      <c r="I130" s="62" t="s">
        <v>10</v>
      </c>
      <c r="J130" s="61" t="s">
        <v>10</v>
      </c>
      <c r="K130" s="68" t="s">
        <v>10</v>
      </c>
      <c r="L130" s="63" t="s">
        <v>10</v>
      </c>
      <c r="M130" s="61" t="s">
        <v>10</v>
      </c>
      <c r="N130" s="68" t="s">
        <v>10</v>
      </c>
      <c r="O130" s="52" t="s">
        <v>176</v>
      </c>
      <c r="P130" s="61" t="s">
        <v>10</v>
      </c>
      <c r="Q130" s="61" t="s">
        <v>10</v>
      </c>
      <c r="R130" s="61" t="s">
        <v>10</v>
      </c>
      <c r="S130" s="61" t="s">
        <v>10</v>
      </c>
      <c r="T130" s="61" t="s">
        <v>10</v>
      </c>
      <c r="U130" s="61" t="s">
        <v>10</v>
      </c>
      <c r="V130" s="61" t="s">
        <v>10</v>
      </c>
      <c r="W130" s="61" t="s">
        <v>10</v>
      </c>
      <c r="X130" s="69" t="s">
        <v>10</v>
      </c>
      <c r="Y130" s="1" t="s">
        <v>10</v>
      </c>
    </row>
    <row r="131" spans="2:25" hidden="1" x14ac:dyDescent="0.2">
      <c r="B131" s="216" t="s">
        <v>10</v>
      </c>
      <c r="C131" s="217" t="s">
        <v>10</v>
      </c>
      <c r="D131" s="62" t="s">
        <v>10</v>
      </c>
      <c r="E131" s="61" t="s">
        <v>10</v>
      </c>
      <c r="F131" s="61" t="s">
        <v>10</v>
      </c>
      <c r="G131" s="62" t="s">
        <v>10</v>
      </c>
      <c r="H131" s="60" t="s">
        <v>10</v>
      </c>
      <c r="I131" s="62" t="s">
        <v>10</v>
      </c>
      <c r="J131" s="61" t="s">
        <v>10</v>
      </c>
      <c r="K131" s="68" t="s">
        <v>10</v>
      </c>
      <c r="L131" s="63" t="s">
        <v>10</v>
      </c>
      <c r="M131" s="61" t="s">
        <v>10</v>
      </c>
      <c r="N131" s="68" t="s">
        <v>10</v>
      </c>
      <c r="O131" s="52" t="s">
        <v>176</v>
      </c>
      <c r="P131" s="61" t="s">
        <v>10</v>
      </c>
      <c r="Q131" s="61" t="s">
        <v>10</v>
      </c>
      <c r="R131" s="61" t="s">
        <v>10</v>
      </c>
      <c r="S131" s="61" t="s">
        <v>10</v>
      </c>
      <c r="T131" s="61" t="s">
        <v>10</v>
      </c>
      <c r="U131" s="61" t="s">
        <v>10</v>
      </c>
      <c r="V131" s="61" t="s">
        <v>10</v>
      </c>
      <c r="W131" s="61" t="s">
        <v>10</v>
      </c>
      <c r="X131" s="69" t="s">
        <v>10</v>
      </c>
      <c r="Y131" s="1" t="s">
        <v>10</v>
      </c>
    </row>
    <row r="132" spans="2:25" hidden="1" x14ac:dyDescent="0.2">
      <c r="B132" s="216">
        <v>29</v>
      </c>
      <c r="C132" s="217">
        <v>28</v>
      </c>
      <c r="D132" s="58" t="s">
        <v>10</v>
      </c>
      <c r="E132" s="61">
        <f>IF(B132=0,cell_HGL,IF(VLOOKUP(B132,table_HGL_JCTS,17,FALSE)&lt;X132,X132,VLOOKUP(B132,table_HGL_JCTS,17,FALSE)))</f>
        <v>408.81985354172213</v>
      </c>
      <c r="F132" s="61">
        <f>IF(B132=0,(E132+K132),IF(VLOOKUP(B132,table_HGL_JCTS,13,FALSE)="T-INTERSECTION",(E132+K132),(IF(VLOOKUP(B132,table_HGL_JCTS,17,FALSE)&lt;X132,(E132+K132),VLOOKUP(B132,table_HGL_JCTS,18,FALSE)))))</f>
        <v>409.2188015840149</v>
      </c>
      <c r="G132" s="62">
        <f>VLOOKUP(C132,table_CIA_JCTS,18)</f>
        <v>24</v>
      </c>
      <c r="H132" s="60">
        <f>VLOOKUP(C132,table_CIA_JCTS,17)</f>
        <v>8.7631878290668546</v>
      </c>
      <c r="I132" s="62">
        <f>VLOOKUP(C132,table_CIA_JCTS,21)</f>
        <v>113</v>
      </c>
      <c r="J132" s="61">
        <f>H132/((G132/12)^2*3.1416/4)</f>
        <v>2.7894027976403279</v>
      </c>
      <c r="K132" s="61">
        <f>(J132^2)/64.4</f>
        <v>0.1208193783770759</v>
      </c>
      <c r="L132" s="63">
        <f>(H132/((1.486/cell_NP)*((3.1416*(G132/12)^2)/4)*(G132/48)^(2/3)))^2</f>
        <v>1.5005306735200096E-3</v>
      </c>
      <c r="M132" s="61">
        <f>L132*I132</f>
        <v>0.16955996610776108</v>
      </c>
      <c r="N132" s="68" t="s">
        <v>10</v>
      </c>
      <c r="O132" s="72" t="s">
        <v>130</v>
      </c>
      <c r="P132" s="61">
        <f>IF(ISBLANK(O132)=FALSE,(VLOOKUP(O132,table_MINOR,2,FALSE))*(K132)," ")</f>
        <v>3.6245813513122768E-2</v>
      </c>
      <c r="Q132" s="61">
        <f>SUM(P132:P133)</f>
        <v>3.6245813513122768E-2</v>
      </c>
      <c r="R132" s="61">
        <f>Q132+M132</f>
        <v>0.20580577962088387</v>
      </c>
      <c r="S132" s="61">
        <f>IF(O132="T-INTERSECTION",T132,(T132-K132))</f>
        <v>409.30378798525874</v>
      </c>
      <c r="T132" s="61">
        <f>IF(O132="T-INTERSECTION",(R132+F132-K132),(R132+F132))</f>
        <v>409.4246073636358</v>
      </c>
      <c r="U132" s="61">
        <f>VLOOKUP(C132,table_CIA_JCTS,26)</f>
        <v>414.17</v>
      </c>
      <c r="V132" s="61">
        <f>U132-0.5-S132</f>
        <v>4.3662120147412793</v>
      </c>
      <c r="W132" s="61" t="s">
        <v>10</v>
      </c>
      <c r="X132" s="69">
        <f>IF(B132&gt;0,VLOOKUP(B132,table_CIA_JCTS,28)," ")</f>
        <v>406.04</v>
      </c>
      <c r="Y132" s="1">
        <v>4.3662120147412793</v>
      </c>
    </row>
    <row r="133" spans="2:25" hidden="1" x14ac:dyDescent="0.2">
      <c r="B133" s="216" t="s">
        <v>10</v>
      </c>
      <c r="C133" s="217" t="s">
        <v>10</v>
      </c>
      <c r="D133" s="62" t="s">
        <v>10</v>
      </c>
      <c r="E133" s="61" t="s">
        <v>10</v>
      </c>
      <c r="F133" s="61" t="s">
        <v>10</v>
      </c>
      <c r="G133" s="62" t="s">
        <v>10</v>
      </c>
      <c r="H133" s="60" t="s">
        <v>10</v>
      </c>
      <c r="I133" s="62" t="s">
        <v>10</v>
      </c>
      <c r="J133" s="61" t="s">
        <v>10</v>
      </c>
      <c r="K133" s="68">
        <f>K132</f>
        <v>0.1208193783770759</v>
      </c>
      <c r="L133" s="63" t="s">
        <v>10</v>
      </c>
      <c r="M133" s="61" t="s">
        <v>10</v>
      </c>
      <c r="N133" s="68" t="s">
        <v>10</v>
      </c>
      <c r="O133" s="52" t="s">
        <v>10</v>
      </c>
      <c r="P133" s="257" t="s">
        <v>10</v>
      </c>
      <c r="Q133" s="61" t="s">
        <v>10</v>
      </c>
      <c r="R133" s="61" t="s">
        <v>10</v>
      </c>
      <c r="S133" s="61" t="s">
        <v>10</v>
      </c>
      <c r="T133" s="61" t="s">
        <v>10</v>
      </c>
      <c r="U133" s="61" t="s">
        <v>10</v>
      </c>
      <c r="V133" s="61" t="s">
        <v>10</v>
      </c>
      <c r="W133" s="61" t="s">
        <v>10</v>
      </c>
      <c r="X133" s="69" t="s">
        <v>10</v>
      </c>
      <c r="Y133" s="1" t="s">
        <v>10</v>
      </c>
    </row>
    <row r="134" spans="2:25" hidden="1" x14ac:dyDescent="0.2">
      <c r="B134" s="216">
        <v>28</v>
      </c>
      <c r="C134" s="217">
        <v>27.1</v>
      </c>
      <c r="D134" s="58" t="s">
        <v>10</v>
      </c>
      <c r="E134" s="61">
        <f>IF(B134=0,cell_HGL,IF(VLOOKUP(B134,table_HGL_JCTS,17,FALSE)&lt;X134,X134,VLOOKUP(B134,table_HGL_JCTS,17,FALSE)))</f>
        <v>409.30378798525874</v>
      </c>
      <c r="F134" s="61">
        <f>IF(B134=0,(E134+K134),IF(VLOOKUP(B134,table_HGL_JCTS,13,FALSE)="T-INTERSECTION",(E134+K134),(IF(VLOOKUP(B134,table_HGL_JCTS,17,FALSE)&lt;X134,(E134+K134),VLOOKUP(B134,table_HGL_JCTS,18,FALSE)))))</f>
        <v>409.4246073636358</v>
      </c>
      <c r="G134" s="62">
        <f>VLOOKUP(C134,table_CIA_JCTS,18)</f>
        <v>24</v>
      </c>
      <c r="H134" s="60">
        <f>VLOOKUP(C134,table_CIA_JCTS,17)</f>
        <v>8.0492373081629616</v>
      </c>
      <c r="I134" s="62">
        <f>VLOOKUP(C134,table_CIA_JCTS,21)</f>
        <v>350</v>
      </c>
      <c r="J134" s="61">
        <f>H134/((G134/12)^2*3.1416/4)</f>
        <v>2.5621458200162217</v>
      </c>
      <c r="K134" s="61">
        <f>(J134^2)/64.4</f>
        <v>0.10193464600972976</v>
      </c>
      <c r="L134" s="63">
        <f>(H134/((1.486/cell_NP)*((3.1416*(G134/12)^2)/4)*(G134/48)^(2/3)))^2</f>
        <v>1.2659894884960376E-3</v>
      </c>
      <c r="M134" s="61">
        <f>L134*I134</f>
        <v>0.44309632097361318</v>
      </c>
      <c r="N134" s="68" t="s">
        <v>10</v>
      </c>
      <c r="O134" s="72" t="s">
        <v>130</v>
      </c>
      <c r="P134" s="61">
        <f>IF(ISBLANK(O134)=FALSE,(VLOOKUP(O134,table_MINOR,2,FALSE))*(K134)," ")</f>
        <v>3.0580393802918927E-2</v>
      </c>
      <c r="Q134" s="61">
        <f>SUM(P134:P135)</f>
        <v>3.0580393802918927E-2</v>
      </c>
      <c r="R134" s="61">
        <f>Q134+M134</f>
        <v>0.47367671477653212</v>
      </c>
      <c r="S134" s="61">
        <f>IF(O134="T-INTERSECTION",T134,(T134-K134))</f>
        <v>409.79634943240262</v>
      </c>
      <c r="T134" s="61">
        <f>IF(O134="T-INTERSECTION",(R134+F134-K134),(R134+F134))</f>
        <v>409.89828407841236</v>
      </c>
      <c r="U134" s="61">
        <f>VLOOKUP(C134,table_CIA_JCTS,26)</f>
        <v>414.52</v>
      </c>
      <c r="V134" s="61">
        <f>U134-0.5-S134</f>
        <v>4.2236505675973604</v>
      </c>
      <c r="W134" s="61" t="s">
        <v>10</v>
      </c>
      <c r="X134" s="69">
        <f>IF(B134&gt;0,VLOOKUP(B134,table_CIA_JCTS,28)," ")</f>
        <v>405.85</v>
      </c>
      <c r="Y134" s="1">
        <v>4.2236505675973604</v>
      </c>
    </row>
    <row r="135" spans="2:25" hidden="1" x14ac:dyDescent="0.2">
      <c r="B135" s="216" t="s">
        <v>10</v>
      </c>
      <c r="C135" s="217" t="s">
        <v>10</v>
      </c>
      <c r="D135" s="62" t="s">
        <v>10</v>
      </c>
      <c r="E135" s="61" t="s">
        <v>10</v>
      </c>
      <c r="F135" s="61" t="s">
        <v>10</v>
      </c>
      <c r="G135" s="62" t="s">
        <v>10</v>
      </c>
      <c r="H135" s="60" t="s">
        <v>10</v>
      </c>
      <c r="I135" s="62" t="s">
        <v>10</v>
      </c>
      <c r="J135" s="61" t="s">
        <v>10</v>
      </c>
      <c r="K135" s="68">
        <f>K134</f>
        <v>0.10193464600972976</v>
      </c>
      <c r="L135" s="63" t="s">
        <v>10</v>
      </c>
      <c r="M135" s="61" t="s">
        <v>10</v>
      </c>
      <c r="N135" s="68" t="s">
        <v>10</v>
      </c>
      <c r="O135" s="52" t="s">
        <v>10</v>
      </c>
      <c r="P135" s="257" t="s">
        <v>10</v>
      </c>
      <c r="Q135" s="61" t="s">
        <v>10</v>
      </c>
      <c r="R135" s="61" t="s">
        <v>10</v>
      </c>
      <c r="S135" s="61" t="s">
        <v>10</v>
      </c>
      <c r="T135" s="61" t="s">
        <v>10</v>
      </c>
      <c r="U135" s="61" t="s">
        <v>10</v>
      </c>
      <c r="V135" s="61" t="s">
        <v>10</v>
      </c>
      <c r="W135" s="61" t="s">
        <v>10</v>
      </c>
      <c r="X135" s="69" t="s">
        <v>10</v>
      </c>
      <c r="Y135" s="1" t="s">
        <v>10</v>
      </c>
    </row>
    <row r="136" spans="2:25" hidden="1" x14ac:dyDescent="0.2">
      <c r="B136" s="216">
        <v>27.1</v>
      </c>
      <c r="C136" s="217">
        <v>27</v>
      </c>
      <c r="D136" s="58" t="s">
        <v>10</v>
      </c>
      <c r="E136" s="61">
        <f>IF(B136=0,cell_HGL,IF(VLOOKUP(B136,table_HGL_JCTS,17,FALSE)&lt;X136,X136,VLOOKUP(B136,table_HGL_JCTS,17,FALSE)))</f>
        <v>409.79634943240262</v>
      </c>
      <c r="F136" s="61">
        <f>IF(B136=0,(E136+K136),IF(VLOOKUP(B136,table_HGL_JCTS,13,FALSE)="T-INTERSECTION",(E136+K136),(IF(VLOOKUP(B136,table_HGL_JCTS,17,FALSE)&lt;X136,(E136+K136),VLOOKUP(B136,table_HGL_JCTS,18,FALSE)))))</f>
        <v>409.89828407841236</v>
      </c>
      <c r="G136" s="62">
        <f>VLOOKUP(C136,table_CIA_JCTS,18)</f>
        <v>24</v>
      </c>
      <c r="H136" s="60">
        <f>VLOOKUP(C136,table_CIA_JCTS,17)</f>
        <v>4.6021929909136947</v>
      </c>
      <c r="I136" s="62">
        <f>VLOOKUP(C136,table_CIA_JCTS,21)</f>
        <v>176</v>
      </c>
      <c r="J136" s="61">
        <f>H136/((G136/12)^2*3.1416/4)</f>
        <v>1.4649201015131446</v>
      </c>
      <c r="K136" s="61">
        <f>(J136^2)/64.4</f>
        <v>3.3322840121386359E-2</v>
      </c>
      <c r="L136" s="63">
        <f>(H136/((1.486/cell_NP)*((3.1416*(G136/12)^2)/4)*(G136/48)^(2/3)))^2</f>
        <v>4.1385698554819561E-4</v>
      </c>
      <c r="M136" s="61">
        <f>L136*I136</f>
        <v>7.2838829456482429E-2</v>
      </c>
      <c r="N136" s="68" t="s">
        <v>10</v>
      </c>
      <c r="O136" s="72" t="s">
        <v>131</v>
      </c>
      <c r="P136" s="61">
        <f>IF(ISBLANK(O136)=FALSE,(VLOOKUP(O136,table_MINOR,2,FALSE))*(K136)," ")</f>
        <v>8.3307100303465897E-3</v>
      </c>
      <c r="Q136" s="61">
        <f>SUM(P136:P138)</f>
        <v>1.6661420060693179E-2</v>
      </c>
      <c r="R136" s="61">
        <f>Q136+M136</f>
        <v>8.9500249517175612E-2</v>
      </c>
      <c r="S136" s="61">
        <f>IF(O136="T-INTERSECTION",T136,(T136-K136))</f>
        <v>409.95446148780815</v>
      </c>
      <c r="T136" s="61">
        <f>IF(O136="T-INTERSECTION",(R136+F136-K136),(R136+F136))</f>
        <v>409.98778432792955</v>
      </c>
      <c r="U136" s="61">
        <f>VLOOKUP(C136,table_CIA_JCTS,26)</f>
        <v>414.47</v>
      </c>
      <c r="V136" s="61">
        <f>U136-0.5-S136</f>
        <v>4.0155385121918812</v>
      </c>
      <c r="W136" s="61" t="s">
        <v>10</v>
      </c>
      <c r="X136" s="69">
        <f>IF(B136&gt;0,VLOOKUP(B136,table_CIA_JCTS,28)," ")</f>
        <v>408.75</v>
      </c>
      <c r="Y136" s="1">
        <v>4.0155385121918812</v>
      </c>
    </row>
    <row r="137" spans="2:25" hidden="1" x14ac:dyDescent="0.2">
      <c r="B137" s="216" t="s">
        <v>10</v>
      </c>
      <c r="C137" s="217" t="s">
        <v>10</v>
      </c>
      <c r="D137" s="62" t="s">
        <v>10</v>
      </c>
      <c r="E137" s="61" t="s">
        <v>10</v>
      </c>
      <c r="F137" s="61" t="s">
        <v>10</v>
      </c>
      <c r="G137" s="62" t="s">
        <v>10</v>
      </c>
      <c r="H137" s="60" t="s">
        <v>10</v>
      </c>
      <c r="I137" s="62" t="s">
        <v>10</v>
      </c>
      <c r="J137" s="61" t="s">
        <v>10</v>
      </c>
      <c r="K137" s="68">
        <f>K136</f>
        <v>3.3322840121386359E-2</v>
      </c>
      <c r="L137" s="63" t="s">
        <v>10</v>
      </c>
      <c r="M137" s="61" t="s">
        <v>10</v>
      </c>
      <c r="N137" s="68" t="s">
        <v>10</v>
      </c>
      <c r="O137" s="52" t="s">
        <v>131</v>
      </c>
      <c r="P137" s="61">
        <f>IF(ISBLANK(O137)=FALSE,(VLOOKUP(O137,table_MINOR,2,FALSE))*(K137)," ")</f>
        <v>8.3307100303465897E-3</v>
      </c>
      <c r="Q137" s="61" t="s">
        <v>10</v>
      </c>
      <c r="R137" s="61" t="s">
        <v>10</v>
      </c>
      <c r="S137" s="61" t="s">
        <v>10</v>
      </c>
      <c r="T137" s="61" t="s">
        <v>10</v>
      </c>
      <c r="U137" s="61" t="s">
        <v>10</v>
      </c>
      <c r="V137" s="61" t="s">
        <v>10</v>
      </c>
      <c r="W137" s="61" t="s">
        <v>10</v>
      </c>
      <c r="X137" s="69" t="s">
        <v>10</v>
      </c>
      <c r="Y137" s="1" t="s">
        <v>10</v>
      </c>
    </row>
    <row r="138" spans="2:25" hidden="1" x14ac:dyDescent="0.2">
      <c r="B138" s="216" t="s">
        <v>10</v>
      </c>
      <c r="C138" s="217" t="s">
        <v>10</v>
      </c>
      <c r="D138" s="62" t="s">
        <v>10</v>
      </c>
      <c r="E138" s="61" t="s">
        <v>10</v>
      </c>
      <c r="F138" s="61" t="s">
        <v>10</v>
      </c>
      <c r="G138" s="62" t="s">
        <v>10</v>
      </c>
      <c r="H138" s="60" t="s">
        <v>10</v>
      </c>
      <c r="I138" s="62" t="s">
        <v>10</v>
      </c>
      <c r="J138" s="61" t="s">
        <v>10</v>
      </c>
      <c r="K138" s="68">
        <f>K137</f>
        <v>3.3322840121386359E-2</v>
      </c>
      <c r="L138" s="63" t="s">
        <v>10</v>
      </c>
      <c r="M138" s="61" t="s">
        <v>10</v>
      </c>
      <c r="N138" s="68" t="s">
        <v>10</v>
      </c>
      <c r="O138" s="52" t="s">
        <v>10</v>
      </c>
      <c r="P138" s="257" t="s">
        <v>10</v>
      </c>
      <c r="Q138" s="61" t="s">
        <v>10</v>
      </c>
      <c r="R138" s="61" t="s">
        <v>10</v>
      </c>
      <c r="S138" s="61" t="s">
        <v>10</v>
      </c>
      <c r="T138" s="61" t="s">
        <v>10</v>
      </c>
      <c r="U138" s="61" t="s">
        <v>10</v>
      </c>
      <c r="V138" s="61" t="s">
        <v>10</v>
      </c>
      <c r="W138" s="61" t="s">
        <v>10</v>
      </c>
      <c r="X138" s="69" t="s">
        <v>10</v>
      </c>
      <c r="Y138" s="1" t="s">
        <v>10</v>
      </c>
    </row>
    <row r="139" spans="2:25" hidden="1" x14ac:dyDescent="0.2">
      <c r="B139" s="216" t="s">
        <v>10</v>
      </c>
      <c r="C139" s="217" t="s">
        <v>10</v>
      </c>
      <c r="D139" s="62" t="s">
        <v>10</v>
      </c>
      <c r="E139" s="61" t="s">
        <v>10</v>
      </c>
      <c r="F139" s="61" t="s">
        <v>10</v>
      </c>
      <c r="G139" s="62" t="s">
        <v>10</v>
      </c>
      <c r="H139" s="60" t="s">
        <v>10</v>
      </c>
      <c r="I139" s="62" t="s">
        <v>10</v>
      </c>
      <c r="J139" s="61" t="s">
        <v>10</v>
      </c>
      <c r="K139" s="68" t="s">
        <v>10</v>
      </c>
      <c r="L139" s="63" t="s">
        <v>10</v>
      </c>
      <c r="M139" s="61" t="s">
        <v>10</v>
      </c>
      <c r="N139" s="68" t="s">
        <v>10</v>
      </c>
      <c r="O139" s="52" t="s">
        <v>176</v>
      </c>
      <c r="P139" s="61" t="s">
        <v>10</v>
      </c>
      <c r="Q139" s="61" t="s">
        <v>10</v>
      </c>
      <c r="R139" s="61" t="s">
        <v>10</v>
      </c>
      <c r="S139" s="61" t="s">
        <v>10</v>
      </c>
      <c r="T139" s="61" t="s">
        <v>10</v>
      </c>
      <c r="U139" s="61" t="s">
        <v>10</v>
      </c>
      <c r="V139" s="61" t="s">
        <v>10</v>
      </c>
      <c r="W139" s="61" t="s">
        <v>10</v>
      </c>
      <c r="X139" s="69" t="s">
        <v>10</v>
      </c>
      <c r="Y139" s="1" t="s">
        <v>10</v>
      </c>
    </row>
    <row r="140" spans="2:25" hidden="1" x14ac:dyDescent="0.2">
      <c r="B140" s="216">
        <v>31</v>
      </c>
      <c r="C140" s="217">
        <v>30</v>
      </c>
      <c r="D140" s="58" t="s">
        <v>10</v>
      </c>
      <c r="E140" s="61">
        <f>IF(B140=0,cell_HGL,IF(VLOOKUP(B140,table_HGL_JCTS,17,FALSE)&lt;X140,X140,VLOOKUP(B140,table_HGL_JCTS,17,FALSE)))</f>
        <v>407.03262511095073</v>
      </c>
      <c r="F140" s="61">
        <f>IF(B140=0,(E140+K140),IF(VLOOKUP(B140,table_HGL_JCTS,13,FALSE)="T-INTERSECTION",(E140+K140),(IF(VLOOKUP(B140,table_HGL_JCTS,17,FALSE)&lt;X140,(E140+K140),VLOOKUP(B140,table_HGL_JCTS,18,FALSE)))))</f>
        <v>407.44216286169188</v>
      </c>
      <c r="G140" s="62">
        <f>VLOOKUP(C140,table_CIA_JCTS,18)</f>
        <v>24</v>
      </c>
      <c r="H140" s="60">
        <f>VLOOKUP(C140,table_CIA_JCTS,17)</f>
        <v>1.8635910682297303</v>
      </c>
      <c r="I140" s="62">
        <f>VLOOKUP(C140,table_CIA_JCTS,21)</f>
        <v>109</v>
      </c>
      <c r="J140" s="61">
        <f>H140/((G140/12)^2*3.1416/4)</f>
        <v>0.59319807366619881</v>
      </c>
      <c r="K140" s="61">
        <f>(J140^2)/64.4</f>
        <v>5.4640365621318162E-3</v>
      </c>
      <c r="L140" s="63">
        <f>(H140/((1.486/cell_NP)*((3.1416*(G140/12)^2)/4)*(G140/48)^(2/3)))^2</f>
        <v>6.7861253491346152E-5</v>
      </c>
      <c r="M140" s="61">
        <f>L140*I140</f>
        <v>7.3968766305567302E-3</v>
      </c>
      <c r="N140" s="68" t="s">
        <v>10</v>
      </c>
      <c r="O140" s="52" t="s">
        <v>10</v>
      </c>
      <c r="P140" s="257" t="s">
        <v>10</v>
      </c>
      <c r="Q140" s="61">
        <f>SUM(P140)</f>
        <v>0</v>
      </c>
      <c r="R140" s="61">
        <f>Q140+M140</f>
        <v>7.3968766305567302E-3</v>
      </c>
      <c r="S140" s="61">
        <f>IF(O140="T-INTERSECTION",T140,(T140-K140))</f>
        <v>407.44409570176026</v>
      </c>
      <c r="T140" s="61">
        <f>IF(O140="T-INTERSECTION",(R140+F140-K140),(R140+F140))</f>
        <v>407.44955973832242</v>
      </c>
      <c r="U140" s="61">
        <f>VLOOKUP(C140,table_CIA_JCTS,26)</f>
        <v>411.61</v>
      </c>
      <c r="V140" s="61">
        <f>U140-0.5-S140</f>
        <v>3.6659042982397523</v>
      </c>
      <c r="W140" s="61" t="s">
        <v>10</v>
      </c>
      <c r="X140" s="69">
        <f>IF(B140&gt;0,VLOOKUP(B140,table_CIA_JCTS,28)," ")</f>
        <v>405.24</v>
      </c>
      <c r="Y140" s="1">
        <v>3.6659042982397523</v>
      </c>
    </row>
    <row r="141" spans="2:25" hidden="1" x14ac:dyDescent="0.2">
      <c r="B141" s="216" t="s">
        <v>10</v>
      </c>
      <c r="C141" s="217" t="s">
        <v>10</v>
      </c>
      <c r="D141" s="62" t="s">
        <v>10</v>
      </c>
      <c r="E141" s="61" t="s">
        <v>10</v>
      </c>
      <c r="F141" s="61" t="s">
        <v>10</v>
      </c>
      <c r="G141" s="62" t="s">
        <v>10</v>
      </c>
      <c r="H141" s="60" t="s">
        <v>10</v>
      </c>
      <c r="I141" s="62" t="s">
        <v>10</v>
      </c>
      <c r="J141" s="61" t="s">
        <v>10</v>
      </c>
      <c r="K141" s="68" t="s">
        <v>10</v>
      </c>
      <c r="L141" s="63" t="s">
        <v>10</v>
      </c>
      <c r="M141" s="61" t="s">
        <v>10</v>
      </c>
      <c r="N141" s="68" t="s">
        <v>10</v>
      </c>
      <c r="O141" s="52" t="s">
        <v>176</v>
      </c>
      <c r="P141" s="61" t="s">
        <v>10</v>
      </c>
      <c r="Q141" s="61" t="s">
        <v>10</v>
      </c>
      <c r="R141" s="61" t="s">
        <v>10</v>
      </c>
      <c r="S141" s="61" t="s">
        <v>10</v>
      </c>
      <c r="T141" s="61" t="s">
        <v>10</v>
      </c>
      <c r="U141" s="61" t="s">
        <v>10</v>
      </c>
      <c r="V141" s="61" t="s">
        <v>10</v>
      </c>
      <c r="W141" s="61" t="s">
        <v>10</v>
      </c>
      <c r="X141" s="69" t="s">
        <v>10</v>
      </c>
      <c r="Y141" s="1" t="s">
        <v>10</v>
      </c>
    </row>
    <row r="142" spans="2:25" hidden="1" x14ac:dyDescent="0.2">
      <c r="B142" s="216" t="s">
        <v>10</v>
      </c>
      <c r="C142" s="217" t="s">
        <v>10</v>
      </c>
      <c r="D142" s="62" t="s">
        <v>10</v>
      </c>
      <c r="E142" s="61" t="s">
        <v>10</v>
      </c>
      <c r="F142" s="61" t="s">
        <v>10</v>
      </c>
      <c r="G142" s="62" t="s">
        <v>10</v>
      </c>
      <c r="H142" s="60" t="s">
        <v>10</v>
      </c>
      <c r="I142" s="62" t="s">
        <v>10</v>
      </c>
      <c r="J142" s="61" t="s">
        <v>10</v>
      </c>
      <c r="K142" s="68" t="s">
        <v>10</v>
      </c>
      <c r="L142" s="63" t="s">
        <v>10</v>
      </c>
      <c r="M142" s="61" t="s">
        <v>10</v>
      </c>
      <c r="N142" s="68" t="s">
        <v>10</v>
      </c>
      <c r="O142" s="52" t="s">
        <v>176</v>
      </c>
      <c r="P142" s="61" t="s">
        <v>10</v>
      </c>
      <c r="Q142" s="61" t="s">
        <v>10</v>
      </c>
      <c r="R142" s="61" t="s">
        <v>10</v>
      </c>
      <c r="S142" s="61" t="s">
        <v>10</v>
      </c>
      <c r="T142" s="61" t="s">
        <v>10</v>
      </c>
      <c r="U142" s="61" t="s">
        <v>10</v>
      </c>
      <c r="V142" s="61" t="s">
        <v>10</v>
      </c>
      <c r="W142" s="61" t="s">
        <v>10</v>
      </c>
      <c r="X142" s="69" t="s">
        <v>10</v>
      </c>
      <c r="Y142" s="1" t="s">
        <v>10</v>
      </c>
    </row>
    <row r="143" spans="2:25" hidden="1" x14ac:dyDescent="0.2">
      <c r="B143" s="216">
        <v>35</v>
      </c>
      <c r="C143" s="217">
        <v>34</v>
      </c>
      <c r="D143" s="58" t="s">
        <v>10</v>
      </c>
      <c r="E143" s="61">
        <f>IF(B143=0,cell_HGL,IF(VLOOKUP(B143,table_HGL_JCTS,17,FALSE)&lt;X143,X143,VLOOKUP(B143,table_HGL_JCTS,17,FALSE)))</f>
        <v>406.59494171357358</v>
      </c>
      <c r="F143" s="61">
        <f>IF(B143=0,(E143+K143),IF(VLOOKUP(B143,table_HGL_JCTS,13,FALSE)="T-INTERSECTION",(E143+K143),(IF(VLOOKUP(B143,table_HGL_JCTS,17,FALSE)&lt;X143,(E143+K143),VLOOKUP(B143,table_HGL_JCTS,18,FALSE)))))</f>
        <v>407.05411510988114</v>
      </c>
      <c r="G143" s="62">
        <f>VLOOKUP(C143,table_CIA_JCTS,18)</f>
        <v>18</v>
      </c>
      <c r="H143" s="60">
        <f>VLOOKUP(C143,table_CIA_JCTS,17)</f>
        <v>2.8605897012280574</v>
      </c>
      <c r="I143" s="62">
        <f>VLOOKUP(C143,table_CIA_JCTS,21)</f>
        <v>304</v>
      </c>
      <c r="J143" s="61">
        <f>H143/((G143/12)^2*3.1416/4)</f>
        <v>1.6187588496890799</v>
      </c>
      <c r="K143" s="61">
        <f>(J143^2)/64.4</f>
        <v>4.068913374917256E-2</v>
      </c>
      <c r="L143" s="63">
        <f>(H143/((1.486/cell_NP)*((3.1416*(G143/12)^2)/4)*(G143/48)^(2/3)))^2</f>
        <v>7.416033908325372E-4</v>
      </c>
      <c r="M143" s="61">
        <f>L143*I143</f>
        <v>0.22544743081309132</v>
      </c>
      <c r="N143" s="68" t="s">
        <v>10</v>
      </c>
      <c r="O143" s="72" t="s">
        <v>156</v>
      </c>
      <c r="P143" s="61">
        <f>IF(ISBLANK(O143)=FALSE,(VLOOKUP(O143,table_MINOR,2,FALSE))*(K143)," ")</f>
        <v>3.051685031187942E-2</v>
      </c>
      <c r="Q143" s="61">
        <f>SUM(P143:P146)</f>
        <v>5.0861417186465696E-2</v>
      </c>
      <c r="R143" s="61">
        <f>Q143+M143</f>
        <v>0.27630884799955702</v>
      </c>
      <c r="S143" s="61">
        <f>IF(O143="T-INTERSECTION",T143,(T143-K143))</f>
        <v>407.28973482413147</v>
      </c>
      <c r="T143" s="61">
        <f>IF(O143="T-INTERSECTION",(R143+F143-K143),(R143+F143))</f>
        <v>407.33042395788067</v>
      </c>
      <c r="U143" s="61">
        <f>VLOOKUP(C143,table_CIA_JCTS,26)</f>
        <v>411.5</v>
      </c>
      <c r="V143" s="61">
        <f>U143-0.5-S143</f>
        <v>3.7102651758685283</v>
      </c>
      <c r="W143" s="61" t="s">
        <v>10</v>
      </c>
      <c r="X143" s="69">
        <f>IF(B143&gt;0,VLOOKUP(B143,table_CIA_JCTS,28)," ")</f>
        <v>405.38</v>
      </c>
      <c r="Y143" s="1">
        <v>3.7102651758685283</v>
      </c>
    </row>
    <row r="144" spans="2:25" hidden="1" x14ac:dyDescent="0.2">
      <c r="B144" s="216" t="s">
        <v>10</v>
      </c>
      <c r="C144" s="217" t="s">
        <v>10</v>
      </c>
      <c r="D144" s="62" t="s">
        <v>10</v>
      </c>
      <c r="E144" s="61" t="s">
        <v>10</v>
      </c>
      <c r="F144" s="61" t="s">
        <v>10</v>
      </c>
      <c r="G144" s="62" t="s">
        <v>10</v>
      </c>
      <c r="H144" s="60" t="s">
        <v>10</v>
      </c>
      <c r="I144" s="62" t="s">
        <v>10</v>
      </c>
      <c r="J144" s="61" t="s">
        <v>10</v>
      </c>
      <c r="K144" s="68">
        <f>K143</f>
        <v>4.068913374917256E-2</v>
      </c>
      <c r="L144" s="63" t="s">
        <v>10</v>
      </c>
      <c r="M144" s="61" t="s">
        <v>10</v>
      </c>
      <c r="N144" s="68" t="s">
        <v>10</v>
      </c>
      <c r="O144" s="52" t="s">
        <v>131</v>
      </c>
      <c r="P144" s="61">
        <f>IF(ISBLANK(O144)=FALSE,(VLOOKUP(O144,table_MINOR,2,FALSE))*(K144)," ")</f>
        <v>1.017228343729314E-2</v>
      </c>
      <c r="Q144" s="61" t="s">
        <v>10</v>
      </c>
      <c r="R144" s="61" t="s">
        <v>10</v>
      </c>
      <c r="S144" s="61" t="s">
        <v>10</v>
      </c>
      <c r="T144" s="61" t="s">
        <v>10</v>
      </c>
      <c r="U144" s="61" t="s">
        <v>10</v>
      </c>
      <c r="V144" s="61" t="s">
        <v>10</v>
      </c>
      <c r="W144" s="61" t="s">
        <v>10</v>
      </c>
      <c r="X144" s="69" t="s">
        <v>10</v>
      </c>
      <c r="Y144" s="1" t="s">
        <v>10</v>
      </c>
    </row>
    <row r="145" spans="2:25" hidden="1" x14ac:dyDescent="0.2">
      <c r="B145" s="216" t="s">
        <v>10</v>
      </c>
      <c r="C145" s="217" t="s">
        <v>10</v>
      </c>
      <c r="D145" s="62" t="s">
        <v>10</v>
      </c>
      <c r="E145" s="61" t="s">
        <v>10</v>
      </c>
      <c r="F145" s="61" t="s">
        <v>10</v>
      </c>
      <c r="G145" s="62" t="s">
        <v>10</v>
      </c>
      <c r="H145" s="60" t="s">
        <v>10</v>
      </c>
      <c r="I145" s="62" t="s">
        <v>10</v>
      </c>
      <c r="J145" s="61" t="s">
        <v>10</v>
      </c>
      <c r="K145" s="68">
        <f>K144</f>
        <v>4.068913374917256E-2</v>
      </c>
      <c r="L145" s="63" t="s">
        <v>10</v>
      </c>
      <c r="M145" s="61" t="s">
        <v>10</v>
      </c>
      <c r="N145" s="68" t="s">
        <v>10</v>
      </c>
      <c r="O145" s="52" t="s">
        <v>131</v>
      </c>
      <c r="P145" s="61">
        <f>IF(ISBLANK(O145)=FALSE,(VLOOKUP(O145,table_MINOR,2,FALSE))*(K145)," ")</f>
        <v>1.017228343729314E-2</v>
      </c>
      <c r="Q145" s="61" t="s">
        <v>10</v>
      </c>
      <c r="R145" s="61" t="s">
        <v>10</v>
      </c>
      <c r="S145" s="61" t="s">
        <v>10</v>
      </c>
      <c r="T145" s="61" t="s">
        <v>10</v>
      </c>
      <c r="U145" s="61" t="s">
        <v>10</v>
      </c>
      <c r="V145" s="61" t="s">
        <v>10</v>
      </c>
      <c r="W145" s="61" t="s">
        <v>10</v>
      </c>
      <c r="X145" s="69" t="s">
        <v>10</v>
      </c>
      <c r="Y145" s="1" t="s">
        <v>10</v>
      </c>
    </row>
    <row r="146" spans="2:25" hidden="1" x14ac:dyDescent="0.2">
      <c r="B146" s="216" t="s">
        <v>10</v>
      </c>
      <c r="C146" s="217" t="s">
        <v>10</v>
      </c>
      <c r="D146" s="62" t="s">
        <v>10</v>
      </c>
      <c r="E146" s="61" t="s">
        <v>10</v>
      </c>
      <c r="F146" s="61" t="s">
        <v>10</v>
      </c>
      <c r="G146" s="62" t="s">
        <v>10</v>
      </c>
      <c r="H146" s="60" t="s">
        <v>10</v>
      </c>
      <c r="I146" s="62" t="s">
        <v>10</v>
      </c>
      <c r="J146" s="61" t="s">
        <v>10</v>
      </c>
      <c r="K146" s="68">
        <f>K145</f>
        <v>4.068913374917256E-2</v>
      </c>
      <c r="L146" s="63" t="s">
        <v>10</v>
      </c>
      <c r="M146" s="61" t="s">
        <v>10</v>
      </c>
      <c r="N146" s="68" t="s">
        <v>10</v>
      </c>
      <c r="O146" s="52" t="s">
        <v>10</v>
      </c>
      <c r="P146" s="257" t="s">
        <v>10</v>
      </c>
      <c r="Q146" s="61" t="s">
        <v>10</v>
      </c>
      <c r="R146" s="61" t="s">
        <v>10</v>
      </c>
      <c r="S146" s="61" t="s">
        <v>10</v>
      </c>
      <c r="T146" s="61" t="s">
        <v>10</v>
      </c>
      <c r="U146" s="61" t="s">
        <v>10</v>
      </c>
      <c r="V146" s="61" t="s">
        <v>10</v>
      </c>
      <c r="W146" s="61" t="s">
        <v>10</v>
      </c>
      <c r="X146" s="69" t="s">
        <v>10</v>
      </c>
      <c r="Y146" s="1" t="s">
        <v>10</v>
      </c>
    </row>
    <row r="147" spans="2:25" hidden="1" x14ac:dyDescent="0.2">
      <c r="B147" s="216">
        <v>34</v>
      </c>
      <c r="C147" s="217">
        <v>32</v>
      </c>
      <c r="D147" s="58" t="s">
        <v>10</v>
      </c>
      <c r="E147" s="61">
        <f>IF(B147=0,cell_HGL,IF(VLOOKUP(B147,table_HGL_JCTS,17,FALSE)&lt;X147,X147,VLOOKUP(B147,table_HGL_JCTS,17,FALSE)))</f>
        <v>407.28973482413147</v>
      </c>
      <c r="F147" s="61">
        <f>IF(B147=0,(E147+K147),IF(VLOOKUP(B147,table_HGL_JCTS,13,FALSE)="T-INTERSECTION",(E147+K147),(IF(VLOOKUP(B147,table_HGL_JCTS,17,FALSE)&lt;X147,(E147+K147),VLOOKUP(B147,table_HGL_JCTS,18,FALSE)))))</f>
        <v>407.33042395788067</v>
      </c>
      <c r="G147" s="62">
        <f>VLOOKUP(C147,table_CIA_JCTS,18)</f>
        <v>18</v>
      </c>
      <c r="H147" s="60">
        <f>VLOOKUP(C147,table_CIA_JCTS,17)</f>
        <v>1.6965396138219357</v>
      </c>
      <c r="I147" s="62">
        <f>VLOOKUP(C147,table_CIA_JCTS,21)</f>
        <v>278</v>
      </c>
      <c r="J147" s="61">
        <f>H147/((G147/12)^2*3.1416/4)</f>
        <v>0.96004278857026049</v>
      </c>
      <c r="K147" s="61">
        <f>(J147^2)/64.4</f>
        <v>1.4311834718723009E-2</v>
      </c>
      <c r="L147" s="63">
        <f>(H147/((1.486/cell_NP)*((3.1416*(G147/12)^2)/4)*(G147/48)^(2/3)))^2</f>
        <v>2.6084863889872445E-4</v>
      </c>
      <c r="M147" s="61">
        <f>L147*I147</f>
        <v>7.2515921613845402E-2</v>
      </c>
      <c r="N147" s="68" t="s">
        <v>10</v>
      </c>
      <c r="O147" s="52" t="s">
        <v>10</v>
      </c>
      <c r="P147" s="257" t="s">
        <v>10</v>
      </c>
      <c r="Q147" s="61">
        <f>SUM(P147)</f>
        <v>0</v>
      </c>
      <c r="R147" s="61">
        <f>Q147+M147</f>
        <v>7.2515921613845402E-2</v>
      </c>
      <c r="S147" s="61">
        <f>IF(O147="T-INTERSECTION",T147,(T147-K147))</f>
        <v>407.38862804477577</v>
      </c>
      <c r="T147" s="61">
        <f>IF(O147="T-INTERSECTION",(R147+F147-K147),(R147+F147))</f>
        <v>407.40293987949451</v>
      </c>
      <c r="U147" s="61">
        <f>VLOOKUP(C147,table_CIA_JCTS,26)</f>
        <v>412.5</v>
      </c>
      <c r="V147" s="61">
        <f>U147-0.5-S147</f>
        <v>4.6113719552242287</v>
      </c>
      <c r="W147" s="61" t="s">
        <v>10</v>
      </c>
      <c r="X147" s="69">
        <f>IF(B147&gt;0,VLOOKUP(B147,table_CIA_JCTS,28)," ")</f>
        <v>406.06</v>
      </c>
      <c r="Y147" s="1">
        <v>4.6113719552242287</v>
      </c>
    </row>
    <row r="148" spans="2:25" hidden="1" x14ac:dyDescent="0.2">
      <c r="B148" s="216" t="s">
        <v>10</v>
      </c>
      <c r="C148" s="217" t="s">
        <v>10</v>
      </c>
      <c r="D148" s="62" t="s">
        <v>10</v>
      </c>
      <c r="E148" s="61" t="s">
        <v>10</v>
      </c>
      <c r="F148" s="61" t="s">
        <v>10</v>
      </c>
      <c r="G148" s="62" t="s">
        <v>10</v>
      </c>
      <c r="H148" s="60" t="s">
        <v>10</v>
      </c>
      <c r="I148" s="62" t="s">
        <v>10</v>
      </c>
      <c r="J148" s="61" t="s">
        <v>10</v>
      </c>
      <c r="K148" s="68" t="s">
        <v>10</v>
      </c>
      <c r="L148" s="63" t="s">
        <v>10</v>
      </c>
      <c r="M148" s="61" t="s">
        <v>10</v>
      </c>
      <c r="N148" s="68" t="s">
        <v>10</v>
      </c>
      <c r="O148" s="52" t="s">
        <v>176</v>
      </c>
      <c r="P148" s="61" t="s">
        <v>10</v>
      </c>
      <c r="Q148" s="61" t="s">
        <v>10</v>
      </c>
      <c r="R148" s="61" t="s">
        <v>10</v>
      </c>
      <c r="S148" s="61" t="s">
        <v>10</v>
      </c>
      <c r="T148" s="61" t="s">
        <v>10</v>
      </c>
      <c r="U148" s="61" t="s">
        <v>10</v>
      </c>
      <c r="V148" s="61" t="s">
        <v>10</v>
      </c>
      <c r="W148" s="61" t="s">
        <v>10</v>
      </c>
      <c r="X148" s="69" t="s">
        <v>10</v>
      </c>
      <c r="Y148" s="1" t="s">
        <v>10</v>
      </c>
    </row>
    <row r="149" spans="2:25" hidden="1" x14ac:dyDescent="0.2">
      <c r="B149" s="216" t="s">
        <v>10</v>
      </c>
      <c r="C149" s="217" t="s">
        <v>10</v>
      </c>
      <c r="D149" s="62" t="s">
        <v>10</v>
      </c>
      <c r="E149" s="61" t="s">
        <v>10</v>
      </c>
      <c r="F149" s="61" t="s">
        <v>10</v>
      </c>
      <c r="G149" s="62" t="s">
        <v>10</v>
      </c>
      <c r="H149" s="60" t="s">
        <v>10</v>
      </c>
      <c r="I149" s="62" t="s">
        <v>10</v>
      </c>
      <c r="J149" s="61" t="s">
        <v>10</v>
      </c>
      <c r="K149" s="68" t="s">
        <v>10</v>
      </c>
      <c r="L149" s="63" t="s">
        <v>10</v>
      </c>
      <c r="M149" s="61" t="s">
        <v>10</v>
      </c>
      <c r="N149" s="68" t="s">
        <v>10</v>
      </c>
      <c r="O149" s="52" t="s">
        <v>176</v>
      </c>
      <c r="P149" s="61" t="s">
        <v>10</v>
      </c>
      <c r="Q149" s="61" t="s">
        <v>10</v>
      </c>
      <c r="R149" s="61" t="s">
        <v>10</v>
      </c>
      <c r="S149" s="61" t="s">
        <v>10</v>
      </c>
      <c r="T149" s="61" t="s">
        <v>10</v>
      </c>
      <c r="U149" s="61" t="s">
        <v>10</v>
      </c>
      <c r="V149" s="61" t="s">
        <v>10</v>
      </c>
      <c r="W149" s="61" t="s">
        <v>10</v>
      </c>
      <c r="X149" s="69" t="s">
        <v>10</v>
      </c>
      <c r="Y149" s="1" t="s">
        <v>10</v>
      </c>
    </row>
    <row r="150" spans="2:25" hidden="1" x14ac:dyDescent="0.2">
      <c r="B150" s="216">
        <v>34</v>
      </c>
      <c r="C150" s="217">
        <v>33</v>
      </c>
      <c r="D150" s="58" t="s">
        <v>10</v>
      </c>
      <c r="E150" s="61">
        <f>IF(B150=0,cell_HGL,IF(VLOOKUP(B150,table_HGL_JCTS,17,FALSE)&lt;X150,X150,VLOOKUP(B150,table_HGL_JCTS,17,FALSE)))</f>
        <v>407.28973482413147</v>
      </c>
      <c r="F150" s="61">
        <f>IF(B150=0,(E150+K150),IF(VLOOKUP(B150,table_HGL_JCTS,13,FALSE)="T-INTERSECTION",(E150+K150),(IF(VLOOKUP(B150,table_HGL_JCTS,17,FALSE)&lt;X150,(E150+K150),VLOOKUP(B150,table_HGL_JCTS,18,FALSE)))))</f>
        <v>407.33042395788067</v>
      </c>
      <c r="G150" s="62">
        <f>VLOOKUP(C150,table_CIA_JCTS,18)</f>
        <v>18</v>
      </c>
      <c r="H150" s="60">
        <f>VLOOKUP(C150,table_CIA_JCTS,17)</f>
        <v>1.2652976472653001</v>
      </c>
      <c r="I150" s="62">
        <f>VLOOKUP(C150,table_CIA_JCTS,21)</f>
        <v>96</v>
      </c>
      <c r="J150" s="61">
        <f>H150/((G150/12)^2*3.1416/4)</f>
        <v>0.71601032581574864</v>
      </c>
      <c r="K150" s="61">
        <f>(J150^2)/64.4</f>
        <v>7.9607265011610948E-3</v>
      </c>
      <c r="L150" s="63">
        <f>(H150/((1.486/cell_NP)*((3.1416*(G150/12)^2)/4)*(G150/48)^(2/3)))^2</f>
        <v>1.4509283493585224E-4</v>
      </c>
      <c r="M150" s="61">
        <f>L150*I150</f>
        <v>1.3928912153841816E-2</v>
      </c>
      <c r="N150" s="68" t="s">
        <v>10</v>
      </c>
      <c r="O150" s="52" t="s">
        <v>10</v>
      </c>
      <c r="P150" s="257" t="s">
        <v>10</v>
      </c>
      <c r="Q150" s="61">
        <f>SUM(P150)</f>
        <v>0</v>
      </c>
      <c r="R150" s="61">
        <f>Q150+M150</f>
        <v>1.3928912153841816E-2</v>
      </c>
      <c r="S150" s="61">
        <f>IF(O150="T-INTERSECTION",T150,(T150-K150))</f>
        <v>407.33639214353337</v>
      </c>
      <c r="T150" s="61">
        <f>IF(O150="T-INTERSECTION",(R150+F150-K150),(R150+F150))</f>
        <v>407.34435287003453</v>
      </c>
      <c r="U150" s="61">
        <f>VLOOKUP(C150,table_CIA_JCTS,26)</f>
        <v>413.01</v>
      </c>
      <c r="V150" s="61">
        <f>U150-0.5-S150</f>
        <v>5.1736078564666172</v>
      </c>
      <c r="W150" s="61" t="s">
        <v>10</v>
      </c>
      <c r="X150" s="69">
        <f>IF(B150&gt;0,VLOOKUP(B150,table_CIA_JCTS,28)," ")</f>
        <v>406.06</v>
      </c>
      <c r="Y150" s="1">
        <v>5.1736078564666172</v>
      </c>
    </row>
    <row r="151" spans="2:25" hidden="1" x14ac:dyDescent="0.2">
      <c r="B151" s="216" t="s">
        <v>10</v>
      </c>
      <c r="C151" s="217" t="s">
        <v>10</v>
      </c>
      <c r="D151" s="62" t="s">
        <v>10</v>
      </c>
      <c r="E151" s="61" t="s">
        <v>10</v>
      </c>
      <c r="F151" s="61" t="s">
        <v>10</v>
      </c>
      <c r="G151" s="62" t="s">
        <v>10</v>
      </c>
      <c r="H151" s="60" t="s">
        <v>10</v>
      </c>
      <c r="I151" s="62" t="s">
        <v>10</v>
      </c>
      <c r="J151" s="61" t="s">
        <v>10</v>
      </c>
      <c r="K151" s="68" t="s">
        <v>10</v>
      </c>
      <c r="L151" s="63" t="s">
        <v>10</v>
      </c>
      <c r="M151" s="61" t="s">
        <v>10</v>
      </c>
      <c r="N151" s="68" t="s">
        <v>10</v>
      </c>
      <c r="O151" s="52" t="s">
        <v>176</v>
      </c>
      <c r="P151" s="61" t="s">
        <v>10</v>
      </c>
      <c r="Q151" s="61" t="s">
        <v>10</v>
      </c>
      <c r="R151" s="61" t="s">
        <v>10</v>
      </c>
      <c r="S151" s="61" t="s">
        <v>10</v>
      </c>
      <c r="T151" s="61" t="s">
        <v>10</v>
      </c>
      <c r="U151" s="61" t="s">
        <v>10</v>
      </c>
      <c r="V151" s="61" t="s">
        <v>10</v>
      </c>
      <c r="W151" s="61" t="s">
        <v>10</v>
      </c>
      <c r="X151" s="69" t="s">
        <v>10</v>
      </c>
      <c r="Y151" s="1" t="s">
        <v>10</v>
      </c>
    </row>
    <row r="152" spans="2:25" hidden="1" x14ac:dyDescent="0.2">
      <c r="B152" s="216" t="s">
        <v>10</v>
      </c>
      <c r="C152" s="217" t="s">
        <v>10</v>
      </c>
      <c r="D152" s="62" t="s">
        <v>10</v>
      </c>
      <c r="E152" s="61" t="s">
        <v>10</v>
      </c>
      <c r="F152" s="61" t="s">
        <v>10</v>
      </c>
      <c r="G152" s="62" t="s">
        <v>10</v>
      </c>
      <c r="H152" s="60" t="s">
        <v>10</v>
      </c>
      <c r="I152" s="62" t="s">
        <v>10</v>
      </c>
      <c r="J152" s="61" t="s">
        <v>10</v>
      </c>
      <c r="K152" s="68" t="s">
        <v>10</v>
      </c>
      <c r="L152" s="63" t="s">
        <v>10</v>
      </c>
      <c r="M152" s="61" t="s">
        <v>10</v>
      </c>
      <c r="N152" s="68" t="s">
        <v>10</v>
      </c>
      <c r="O152" s="52" t="s">
        <v>176</v>
      </c>
      <c r="P152" s="61" t="s">
        <v>10</v>
      </c>
      <c r="Q152" s="61" t="s">
        <v>10</v>
      </c>
      <c r="R152" s="61" t="s">
        <v>10</v>
      </c>
      <c r="S152" s="61" t="s">
        <v>10</v>
      </c>
      <c r="T152" s="61" t="s">
        <v>10</v>
      </c>
      <c r="U152" s="61" t="s">
        <v>10</v>
      </c>
      <c r="V152" s="61" t="s">
        <v>10</v>
      </c>
      <c r="W152" s="61" t="s">
        <v>10</v>
      </c>
      <c r="X152" s="69" t="s">
        <v>10</v>
      </c>
      <c r="Y152" s="1" t="s">
        <v>10</v>
      </c>
    </row>
    <row r="153" spans="2:25" hidden="1" x14ac:dyDescent="0.2">
      <c r="B153" s="216">
        <v>37</v>
      </c>
      <c r="C153" s="217">
        <v>36</v>
      </c>
      <c r="D153" s="58" t="s">
        <v>10</v>
      </c>
      <c r="E153" s="61">
        <f>IF(B153=0,cell_HGL,IF(VLOOKUP(B153,table_HGL_JCTS,17,FALSE)&lt;X153,X153,VLOOKUP(B153,table_HGL_JCTS,17,FALSE)))</f>
        <v>405.13622889071337</v>
      </c>
      <c r="F153" s="61">
        <f>IF(B153=0,(E153+K153),IF(VLOOKUP(B153,table_HGL_JCTS,13,FALSE)="T-INTERSECTION",(E153+K153),(IF(VLOOKUP(B153,table_HGL_JCTS,17,FALSE)&lt;X153,(E153+K153),VLOOKUP(B153,table_HGL_JCTS,18,FALSE)))))</f>
        <v>405.59610285819201</v>
      </c>
      <c r="G153" s="62">
        <f>VLOOKUP(C153,table_CIA_JCTS,18)</f>
        <v>18</v>
      </c>
      <c r="H153" s="60">
        <f>VLOOKUP(C153,table_CIA_JCTS,17)</f>
        <v>2.4392117065135954</v>
      </c>
      <c r="I153" s="62">
        <f>VLOOKUP(C153,table_CIA_JCTS,21)</f>
        <v>40</v>
      </c>
      <c r="J153" s="61">
        <f>H153/((G153/12)^2*3.1416/4)</f>
        <v>1.3803082401118159</v>
      </c>
      <c r="K153" s="61">
        <f>(J153^2)/64.4</f>
        <v>2.958464033727606E-2</v>
      </c>
      <c r="L153" s="63">
        <f>(H153/((1.486/cell_NP)*((3.1416*(G153/12)^2)/4)*(G153/48)^(2/3)))^2</f>
        <v>5.3921200991729524E-4</v>
      </c>
      <c r="M153" s="61">
        <f>L153*I153</f>
        <v>2.1568480396691809E-2</v>
      </c>
      <c r="N153" s="68" t="s">
        <v>10</v>
      </c>
      <c r="O153" s="52" t="s">
        <v>10</v>
      </c>
      <c r="P153" s="257" t="s">
        <v>10</v>
      </c>
      <c r="Q153" s="61">
        <f>SUM(P153)</f>
        <v>0</v>
      </c>
      <c r="R153" s="61">
        <f>Q153+M153</f>
        <v>2.1568480396691809E-2</v>
      </c>
      <c r="S153" s="61">
        <f>IF(O153="T-INTERSECTION",T153,(T153-K153))</f>
        <v>405.58808669825146</v>
      </c>
      <c r="T153" s="61">
        <f>IF(O153="T-INTERSECTION",(R153+F153-K153),(R153+F153))</f>
        <v>405.61767133858871</v>
      </c>
      <c r="U153" s="61">
        <f>VLOOKUP(C153,table_CIA_JCTS,26)</f>
        <v>410.4</v>
      </c>
      <c r="V153" s="61">
        <f>U153-0.5-S153</f>
        <v>4.3119133017485183</v>
      </c>
      <c r="W153" s="61" t="s">
        <v>10</v>
      </c>
      <c r="X153" s="69">
        <f>IF(B153&gt;0,VLOOKUP(B153,table_CIA_JCTS,28)," ")</f>
        <v>403.83</v>
      </c>
      <c r="Y153" s="1">
        <v>4.3119133017485183</v>
      </c>
    </row>
    <row r="154" spans="2:25" hidden="1" x14ac:dyDescent="0.2">
      <c r="B154" s="216" t="s">
        <v>10</v>
      </c>
      <c r="C154" s="217" t="s">
        <v>10</v>
      </c>
      <c r="D154" s="62" t="s">
        <v>10</v>
      </c>
      <c r="E154" s="61" t="s">
        <v>10</v>
      </c>
      <c r="F154" s="61" t="s">
        <v>10</v>
      </c>
      <c r="G154" s="62" t="s">
        <v>10</v>
      </c>
      <c r="H154" s="60" t="s">
        <v>10</v>
      </c>
      <c r="I154" s="62" t="s">
        <v>10</v>
      </c>
      <c r="J154" s="61" t="s">
        <v>10</v>
      </c>
      <c r="K154" s="68" t="s">
        <v>10</v>
      </c>
      <c r="L154" s="63" t="s">
        <v>10</v>
      </c>
      <c r="M154" s="61" t="s">
        <v>10</v>
      </c>
      <c r="N154" s="68" t="s">
        <v>10</v>
      </c>
      <c r="O154" s="52" t="s">
        <v>176</v>
      </c>
      <c r="P154" s="61" t="s">
        <v>10</v>
      </c>
      <c r="Q154" s="61" t="s">
        <v>10</v>
      </c>
      <c r="R154" s="61" t="s">
        <v>10</v>
      </c>
      <c r="S154" s="61" t="s">
        <v>10</v>
      </c>
      <c r="T154" s="61" t="s">
        <v>10</v>
      </c>
      <c r="U154" s="61" t="s">
        <v>10</v>
      </c>
      <c r="V154" s="61" t="s">
        <v>10</v>
      </c>
      <c r="W154" s="61" t="s">
        <v>10</v>
      </c>
      <c r="X154" s="69" t="s">
        <v>10</v>
      </c>
      <c r="Y154" s="1" t="s">
        <v>10</v>
      </c>
    </row>
    <row r="155" spans="2:25" hidden="1" x14ac:dyDescent="0.2">
      <c r="B155" s="216" t="s">
        <v>10</v>
      </c>
      <c r="C155" s="217" t="s">
        <v>10</v>
      </c>
      <c r="D155" s="62" t="s">
        <v>10</v>
      </c>
      <c r="E155" s="61" t="s">
        <v>10</v>
      </c>
      <c r="F155" s="61" t="s">
        <v>10</v>
      </c>
      <c r="G155" s="62" t="s">
        <v>10</v>
      </c>
      <c r="H155" s="60" t="s">
        <v>10</v>
      </c>
      <c r="I155" s="62" t="s">
        <v>10</v>
      </c>
      <c r="J155" s="61" t="s">
        <v>10</v>
      </c>
      <c r="K155" s="68" t="s">
        <v>10</v>
      </c>
      <c r="L155" s="63" t="s">
        <v>10</v>
      </c>
      <c r="M155" s="61" t="s">
        <v>10</v>
      </c>
      <c r="N155" s="68" t="s">
        <v>10</v>
      </c>
      <c r="O155" s="52" t="s">
        <v>176</v>
      </c>
      <c r="P155" s="61" t="s">
        <v>10</v>
      </c>
      <c r="Q155" s="61" t="s">
        <v>10</v>
      </c>
      <c r="R155" s="61" t="s">
        <v>10</v>
      </c>
      <c r="S155" s="61" t="s">
        <v>10</v>
      </c>
      <c r="T155" s="61" t="s">
        <v>10</v>
      </c>
      <c r="U155" s="61" t="s">
        <v>10</v>
      </c>
      <c r="V155" s="61" t="s">
        <v>10</v>
      </c>
      <c r="W155" s="61" t="s">
        <v>10</v>
      </c>
      <c r="X155" s="69" t="s">
        <v>10</v>
      </c>
      <c r="Y155" s="1" t="s">
        <v>10</v>
      </c>
    </row>
    <row r="156" spans="2:25" hidden="1" x14ac:dyDescent="0.2">
      <c r="B156" s="216">
        <v>39</v>
      </c>
      <c r="C156" s="217">
        <v>38</v>
      </c>
      <c r="D156" s="58" t="s">
        <v>10</v>
      </c>
      <c r="E156" s="61">
        <f>IF(B156=0,cell_HGL,IF(VLOOKUP(B156,table_HGL_JCTS,17,FALSE)&lt;X156,X156,VLOOKUP(B156,table_HGL_JCTS,17,FALSE)))</f>
        <v>404.59454974954224</v>
      </c>
      <c r="F156" s="61">
        <f>IF(B156=0,(E156+K156),IF(VLOOKUP(B156,table_HGL_JCTS,13,FALSE)="T-INTERSECTION",(E156+K156),(IF(VLOOKUP(B156,table_HGL_JCTS,17,FALSE)&lt;X156,(E156+K156),VLOOKUP(B156,table_HGL_JCTS,18,FALSE)))))</f>
        <v>405.07720323016179</v>
      </c>
      <c r="G156" s="62">
        <f>VLOOKUP(C156,table_CIA_JCTS,18)</f>
        <v>18</v>
      </c>
      <c r="H156" s="60">
        <f>VLOOKUP(C156,table_CIA_JCTS,17)</f>
        <v>1.8103620516230461</v>
      </c>
      <c r="I156" s="62">
        <f>VLOOKUP(C156,table_CIA_JCTS,21)</f>
        <v>156</v>
      </c>
      <c r="J156" s="61">
        <f>H156/((G156/12)^2*3.1416/4)</f>
        <v>1.0244529619008269</v>
      </c>
      <c r="K156" s="61">
        <f>(J156^2)/64.4</f>
        <v>1.6296643961915793E-2</v>
      </c>
      <c r="L156" s="63">
        <f>(H156/((1.486/cell_NP)*((3.1416*(G156/12)^2)/4)*(G156/48)^(2/3)))^2</f>
        <v>2.9702393016890196E-4</v>
      </c>
      <c r="M156" s="61">
        <f>L156*I156</f>
        <v>4.6335733106348705E-2</v>
      </c>
      <c r="N156" s="68" t="s">
        <v>10</v>
      </c>
      <c r="O156" s="52" t="s">
        <v>10</v>
      </c>
      <c r="P156" s="257" t="s">
        <v>10</v>
      </c>
      <c r="Q156" s="61">
        <f>SUM(P156)</f>
        <v>0</v>
      </c>
      <c r="R156" s="61">
        <f>Q156+M156</f>
        <v>4.6335733106348705E-2</v>
      </c>
      <c r="S156" s="61">
        <f>IF(O156="T-INTERSECTION",T156,(T156-K156))</f>
        <v>405.10724231930618</v>
      </c>
      <c r="T156" s="61">
        <f>IF(O156="T-INTERSECTION",(R156+F156-K156),(R156+F156))</f>
        <v>405.12353896326812</v>
      </c>
      <c r="U156" s="61">
        <f>VLOOKUP(C156,table_CIA_JCTS,26)</f>
        <v>409.77</v>
      </c>
      <c r="V156" s="61">
        <f>U156-0.5-S156</f>
        <v>4.1627576806938009</v>
      </c>
      <c r="W156" s="61" t="s">
        <v>10</v>
      </c>
      <c r="X156" s="69">
        <f>IF(B156&gt;0,VLOOKUP(B156,table_CIA_JCTS,28)," ")</f>
        <v>403.67</v>
      </c>
      <c r="Y156" s="1">
        <v>4.1627576806938009</v>
      </c>
    </row>
    <row r="157" spans="2:25" hidden="1" x14ac:dyDescent="0.2">
      <c r="B157" s="216" t="s">
        <v>10</v>
      </c>
      <c r="C157" s="217" t="s">
        <v>10</v>
      </c>
      <c r="D157" s="62" t="s">
        <v>10</v>
      </c>
      <c r="E157" s="61" t="s">
        <v>10</v>
      </c>
      <c r="F157" s="61" t="s">
        <v>10</v>
      </c>
      <c r="G157" s="62" t="s">
        <v>10</v>
      </c>
      <c r="H157" s="60" t="s">
        <v>10</v>
      </c>
      <c r="I157" s="62" t="s">
        <v>10</v>
      </c>
      <c r="J157" s="61" t="s">
        <v>10</v>
      </c>
      <c r="K157" s="68" t="s">
        <v>10</v>
      </c>
      <c r="L157" s="63" t="s">
        <v>10</v>
      </c>
      <c r="M157" s="61" t="s">
        <v>10</v>
      </c>
      <c r="N157" s="68" t="s">
        <v>10</v>
      </c>
      <c r="O157" s="52" t="s">
        <v>176</v>
      </c>
      <c r="P157" s="61" t="s">
        <v>10</v>
      </c>
      <c r="Q157" s="61" t="s">
        <v>10</v>
      </c>
      <c r="R157" s="61" t="s">
        <v>10</v>
      </c>
      <c r="S157" s="61" t="s">
        <v>10</v>
      </c>
      <c r="T157" s="61" t="s">
        <v>10</v>
      </c>
      <c r="U157" s="61" t="s">
        <v>10</v>
      </c>
      <c r="V157" s="61" t="s">
        <v>10</v>
      </c>
      <c r="W157" s="61" t="s">
        <v>10</v>
      </c>
      <c r="X157" s="69" t="s">
        <v>10</v>
      </c>
      <c r="Y157" s="1" t="s">
        <v>10</v>
      </c>
    </row>
    <row r="158" spans="2:25" hidden="1" x14ac:dyDescent="0.2">
      <c r="B158" s="216" t="s">
        <v>10</v>
      </c>
      <c r="C158" s="217" t="s">
        <v>10</v>
      </c>
      <c r="D158" s="62" t="s">
        <v>10</v>
      </c>
      <c r="E158" s="61" t="s">
        <v>10</v>
      </c>
      <c r="F158" s="61" t="s">
        <v>10</v>
      </c>
      <c r="G158" s="62" t="s">
        <v>10</v>
      </c>
      <c r="H158" s="60" t="s">
        <v>10</v>
      </c>
      <c r="I158" s="62" t="s">
        <v>10</v>
      </c>
      <c r="J158" s="61" t="s">
        <v>10</v>
      </c>
      <c r="K158" s="68" t="s">
        <v>10</v>
      </c>
      <c r="L158" s="63" t="s">
        <v>10</v>
      </c>
      <c r="M158" s="61" t="s">
        <v>10</v>
      </c>
      <c r="N158" s="68" t="s">
        <v>10</v>
      </c>
      <c r="O158" s="52" t="s">
        <v>176</v>
      </c>
      <c r="P158" s="61" t="s">
        <v>10</v>
      </c>
      <c r="Q158" s="61" t="s">
        <v>10</v>
      </c>
      <c r="R158" s="61" t="s">
        <v>10</v>
      </c>
      <c r="S158" s="61" t="s">
        <v>10</v>
      </c>
      <c r="T158" s="61" t="s">
        <v>10</v>
      </c>
      <c r="U158" s="61" t="s">
        <v>10</v>
      </c>
      <c r="V158" s="61" t="s">
        <v>10</v>
      </c>
      <c r="W158" s="61" t="s">
        <v>10</v>
      </c>
      <c r="X158" s="69" t="s">
        <v>10</v>
      </c>
      <c r="Y158" s="1" t="s">
        <v>10</v>
      </c>
    </row>
    <row r="159" spans="2:25" hidden="1" x14ac:dyDescent="0.2">
      <c r="B159" s="216">
        <v>42</v>
      </c>
      <c r="C159" s="217">
        <v>41</v>
      </c>
      <c r="D159" s="58" t="s">
        <v>10</v>
      </c>
      <c r="E159" s="61">
        <f>IF(B159=0,cell_HGL,IF(VLOOKUP(B159,table_HGL_JCTS,17,FALSE)&lt;X159,X159,VLOOKUP(B159,table_HGL_JCTS,17,FALSE)))</f>
        <v>404.40685113483505</v>
      </c>
      <c r="F159" s="61">
        <f>IF(B159=0,(E159+K159),IF(VLOOKUP(B159,table_HGL_JCTS,13,FALSE)="T-INTERSECTION",(E159+K159),(IF(VLOOKUP(B159,table_HGL_JCTS,17,FALSE)&lt;X159,(E159+K159),VLOOKUP(B159,table_HGL_JCTS,18,FALSE)))))</f>
        <v>404.70715251918591</v>
      </c>
      <c r="G159" s="62">
        <f>VLOOKUP(C159,table_CIA_JCTS,18)</f>
        <v>18</v>
      </c>
      <c r="H159" s="60">
        <f>VLOOKUP(C159,table_CIA_JCTS,17)</f>
        <v>4.5205017146710649</v>
      </c>
      <c r="I159" s="62">
        <f>VLOOKUP(C159,table_CIA_JCTS,21)</f>
        <v>107</v>
      </c>
      <c r="J159" s="61">
        <f>H159/((G159/12)^2*3.1416/4)</f>
        <v>2.5580747048473897</v>
      </c>
      <c r="K159" s="61">
        <f>(J159^2)/64.4</f>
        <v>0.1016109657698767</v>
      </c>
      <c r="L159" s="63">
        <f>(H159/((1.486/cell_NP)*((3.1416*(G159/12)^2)/4)*(G159/48)^(2/3)))^2</f>
        <v>1.8519695510165991E-3</v>
      </c>
      <c r="M159" s="61">
        <f>L159*I159</f>
        <v>0.19816074195877609</v>
      </c>
      <c r="N159" s="68" t="s">
        <v>10</v>
      </c>
      <c r="O159" s="72" t="s">
        <v>130</v>
      </c>
      <c r="P159" s="61">
        <f>IF(ISBLANK(O159)=FALSE,(VLOOKUP(O159,table_MINOR,2,FALSE))*(K159)," ")</f>
        <v>3.0483289730963009E-2</v>
      </c>
      <c r="Q159" s="61">
        <f>SUM(P159:P160)</f>
        <v>3.0483289730963009E-2</v>
      </c>
      <c r="R159" s="61">
        <f>Q159+M159</f>
        <v>0.2286440316897391</v>
      </c>
      <c r="S159" s="61">
        <f>IF(O159="T-INTERSECTION",T159,(T159-K159))</f>
        <v>404.83418558510579</v>
      </c>
      <c r="T159" s="61">
        <f>IF(O159="T-INTERSECTION",(R159+F159-K159),(R159+F159))</f>
        <v>404.93579655087564</v>
      </c>
      <c r="U159" s="61">
        <f>VLOOKUP(C159,table_CIA_JCTS,26)</f>
        <v>408.5</v>
      </c>
      <c r="V159" s="61">
        <f>U159-0.5-S159</f>
        <v>3.1658144148942142</v>
      </c>
      <c r="W159" s="61" t="s">
        <v>10</v>
      </c>
      <c r="X159" s="69">
        <f>IF(B159&gt;0,VLOOKUP(B159,table_CIA_JCTS,28)," ")</f>
        <v>403.67</v>
      </c>
      <c r="Y159" s="1">
        <v>3.1658144148942142</v>
      </c>
    </row>
    <row r="160" spans="2:25" hidden="1" x14ac:dyDescent="0.2">
      <c r="B160" s="216" t="s">
        <v>10</v>
      </c>
      <c r="C160" s="217" t="s">
        <v>10</v>
      </c>
      <c r="D160" s="62" t="s">
        <v>10</v>
      </c>
      <c r="E160" s="61" t="s">
        <v>10</v>
      </c>
      <c r="F160" s="61" t="s">
        <v>10</v>
      </c>
      <c r="G160" s="62" t="s">
        <v>10</v>
      </c>
      <c r="H160" s="60" t="s">
        <v>10</v>
      </c>
      <c r="I160" s="62" t="s">
        <v>10</v>
      </c>
      <c r="J160" s="61" t="s">
        <v>10</v>
      </c>
      <c r="K160" s="68">
        <f>K159</f>
        <v>0.1016109657698767</v>
      </c>
      <c r="L160" s="63" t="s">
        <v>10</v>
      </c>
      <c r="M160" s="61" t="s">
        <v>10</v>
      </c>
      <c r="N160" s="68" t="s">
        <v>10</v>
      </c>
      <c r="O160" s="52" t="s">
        <v>10</v>
      </c>
      <c r="P160" s="257" t="s">
        <v>10</v>
      </c>
      <c r="Q160" s="61" t="s">
        <v>10</v>
      </c>
      <c r="R160" s="61" t="s">
        <v>10</v>
      </c>
      <c r="S160" s="61" t="s">
        <v>10</v>
      </c>
      <c r="T160" s="61" t="s">
        <v>10</v>
      </c>
      <c r="U160" s="61" t="s">
        <v>10</v>
      </c>
      <c r="V160" s="61" t="s">
        <v>10</v>
      </c>
      <c r="W160" s="61" t="s">
        <v>10</v>
      </c>
      <c r="X160" s="69" t="s">
        <v>10</v>
      </c>
      <c r="Y160" s="1" t="s">
        <v>10</v>
      </c>
    </row>
    <row r="161" spans="2:25" hidden="1" x14ac:dyDescent="0.2">
      <c r="B161" s="216">
        <v>41</v>
      </c>
      <c r="C161" s="217">
        <v>40</v>
      </c>
      <c r="D161" s="58" t="s">
        <v>10</v>
      </c>
      <c r="E161" s="61">
        <f>IF(B161=0,cell_HGL,IF(VLOOKUP(B161,table_HGL_JCTS,17,FALSE)&lt;X161,X161,VLOOKUP(B161,table_HGL_JCTS,17,FALSE)))</f>
        <v>404.83418558510579</v>
      </c>
      <c r="F161" s="61">
        <f>IF(B161=0,(E161+K161),IF(VLOOKUP(B161,table_HGL_JCTS,13,FALSE)="T-INTERSECTION",(E161+K161),(IF(VLOOKUP(B161,table_HGL_JCTS,17,FALSE)&lt;X161,(E161+K161),VLOOKUP(B161,table_HGL_JCTS,18,FALSE)))))</f>
        <v>404.93579655087564</v>
      </c>
      <c r="G161" s="62">
        <f>VLOOKUP(C161,table_CIA_JCTS,18)</f>
        <v>18</v>
      </c>
      <c r="H161" s="60">
        <f>VLOOKUP(C161,table_CIA_JCTS,17)</f>
        <v>2.8622791851047085</v>
      </c>
      <c r="I161" s="62">
        <f>VLOOKUP(C161,table_CIA_JCTS,21)</f>
        <v>531</v>
      </c>
      <c r="J161" s="61">
        <f>H161/((G161/12)^2*3.1416/4)</f>
        <v>1.6197148997565054</v>
      </c>
      <c r="K161" s="61">
        <f>(J161^2)/64.4</f>
        <v>4.0737210504553201E-2</v>
      </c>
      <c r="L161" s="63">
        <f>(H161/((1.486/cell_NP)*((3.1416*(G161/12)^2)/4)*(G161/48)^(2/3)))^2</f>
        <v>7.4247964160332786E-4</v>
      </c>
      <c r="M161" s="61">
        <f>L161*I161</f>
        <v>0.39425668969136707</v>
      </c>
      <c r="N161" s="68" t="s">
        <v>10</v>
      </c>
      <c r="O161" s="72" t="s">
        <v>131</v>
      </c>
      <c r="P161" s="61">
        <f>IF(ISBLANK(O161)=FALSE,(VLOOKUP(O161,table_MINOR,2,FALSE))*(K161)," ")</f>
        <v>1.01843026261383E-2</v>
      </c>
      <c r="Q161" s="61">
        <f>SUM(P161:P162)</f>
        <v>1.01843026261383E-2</v>
      </c>
      <c r="R161" s="61">
        <f>Q161+M161</f>
        <v>0.40444099231750535</v>
      </c>
      <c r="S161" s="61">
        <f>IF(O161="T-INTERSECTION",T161,(T161-K161))</f>
        <v>405.29950033268858</v>
      </c>
      <c r="T161" s="61">
        <f>IF(O161="T-INTERSECTION",(R161+F161-K161),(R161+F161))</f>
        <v>405.34023754319315</v>
      </c>
      <c r="U161" s="61">
        <f>VLOOKUP(C161,table_CIA_JCTS,26)</f>
        <v>409.79</v>
      </c>
      <c r="V161" s="61">
        <f>U161-0.5-S161</f>
        <v>3.9904996673114397</v>
      </c>
      <c r="W161" s="61" t="s">
        <v>10</v>
      </c>
      <c r="X161" s="69">
        <f>IF(B161&gt;0,VLOOKUP(B161,table_CIA_JCTS,28)," ")</f>
        <v>401.5</v>
      </c>
      <c r="Y161" s="1">
        <v>3.9904996673114397</v>
      </c>
    </row>
    <row r="162" spans="2:25" hidden="1" x14ac:dyDescent="0.2">
      <c r="B162" s="216" t="s">
        <v>10</v>
      </c>
      <c r="C162" s="217" t="s">
        <v>10</v>
      </c>
      <c r="D162" s="62" t="s">
        <v>10</v>
      </c>
      <c r="E162" s="61" t="s">
        <v>10</v>
      </c>
      <c r="F162" s="61" t="s">
        <v>10</v>
      </c>
      <c r="G162" s="62" t="s">
        <v>10</v>
      </c>
      <c r="H162" s="60" t="s">
        <v>10</v>
      </c>
      <c r="I162" s="62" t="s">
        <v>10</v>
      </c>
      <c r="J162" s="61" t="s">
        <v>10</v>
      </c>
      <c r="K162" s="68">
        <f>K161</f>
        <v>4.0737210504553201E-2</v>
      </c>
      <c r="L162" s="63" t="s">
        <v>10</v>
      </c>
      <c r="M162" s="61" t="s">
        <v>10</v>
      </c>
      <c r="N162" s="68" t="s">
        <v>10</v>
      </c>
      <c r="O162" s="52" t="s">
        <v>10</v>
      </c>
      <c r="P162" s="257" t="s">
        <v>10</v>
      </c>
      <c r="Q162" s="61" t="s">
        <v>10</v>
      </c>
      <c r="R162" s="61" t="s">
        <v>10</v>
      </c>
      <c r="S162" s="61" t="s">
        <v>10</v>
      </c>
      <c r="T162" s="61" t="s">
        <v>10</v>
      </c>
      <c r="U162" s="61" t="s">
        <v>10</v>
      </c>
      <c r="V162" s="61" t="s">
        <v>10</v>
      </c>
      <c r="W162" s="61" t="s">
        <v>10</v>
      </c>
      <c r="X162" s="69" t="s">
        <v>10</v>
      </c>
      <c r="Y162" s="1" t="s">
        <v>10</v>
      </c>
    </row>
    <row r="163" spans="2:25" hidden="1" x14ac:dyDescent="0.2">
      <c r="B163" s="216" t="s">
        <v>10</v>
      </c>
      <c r="C163" s="217" t="s">
        <v>10</v>
      </c>
      <c r="D163" s="62" t="s">
        <v>10</v>
      </c>
      <c r="E163" s="61" t="s">
        <v>10</v>
      </c>
      <c r="F163" s="61" t="s">
        <v>10</v>
      </c>
      <c r="G163" s="62" t="s">
        <v>10</v>
      </c>
      <c r="H163" s="60" t="s">
        <v>10</v>
      </c>
      <c r="I163" s="62" t="s">
        <v>10</v>
      </c>
      <c r="J163" s="61" t="s">
        <v>10</v>
      </c>
      <c r="K163" s="68" t="s">
        <v>10</v>
      </c>
      <c r="L163" s="63" t="s">
        <v>10</v>
      </c>
      <c r="M163" s="61" t="s">
        <v>10</v>
      </c>
      <c r="N163" s="68" t="s">
        <v>10</v>
      </c>
      <c r="O163" s="52" t="s">
        <v>176</v>
      </c>
      <c r="P163" s="61" t="s">
        <v>10</v>
      </c>
      <c r="Q163" s="61" t="s">
        <v>10</v>
      </c>
      <c r="R163" s="61" t="s">
        <v>10</v>
      </c>
      <c r="S163" s="61" t="s">
        <v>10</v>
      </c>
      <c r="T163" s="61" t="s">
        <v>10</v>
      </c>
      <c r="U163" s="61" t="s">
        <v>10</v>
      </c>
      <c r="V163" s="61" t="s">
        <v>10</v>
      </c>
      <c r="W163" s="61" t="s">
        <v>10</v>
      </c>
      <c r="X163" s="69" t="s">
        <v>10</v>
      </c>
      <c r="Y163" s="1" t="s">
        <v>10</v>
      </c>
    </row>
    <row r="164" spans="2:25" hidden="1" x14ac:dyDescent="0.2">
      <c r="B164" s="216">
        <v>51</v>
      </c>
      <c r="C164" s="217">
        <v>50</v>
      </c>
      <c r="D164" s="58" t="s">
        <v>10</v>
      </c>
      <c r="E164" s="61">
        <f>IF(B164=0,cell_HGL,IF(VLOOKUP(B164,table_HGL_JCTS,17,FALSE)&lt;X164,X164,VLOOKUP(B164,table_HGL_JCTS,17,FALSE)))</f>
        <v>402.97</v>
      </c>
      <c r="F164" s="61">
        <f>IF(B164=0,(E164+K164),IF(VLOOKUP(B164,table_HGL_JCTS,13,FALSE)="T-INTERSECTION",(E164+K164),(IF(VLOOKUP(B164,table_HGL_JCTS,17,FALSE)&lt;X164,(E164+K164),VLOOKUP(B164,table_HGL_JCTS,18,FALSE)))))</f>
        <v>403.00211660864539</v>
      </c>
      <c r="G164" s="62">
        <f>VLOOKUP(C164,table_CIA_JCTS,18)</f>
        <v>24</v>
      </c>
      <c r="H164" s="60">
        <f>VLOOKUP(C164,table_CIA_JCTS,17)</f>
        <v>4.5181293662245174</v>
      </c>
      <c r="I164" s="62">
        <f>VLOOKUP(C164,table_CIA_JCTS,21)</f>
        <v>470</v>
      </c>
      <c r="J164" s="61">
        <f>H164/((G164/12)^2*3.1416/4)</f>
        <v>1.4381618812784942</v>
      </c>
      <c r="K164" s="61">
        <f>(J164^2)/64.4</f>
        <v>3.21166086453804E-2</v>
      </c>
      <c r="L164" s="63">
        <f>(H164/((1.486/cell_NP)*((3.1416*(G164/12)^2)/4)*(G164/48)^(2/3)))^2</f>
        <v>3.9887604992822144E-4</v>
      </c>
      <c r="M164" s="61">
        <f>L164*I164</f>
        <v>0.18747174346626408</v>
      </c>
      <c r="N164" s="68" t="s">
        <v>10</v>
      </c>
      <c r="O164" s="52" t="s">
        <v>10</v>
      </c>
      <c r="P164" s="257" t="s">
        <v>10</v>
      </c>
      <c r="Q164" s="61">
        <f>SUM(P164)</f>
        <v>0</v>
      </c>
      <c r="R164" s="61">
        <f>Q164+M164</f>
        <v>0.18747174346626408</v>
      </c>
      <c r="S164" s="61">
        <f>IF(O164="T-INTERSECTION",T164,(T164-K164))</f>
        <v>403.15747174346632</v>
      </c>
      <c r="T164" s="61">
        <f>IF(O164="T-INTERSECTION",(R164+F164-K164),(R164+F164))</f>
        <v>403.18958835211168</v>
      </c>
      <c r="U164" s="61">
        <f>VLOOKUP(C164,table_CIA_JCTS,26)</f>
        <v>407</v>
      </c>
      <c r="V164" s="61">
        <f>U164-0.5-S164</f>
        <v>3.3425282565336829</v>
      </c>
      <c r="W164" s="61" t="s">
        <v>10</v>
      </c>
      <c r="X164" s="69">
        <f>IF(B164&gt;0,VLOOKUP(B164,table_CIA_JCTS,28)," ")</f>
        <v>402.97</v>
      </c>
      <c r="Y164" s="1">
        <v>3.3425282565336829</v>
      </c>
    </row>
    <row r="165" spans="2:25" hidden="1" x14ac:dyDescent="0.2">
      <c r="B165" s="216" t="s">
        <v>10</v>
      </c>
      <c r="C165" s="217" t="s">
        <v>10</v>
      </c>
      <c r="D165" s="62" t="s">
        <v>10</v>
      </c>
      <c r="E165" s="61" t="s">
        <v>10</v>
      </c>
      <c r="F165" s="61" t="s">
        <v>10</v>
      </c>
      <c r="G165" s="62" t="s">
        <v>10</v>
      </c>
      <c r="H165" s="60" t="s">
        <v>10</v>
      </c>
      <c r="I165" s="62" t="s">
        <v>10</v>
      </c>
      <c r="J165" s="61" t="s">
        <v>10</v>
      </c>
      <c r="K165" s="68" t="s">
        <v>10</v>
      </c>
      <c r="L165" s="63" t="s">
        <v>10</v>
      </c>
      <c r="M165" s="61" t="s">
        <v>10</v>
      </c>
      <c r="N165" s="68" t="s">
        <v>10</v>
      </c>
      <c r="O165" s="52" t="s">
        <v>176</v>
      </c>
      <c r="P165" s="61" t="s">
        <v>10</v>
      </c>
      <c r="Q165" s="61" t="s">
        <v>10</v>
      </c>
      <c r="R165" s="61" t="s">
        <v>10</v>
      </c>
      <c r="S165" s="61" t="s">
        <v>10</v>
      </c>
      <c r="T165" s="61" t="s">
        <v>10</v>
      </c>
      <c r="U165" s="61" t="s">
        <v>10</v>
      </c>
      <c r="V165" s="61" t="s">
        <v>10</v>
      </c>
      <c r="W165" s="61" t="s">
        <v>10</v>
      </c>
      <c r="X165" s="69" t="s">
        <v>10</v>
      </c>
      <c r="Y165" s="1" t="s">
        <v>10</v>
      </c>
    </row>
    <row r="166" spans="2:25" hidden="1" x14ac:dyDescent="0.2">
      <c r="B166" s="216" t="s">
        <v>10</v>
      </c>
      <c r="C166" s="217" t="s">
        <v>10</v>
      </c>
      <c r="D166" s="62" t="s">
        <v>10</v>
      </c>
      <c r="E166" s="61" t="s">
        <v>10</v>
      </c>
      <c r="F166" s="61" t="s">
        <v>10</v>
      </c>
      <c r="G166" s="62" t="s">
        <v>10</v>
      </c>
      <c r="H166" s="60" t="s">
        <v>10</v>
      </c>
      <c r="I166" s="62" t="s">
        <v>10</v>
      </c>
      <c r="J166" s="61" t="s">
        <v>10</v>
      </c>
      <c r="K166" s="68" t="s">
        <v>10</v>
      </c>
      <c r="L166" s="63" t="s">
        <v>10</v>
      </c>
      <c r="M166" s="61" t="s">
        <v>10</v>
      </c>
      <c r="N166" s="68" t="s">
        <v>10</v>
      </c>
      <c r="O166" s="52" t="s">
        <v>176</v>
      </c>
      <c r="P166" s="61" t="s">
        <v>10</v>
      </c>
      <c r="Q166" s="61" t="s">
        <v>10</v>
      </c>
      <c r="R166" s="61" t="s">
        <v>10</v>
      </c>
      <c r="S166" s="61" t="s">
        <v>10</v>
      </c>
      <c r="T166" s="61" t="s">
        <v>10</v>
      </c>
      <c r="U166" s="61" t="s">
        <v>10</v>
      </c>
      <c r="V166" s="61" t="s">
        <v>10</v>
      </c>
      <c r="W166" s="61" t="s">
        <v>10</v>
      </c>
      <c r="X166" s="69" t="s">
        <v>10</v>
      </c>
      <c r="Y166" s="1" t="s">
        <v>10</v>
      </c>
    </row>
    <row r="167" spans="2:25" hidden="1" x14ac:dyDescent="0.2">
      <c r="B167" s="216">
        <v>51</v>
      </c>
      <c r="C167" s="217">
        <v>49</v>
      </c>
      <c r="D167" s="58" t="s">
        <v>10</v>
      </c>
      <c r="E167" s="61">
        <f>IF(B167=0,cell_HGL,IF(VLOOKUP(B167,table_HGL_JCTS,17,FALSE)&lt;X167,X167,VLOOKUP(B167,table_HGL_JCTS,17,FALSE)))</f>
        <v>402.97</v>
      </c>
      <c r="F167" s="61">
        <f>IF(B167=0,(E167+K167),IF(VLOOKUP(B167,table_HGL_JCTS,13,FALSE)="T-INTERSECTION",(E167+K167),(IF(VLOOKUP(B167,table_HGL_JCTS,17,FALSE)&lt;X167,(E167+K167),VLOOKUP(B167,table_HGL_JCTS,18,FALSE)))))</f>
        <v>403.18051812901246</v>
      </c>
      <c r="G167" s="62">
        <f>VLOOKUP(C167,table_CIA_JCTS,18)</f>
        <v>24</v>
      </c>
      <c r="H167" s="60">
        <f>VLOOKUP(C167,table_CIA_JCTS,17)</f>
        <v>11.567475084105949</v>
      </c>
      <c r="I167" s="62">
        <f>VLOOKUP(C167,table_CIA_JCTS,21)</f>
        <v>38</v>
      </c>
      <c r="J167" s="61">
        <f>H167/((G167/12)^2*3.1416/4)</f>
        <v>3.6820330672606154</v>
      </c>
      <c r="K167" s="61">
        <f>(J167^2)/64.4</f>
        <v>0.21051812901243189</v>
      </c>
      <c r="L167" s="63">
        <f>(H167/((1.486/cell_NP)*((3.1416*(G167/12)^2)/4)*(G167/48)^(2/3)))^2</f>
        <v>2.6145550006830116E-3</v>
      </c>
      <c r="M167" s="61">
        <f>L167*I167</f>
        <v>9.9353090025954438E-2</v>
      </c>
      <c r="N167" s="68" t="s">
        <v>10</v>
      </c>
      <c r="O167" s="72" t="s">
        <v>130</v>
      </c>
      <c r="P167" s="61">
        <f>IF(ISBLANK(O167)=FALSE,(VLOOKUP(O167,table_MINOR,2,FALSE))*(K167)," ")</f>
        <v>6.3155438703729569E-2</v>
      </c>
      <c r="Q167" s="61">
        <f>SUM(P167:P168)</f>
        <v>6.3155438703729569E-2</v>
      </c>
      <c r="R167" s="61">
        <f>Q167+M167</f>
        <v>0.16250852872968402</v>
      </c>
      <c r="S167" s="61">
        <f>IF(O167="T-INTERSECTION",T167,(T167-K167))</f>
        <v>403.13250852872972</v>
      </c>
      <c r="T167" s="61">
        <f>IF(O167="T-INTERSECTION",(R167+F167-K167),(R167+F167))</f>
        <v>403.34302665774214</v>
      </c>
      <c r="U167" s="61">
        <f>VLOOKUP(C167,table_CIA_JCTS,26)</f>
        <v>406.8</v>
      </c>
      <c r="V167" s="61">
        <f>U167-0.5-S167</f>
        <v>3.1674914712702957</v>
      </c>
      <c r="W167" s="61" t="s">
        <v>10</v>
      </c>
      <c r="X167" s="69">
        <f>IF(B167&gt;0,VLOOKUP(B167,table_CIA_JCTS,28)," ")</f>
        <v>402.97</v>
      </c>
      <c r="Y167" s="1">
        <v>3.1674914712702957</v>
      </c>
    </row>
    <row r="168" spans="2:25" hidden="1" x14ac:dyDescent="0.2">
      <c r="B168" s="216" t="s">
        <v>10</v>
      </c>
      <c r="C168" s="217" t="s">
        <v>10</v>
      </c>
      <c r="D168" s="62" t="s">
        <v>10</v>
      </c>
      <c r="E168" s="61" t="s">
        <v>10</v>
      </c>
      <c r="F168" s="61" t="s">
        <v>10</v>
      </c>
      <c r="G168" s="62" t="s">
        <v>10</v>
      </c>
      <c r="H168" s="60" t="s">
        <v>10</v>
      </c>
      <c r="I168" s="62" t="s">
        <v>10</v>
      </c>
      <c r="J168" s="61" t="s">
        <v>10</v>
      </c>
      <c r="K168" s="68">
        <f>K167</f>
        <v>0.21051812901243189</v>
      </c>
      <c r="L168" s="63" t="s">
        <v>10</v>
      </c>
      <c r="M168" s="61" t="s">
        <v>10</v>
      </c>
      <c r="N168" s="68" t="s">
        <v>10</v>
      </c>
      <c r="O168" s="52" t="s">
        <v>10</v>
      </c>
      <c r="P168" s="257" t="s">
        <v>10</v>
      </c>
      <c r="Q168" s="61" t="s">
        <v>10</v>
      </c>
      <c r="R168" s="61" t="s">
        <v>10</v>
      </c>
      <c r="S168" s="61" t="s">
        <v>10</v>
      </c>
      <c r="T168" s="61" t="s">
        <v>10</v>
      </c>
      <c r="U168" s="61" t="s">
        <v>10</v>
      </c>
      <c r="V168" s="61" t="s">
        <v>10</v>
      </c>
      <c r="W168" s="61" t="s">
        <v>10</v>
      </c>
      <c r="X168" s="69" t="s">
        <v>10</v>
      </c>
      <c r="Y168" s="1" t="s">
        <v>10</v>
      </c>
    </row>
    <row r="169" spans="2:25" hidden="1" x14ac:dyDescent="0.2">
      <c r="B169" s="216">
        <v>49</v>
      </c>
      <c r="C169" s="217">
        <v>48</v>
      </c>
      <c r="D169" s="58" t="s">
        <v>10</v>
      </c>
      <c r="E169" s="61">
        <f>IF(B169=0,cell_HGL,IF(VLOOKUP(B169,table_HGL_JCTS,17,FALSE)&lt;X169,X169,VLOOKUP(B169,table_HGL_JCTS,17,FALSE)))</f>
        <v>403.13250852872972</v>
      </c>
      <c r="F169" s="61">
        <f>IF(B169=0,(E169+K169),IF(VLOOKUP(B169,table_HGL_JCTS,13,FALSE)="T-INTERSECTION",(E169+K169),(IF(VLOOKUP(B169,table_HGL_JCTS,17,FALSE)&lt;X169,(E169+K169),VLOOKUP(B169,table_HGL_JCTS,18,FALSE)))))</f>
        <v>403.34302665774214</v>
      </c>
      <c r="G169" s="62">
        <f>VLOOKUP(C169,table_CIA_JCTS,18)</f>
        <v>24</v>
      </c>
      <c r="H169" s="60">
        <f>VLOOKUP(C169,table_CIA_JCTS,17)</f>
        <v>8.9482385409892728</v>
      </c>
      <c r="I169" s="62">
        <f>VLOOKUP(C169,table_CIA_JCTS,21)</f>
        <v>540</v>
      </c>
      <c r="J169" s="61">
        <f>H169/((G169/12)^2*3.1416/4)</f>
        <v>2.8483061309489663</v>
      </c>
      <c r="K169" s="61">
        <f>(J169^2)/64.4</f>
        <v>0.12597589775778678</v>
      </c>
      <c r="L169" s="63">
        <f>(H169/((1.486/cell_NP)*((3.1416*(G169/12)^2)/4)*(G169/48)^(2/3)))^2</f>
        <v>1.5645726807153157E-3</v>
      </c>
      <c r="M169" s="61">
        <f>L169*I169</f>
        <v>0.84486924758627047</v>
      </c>
      <c r="N169" s="68" t="s">
        <v>10</v>
      </c>
      <c r="O169" s="72" t="s">
        <v>130</v>
      </c>
      <c r="P169" s="61">
        <f>IF(ISBLANK(O169)=FALSE,(VLOOKUP(O169,table_MINOR,2,FALSE))*(K169)," ")</f>
        <v>3.779276932733603E-2</v>
      </c>
      <c r="Q169" s="61">
        <f>SUM(P169:P170)</f>
        <v>3.779276932733603E-2</v>
      </c>
      <c r="R169" s="61">
        <f>Q169+M169</f>
        <v>0.88266201691360646</v>
      </c>
      <c r="S169" s="61">
        <f>IF(O169="T-INTERSECTION",T169,(T169-K169))</f>
        <v>404.099712776898</v>
      </c>
      <c r="T169" s="61">
        <f>IF(O169="T-INTERSECTION",(R169+F169-K169),(R169+F169))</f>
        <v>404.22568867465577</v>
      </c>
      <c r="U169" s="61">
        <f>VLOOKUP(C169,table_CIA_JCTS,26)</f>
        <v>408.5</v>
      </c>
      <c r="V169" s="61">
        <f>U169-0.5-S169</f>
        <v>3.9002872231019978</v>
      </c>
      <c r="W169" s="61" t="s">
        <v>10</v>
      </c>
      <c r="X169" s="69">
        <f>IF(B169&gt;0,VLOOKUP(B169,table_CIA_JCTS,28)," ")</f>
        <v>400.87</v>
      </c>
      <c r="Y169" s="1">
        <v>3.9002872231019978</v>
      </c>
    </row>
    <row r="170" spans="2:25" hidden="1" x14ac:dyDescent="0.2">
      <c r="B170" s="216" t="s">
        <v>10</v>
      </c>
      <c r="C170" s="217" t="s">
        <v>10</v>
      </c>
      <c r="D170" s="62" t="s">
        <v>10</v>
      </c>
      <c r="E170" s="61" t="s">
        <v>10</v>
      </c>
      <c r="F170" s="61" t="s">
        <v>10</v>
      </c>
      <c r="G170" s="62" t="s">
        <v>10</v>
      </c>
      <c r="H170" s="60" t="s">
        <v>10</v>
      </c>
      <c r="I170" s="62" t="s">
        <v>10</v>
      </c>
      <c r="J170" s="61" t="s">
        <v>10</v>
      </c>
      <c r="K170" s="68">
        <f>K169</f>
        <v>0.12597589775778678</v>
      </c>
      <c r="L170" s="63" t="s">
        <v>10</v>
      </c>
      <c r="M170" s="61" t="s">
        <v>10</v>
      </c>
      <c r="N170" s="68" t="s">
        <v>10</v>
      </c>
      <c r="O170" s="52" t="s">
        <v>10</v>
      </c>
      <c r="P170" s="257" t="s">
        <v>10</v>
      </c>
      <c r="Q170" s="61" t="s">
        <v>10</v>
      </c>
      <c r="R170" s="61" t="s">
        <v>10</v>
      </c>
      <c r="S170" s="61" t="s">
        <v>10</v>
      </c>
      <c r="T170" s="61" t="s">
        <v>10</v>
      </c>
      <c r="U170" s="61" t="s">
        <v>10</v>
      </c>
      <c r="V170" s="61" t="s">
        <v>10</v>
      </c>
      <c r="W170" s="61" t="s">
        <v>10</v>
      </c>
      <c r="X170" s="69" t="s">
        <v>10</v>
      </c>
      <c r="Y170" s="1" t="s">
        <v>10</v>
      </c>
    </row>
    <row r="171" spans="2:25" hidden="1" x14ac:dyDescent="0.2">
      <c r="B171" s="216">
        <v>48</v>
      </c>
      <c r="C171" s="217">
        <v>46</v>
      </c>
      <c r="D171" s="58" t="s">
        <v>10</v>
      </c>
      <c r="E171" s="61">
        <f>IF(B171=0,cell_HGL,IF(VLOOKUP(B171,table_HGL_JCTS,17,FALSE)&lt;X171,X171,VLOOKUP(B171,table_HGL_JCTS,17,FALSE)))</f>
        <v>404.099712776898</v>
      </c>
      <c r="F171" s="61">
        <f>IF(B171=0,(E171+K171),IF(VLOOKUP(B171,table_HGL_JCTS,13,FALSE)="T-INTERSECTION",(E171+K171),(IF(VLOOKUP(B171,table_HGL_JCTS,17,FALSE)&lt;X171,(E171+K171),VLOOKUP(B171,table_HGL_JCTS,18,FALSE)))))</f>
        <v>404.22568867465577</v>
      </c>
      <c r="G171" s="62">
        <f>VLOOKUP(C171,table_CIA_JCTS,18)</f>
        <v>18</v>
      </c>
      <c r="H171" s="60">
        <f>VLOOKUP(C171,table_CIA_JCTS,17)</f>
        <v>4.9117933802892786</v>
      </c>
      <c r="I171" s="62">
        <f>VLOOKUP(C171,table_CIA_JCTS,21)</f>
        <v>750</v>
      </c>
      <c r="J171" s="61">
        <f>H171/((G171/12)^2*3.1416/4)</f>
        <v>2.7794999746989664</v>
      </c>
      <c r="K171" s="61">
        <f>(J171^2)/64.4</f>
        <v>0.11996304517626637</v>
      </c>
      <c r="L171" s="63">
        <f>(H171/((1.486/cell_NP)*((3.1416*(G171/12)^2)/4)*(G171/48)^(2/3)))^2</f>
        <v>2.1864560112225336E-3</v>
      </c>
      <c r="M171" s="61">
        <f>L171*I171</f>
        <v>1.6398420084169001</v>
      </c>
      <c r="N171" s="68" t="s">
        <v>10</v>
      </c>
      <c r="O171" s="72" t="s">
        <v>152</v>
      </c>
      <c r="P171" s="61">
        <f>IF(ISBLANK(O171)=FALSE,(VLOOKUP(O171,table_MINOR,2,FALSE))*(K171)," ")</f>
        <v>7.1977827105759812E-2</v>
      </c>
      <c r="Q171" s="61">
        <f>SUM(P171:P172)</f>
        <v>7.1977827105759812E-2</v>
      </c>
      <c r="R171" s="61">
        <f>Q171+M171</f>
        <v>1.7118198355226599</v>
      </c>
      <c r="S171" s="61">
        <f>IF(O171="T-INTERSECTION",T171,(T171-K171))</f>
        <v>405.81754546500213</v>
      </c>
      <c r="T171" s="61">
        <f>IF(O171="T-INTERSECTION",(R171+F171-K171),(R171+F171))</f>
        <v>405.93750851017842</v>
      </c>
      <c r="U171" s="61">
        <f>VLOOKUP(C171,table_CIA_JCTS,26)</f>
        <v>410.63</v>
      </c>
      <c r="V171" s="61">
        <f>U171-0.5-S171</f>
        <v>4.3124545349978689</v>
      </c>
      <c r="W171" s="61" t="s">
        <v>10</v>
      </c>
      <c r="X171" s="69">
        <f>IF(B171&gt;0,VLOOKUP(B171,table_CIA_JCTS,28)," ")</f>
        <v>403.26</v>
      </c>
      <c r="Y171" s="1">
        <v>4.3124545349978689</v>
      </c>
    </row>
    <row r="172" spans="2:25" hidden="1" x14ac:dyDescent="0.2">
      <c r="B172" s="216" t="s">
        <v>10</v>
      </c>
      <c r="C172" s="217" t="s">
        <v>10</v>
      </c>
      <c r="D172" s="62" t="s">
        <v>10</v>
      </c>
      <c r="E172" s="61" t="s">
        <v>10</v>
      </c>
      <c r="F172" s="61" t="s">
        <v>10</v>
      </c>
      <c r="G172" s="62" t="s">
        <v>10</v>
      </c>
      <c r="H172" s="60" t="s">
        <v>10</v>
      </c>
      <c r="I172" s="62" t="s">
        <v>10</v>
      </c>
      <c r="J172" s="61" t="s">
        <v>10</v>
      </c>
      <c r="K172" s="68">
        <f>K171</f>
        <v>0.11996304517626637</v>
      </c>
      <c r="L172" s="63" t="s">
        <v>10</v>
      </c>
      <c r="M172" s="61" t="s">
        <v>10</v>
      </c>
      <c r="N172" s="68" t="s">
        <v>10</v>
      </c>
      <c r="O172" s="52" t="s">
        <v>10</v>
      </c>
      <c r="P172" s="257" t="s">
        <v>10</v>
      </c>
      <c r="Q172" s="61" t="s">
        <v>10</v>
      </c>
      <c r="R172" s="61" t="s">
        <v>10</v>
      </c>
      <c r="S172" s="61" t="s">
        <v>10</v>
      </c>
      <c r="T172" s="61" t="s">
        <v>10</v>
      </c>
      <c r="U172" s="61" t="s">
        <v>10</v>
      </c>
      <c r="V172" s="61" t="s">
        <v>10</v>
      </c>
      <c r="W172" s="61" t="s">
        <v>10</v>
      </c>
      <c r="X172" s="69" t="s">
        <v>10</v>
      </c>
      <c r="Y172" s="1" t="s">
        <v>10</v>
      </c>
    </row>
    <row r="173" spans="2:25" hidden="1" x14ac:dyDescent="0.2">
      <c r="B173" s="216">
        <v>46</v>
      </c>
      <c r="C173" s="217">
        <v>45</v>
      </c>
      <c r="D173" s="58" t="s">
        <v>10</v>
      </c>
      <c r="E173" s="61">
        <f>IF(B173=0,cell_HGL,IF(VLOOKUP(B173,table_HGL_JCTS,17,FALSE)&lt;X173,X173,VLOOKUP(B173,table_HGL_JCTS,17,FALSE)))</f>
        <v>406.15</v>
      </c>
      <c r="F173" s="61">
        <f>IF(B173=0,(E173+K173),IF(VLOOKUP(B173,table_HGL_JCTS,13,FALSE)="T-INTERSECTION",(E173+K173),(IF(VLOOKUP(B173,table_HGL_JCTS,17,FALSE)&lt;X173,(E173+K173),VLOOKUP(B173,table_HGL_JCTS,18,FALSE)))))</f>
        <v>406.25686663700145</v>
      </c>
      <c r="G173" s="62">
        <f>VLOOKUP(C173,table_CIA_JCTS,18)</f>
        <v>18</v>
      </c>
      <c r="H173" s="60">
        <f>VLOOKUP(C173,table_CIA_JCTS,17)</f>
        <v>4.6359358749346891</v>
      </c>
      <c r="I173" s="62">
        <f>VLOOKUP(C173,table_CIA_JCTS,21)</f>
        <v>50</v>
      </c>
      <c r="J173" s="61">
        <f>H173/((G173/12)^2*3.1416/4)</f>
        <v>2.623396924389378</v>
      </c>
      <c r="K173" s="61">
        <f>(J173^2)/64.4</f>
        <v>0.10686663700148522</v>
      </c>
      <c r="L173" s="63">
        <f>(H173/((1.486/cell_NP)*((3.1416*(G173/12)^2)/4)*(G173/48)^(2/3)))^2</f>
        <v>1.9477598332695632E-3</v>
      </c>
      <c r="M173" s="61">
        <f>L173*I173</f>
        <v>9.7387991663478168E-2</v>
      </c>
      <c r="N173" s="68" t="s">
        <v>10</v>
      </c>
      <c r="O173" s="72" t="s">
        <v>130</v>
      </c>
      <c r="P173" s="61">
        <f>IF(ISBLANK(O173)=FALSE,(VLOOKUP(O173,table_MINOR,2,FALSE))*(K173)," ")</f>
        <v>3.2059991100445565E-2</v>
      </c>
      <c r="Q173" s="61">
        <f>SUM(P173:P174)</f>
        <v>3.2059991100445565E-2</v>
      </c>
      <c r="R173" s="61">
        <f>Q173+M173</f>
        <v>0.12944798276392372</v>
      </c>
      <c r="S173" s="61">
        <f>IF(O173="T-INTERSECTION",T173,(T173-K173))</f>
        <v>406.27944798276388</v>
      </c>
      <c r="T173" s="61">
        <f>IF(O173="T-INTERSECTION",(R173+F173-K173),(R173+F173))</f>
        <v>406.38631461976536</v>
      </c>
      <c r="U173" s="61">
        <f>VLOOKUP(C173,table_CIA_JCTS,26)</f>
        <v>410.4</v>
      </c>
      <c r="V173" s="61">
        <f>U173-0.5-S173</f>
        <v>3.6205520172360934</v>
      </c>
      <c r="W173" s="61" t="s">
        <v>10</v>
      </c>
      <c r="X173" s="69">
        <f>IF(B173&gt;0,VLOOKUP(B173,table_CIA_JCTS,28)," ")</f>
        <v>406.15</v>
      </c>
      <c r="Y173" s="1">
        <v>3.6205520172360934</v>
      </c>
    </row>
    <row r="174" spans="2:25" hidden="1" x14ac:dyDescent="0.2">
      <c r="B174" s="216" t="s">
        <v>10</v>
      </c>
      <c r="C174" s="217" t="s">
        <v>10</v>
      </c>
      <c r="D174" s="62" t="s">
        <v>10</v>
      </c>
      <c r="E174" s="61" t="s">
        <v>10</v>
      </c>
      <c r="F174" s="61" t="s">
        <v>10</v>
      </c>
      <c r="G174" s="62" t="s">
        <v>10</v>
      </c>
      <c r="H174" s="60" t="s">
        <v>10</v>
      </c>
      <c r="I174" s="62" t="s">
        <v>10</v>
      </c>
      <c r="J174" s="61" t="s">
        <v>10</v>
      </c>
      <c r="K174" s="68">
        <f>K173</f>
        <v>0.10686663700148522</v>
      </c>
      <c r="L174" s="63" t="s">
        <v>10</v>
      </c>
      <c r="M174" s="61" t="s">
        <v>10</v>
      </c>
      <c r="N174" s="68" t="s">
        <v>10</v>
      </c>
      <c r="O174" s="52" t="s">
        <v>10</v>
      </c>
      <c r="P174" s="257" t="s">
        <v>10</v>
      </c>
      <c r="Q174" s="61" t="s">
        <v>10</v>
      </c>
      <c r="R174" s="61" t="s">
        <v>10</v>
      </c>
      <c r="S174" s="61" t="s">
        <v>10</v>
      </c>
      <c r="T174" s="61" t="s">
        <v>10</v>
      </c>
      <c r="U174" s="61" t="s">
        <v>10</v>
      </c>
      <c r="V174" s="61" t="s">
        <v>10</v>
      </c>
      <c r="W174" s="61" t="s">
        <v>10</v>
      </c>
      <c r="X174" s="69" t="s">
        <v>10</v>
      </c>
      <c r="Y174" s="1" t="s">
        <v>10</v>
      </c>
    </row>
    <row r="175" spans="2:25" hidden="1" x14ac:dyDescent="0.2">
      <c r="B175" s="216">
        <v>45</v>
      </c>
      <c r="C175" s="217">
        <v>44</v>
      </c>
      <c r="D175" s="58" t="s">
        <v>10</v>
      </c>
      <c r="E175" s="61">
        <f>IF(B175=0,cell_HGL,IF(VLOOKUP(B175,table_HGL_JCTS,17,FALSE)&lt;X175,X175,VLOOKUP(B175,table_HGL_JCTS,17,FALSE)))</f>
        <v>406.52</v>
      </c>
      <c r="F175" s="61">
        <f>IF(B175=0,(E175+K175),IF(VLOOKUP(B175,table_HGL_JCTS,13,FALSE)="T-INTERSECTION",(E175+K175),(IF(VLOOKUP(B175,table_HGL_JCTS,17,FALSE)&lt;X175,(E175+K175),VLOOKUP(B175,table_HGL_JCTS,18,FALSE)))))</f>
        <v>406.57406039901633</v>
      </c>
      <c r="G175" s="62">
        <f>VLOOKUP(C175,table_CIA_JCTS,18)</f>
        <v>18</v>
      </c>
      <c r="H175" s="60">
        <f>VLOOKUP(C175,table_CIA_JCTS,17)</f>
        <v>3.2972810919756568</v>
      </c>
      <c r="I175" s="62">
        <f>VLOOKUP(C175,table_CIA_JCTS,21)</f>
        <v>455</v>
      </c>
      <c r="J175" s="61">
        <f>H175/((G175/12)^2*3.1416/4)</f>
        <v>1.865875048510685</v>
      </c>
      <c r="K175" s="61">
        <f>(J175^2)/64.4</f>
        <v>5.4060399016378116E-2</v>
      </c>
      <c r="L175" s="63">
        <f>(H175/((1.486/cell_NP)*((3.1416*(G175/12)^2)/4)*(G175/48)^(2/3)))^2</f>
        <v>9.8530913603244873E-4</v>
      </c>
      <c r="M175" s="61">
        <f>L175*I175</f>
        <v>0.44831565689476416</v>
      </c>
      <c r="N175" s="68" t="s">
        <v>10</v>
      </c>
      <c r="O175" s="72" t="s">
        <v>129</v>
      </c>
      <c r="P175" s="61">
        <f>IF(ISBLANK(O175)=FALSE,(VLOOKUP(O175,table_MINOR,2,FALSE))*(K175)," ")</f>
        <v>2.7030199508189058E-2</v>
      </c>
      <c r="Q175" s="61">
        <f>SUM(P175:P177)</f>
        <v>4.3248319213102487E-2</v>
      </c>
      <c r="R175" s="61">
        <f>Q175+M175</f>
        <v>0.49156397610786662</v>
      </c>
      <c r="S175" s="61">
        <f>IF(O175="T-INTERSECTION",T175,(T175-K175))</f>
        <v>407.01156397610782</v>
      </c>
      <c r="T175" s="61">
        <f>IF(O175="T-INTERSECTION",(R175+F175-K175),(R175+F175))</f>
        <v>407.06562437512417</v>
      </c>
      <c r="U175" s="61">
        <f>VLOOKUP(C175,table_CIA_JCTS,26)</f>
        <v>413.02</v>
      </c>
      <c r="V175" s="61">
        <f>U175-0.5-S175</f>
        <v>5.508436023892159</v>
      </c>
      <c r="W175" s="61" t="s">
        <v>10</v>
      </c>
      <c r="X175" s="69">
        <f>IF(B175&gt;0,VLOOKUP(B175,table_CIA_JCTS,28)," ")</f>
        <v>406.52</v>
      </c>
      <c r="Y175" s="1">
        <v>5.508436023892159</v>
      </c>
    </row>
    <row r="176" spans="2:25" hidden="1" x14ac:dyDescent="0.2">
      <c r="B176" s="216" t="s">
        <v>10</v>
      </c>
      <c r="C176" s="217" t="s">
        <v>10</v>
      </c>
      <c r="D176" s="62" t="s">
        <v>10</v>
      </c>
      <c r="E176" s="61" t="s">
        <v>10</v>
      </c>
      <c r="F176" s="61" t="s">
        <v>10</v>
      </c>
      <c r="G176" s="62" t="s">
        <v>10</v>
      </c>
      <c r="H176" s="60" t="s">
        <v>10</v>
      </c>
      <c r="I176" s="62" t="s">
        <v>10</v>
      </c>
      <c r="J176" s="61" t="s">
        <v>10</v>
      </c>
      <c r="K176" s="68">
        <f>K175</f>
        <v>5.4060399016378116E-2</v>
      </c>
      <c r="L176" s="63" t="s">
        <v>10</v>
      </c>
      <c r="M176" s="61" t="s">
        <v>10</v>
      </c>
      <c r="N176" s="68" t="s">
        <v>10</v>
      </c>
      <c r="O176" s="52" t="s">
        <v>130</v>
      </c>
      <c r="P176" s="61">
        <f>IF(ISBLANK(O176)=FALSE,(VLOOKUP(O176,table_MINOR,2,FALSE))*(K176)," ")</f>
        <v>1.6218119704913433E-2</v>
      </c>
      <c r="Q176" s="61" t="s">
        <v>10</v>
      </c>
      <c r="R176" s="61" t="s">
        <v>10</v>
      </c>
      <c r="S176" s="61" t="s">
        <v>10</v>
      </c>
      <c r="T176" s="61" t="s">
        <v>10</v>
      </c>
      <c r="U176" s="61" t="s">
        <v>10</v>
      </c>
      <c r="V176" s="61" t="s">
        <v>10</v>
      </c>
      <c r="W176" s="61" t="s">
        <v>10</v>
      </c>
      <c r="X176" s="69" t="s">
        <v>10</v>
      </c>
      <c r="Y176" s="1" t="s">
        <v>10</v>
      </c>
    </row>
    <row r="177" spans="2:25" hidden="1" x14ac:dyDescent="0.2">
      <c r="B177" s="216" t="s">
        <v>10</v>
      </c>
      <c r="C177" s="217" t="s">
        <v>10</v>
      </c>
      <c r="D177" s="62" t="s">
        <v>10</v>
      </c>
      <c r="E177" s="61" t="s">
        <v>10</v>
      </c>
      <c r="F177" s="61" t="s">
        <v>10</v>
      </c>
      <c r="G177" s="62" t="s">
        <v>10</v>
      </c>
      <c r="H177" s="60" t="s">
        <v>10</v>
      </c>
      <c r="I177" s="62" t="s">
        <v>10</v>
      </c>
      <c r="J177" s="61" t="s">
        <v>10</v>
      </c>
      <c r="K177" s="68">
        <f>K176</f>
        <v>5.4060399016378116E-2</v>
      </c>
      <c r="L177" s="63" t="s">
        <v>10</v>
      </c>
      <c r="M177" s="61" t="s">
        <v>10</v>
      </c>
      <c r="N177" s="68" t="s">
        <v>10</v>
      </c>
      <c r="O177" s="52" t="s">
        <v>10</v>
      </c>
      <c r="P177" s="257" t="s">
        <v>10</v>
      </c>
      <c r="Q177" s="61" t="s">
        <v>10</v>
      </c>
      <c r="R177" s="61" t="s">
        <v>10</v>
      </c>
      <c r="S177" s="61" t="s">
        <v>10</v>
      </c>
      <c r="T177" s="61" t="s">
        <v>10</v>
      </c>
      <c r="U177" s="61" t="s">
        <v>10</v>
      </c>
      <c r="V177" s="61" t="s">
        <v>10</v>
      </c>
      <c r="W177" s="61" t="s">
        <v>10</v>
      </c>
      <c r="X177" s="69" t="s">
        <v>10</v>
      </c>
      <c r="Y177" s="1" t="s">
        <v>10</v>
      </c>
    </row>
    <row r="178" spans="2:25" hidden="1" x14ac:dyDescent="0.2">
      <c r="B178" s="216">
        <v>44</v>
      </c>
      <c r="C178" s="217">
        <v>43</v>
      </c>
      <c r="D178" s="58" t="s">
        <v>10</v>
      </c>
      <c r="E178" s="61">
        <f>IF(B178=0,cell_HGL,IF(VLOOKUP(B178,table_HGL_JCTS,17,FALSE)&lt;X178,X178,VLOOKUP(B178,table_HGL_JCTS,17,FALSE)))</f>
        <v>407.62</v>
      </c>
      <c r="F178" s="61">
        <f>IF(B178=0,(E178+K178),IF(VLOOKUP(B178,table_HGL_JCTS,13,FALSE)="T-INTERSECTION",(E178+K178),(IF(VLOOKUP(B178,table_HGL_JCTS,17,FALSE)&lt;X178,(E178+K178),VLOOKUP(B178,table_HGL_JCTS,18,FALSE)))))</f>
        <v>407.64027829646767</v>
      </c>
      <c r="G178" s="62">
        <f>VLOOKUP(C178,table_CIA_JCTS,18)</f>
        <v>18</v>
      </c>
      <c r="H178" s="60">
        <f>VLOOKUP(C178,table_CIA_JCTS,17)</f>
        <v>2.0194452474803106</v>
      </c>
      <c r="I178" s="62">
        <f>VLOOKUP(C178,table_CIA_JCTS,21)</f>
        <v>476</v>
      </c>
      <c r="J178" s="61">
        <f>H178/((G178/12)^2*3.1416/4)</f>
        <v>1.1427695710496057</v>
      </c>
      <c r="K178" s="61">
        <f>(J178^2)/64.4</f>
        <v>2.0278296467653723E-2</v>
      </c>
      <c r="L178" s="63">
        <f>(H178/((1.486/cell_NP)*((3.1416*(G178/12)^2)/4)*(G178/48)^(2/3)))^2</f>
        <v>3.6959384570395964E-4</v>
      </c>
      <c r="M178" s="61">
        <f>L178*I178</f>
        <v>0.17592667055508479</v>
      </c>
      <c r="N178" s="68" t="s">
        <v>10</v>
      </c>
      <c r="O178" s="52" t="s">
        <v>10</v>
      </c>
      <c r="P178" s="257" t="s">
        <v>10</v>
      </c>
      <c r="Q178" s="61">
        <f>SUM(P178)</f>
        <v>0</v>
      </c>
      <c r="R178" s="61">
        <f>Q178+M178</f>
        <v>0.17592667055508479</v>
      </c>
      <c r="S178" s="61">
        <f>IF(O178="T-INTERSECTION",T178,(T178-K178))</f>
        <v>407.7959266705551</v>
      </c>
      <c r="T178" s="61">
        <f>IF(O178="T-INTERSECTION",(R178+F178-K178),(R178+F178))</f>
        <v>407.81620496702277</v>
      </c>
      <c r="U178" s="61">
        <f>VLOOKUP(C178,table_CIA_JCTS,26)</f>
        <v>414.99</v>
      </c>
      <c r="V178" s="61">
        <f>U178-0.5-S178</f>
        <v>6.6940733294449046</v>
      </c>
      <c r="W178" s="61" t="s">
        <v>10</v>
      </c>
      <c r="X178" s="69">
        <f>IF(B178&gt;0,VLOOKUP(B178,table_CIA_JCTS,28)," ")</f>
        <v>407.62</v>
      </c>
      <c r="Y178" s="1">
        <v>6.6940733294449046</v>
      </c>
    </row>
    <row r="179" spans="2:25" hidden="1" x14ac:dyDescent="0.2">
      <c r="B179" s="216" t="s">
        <v>10</v>
      </c>
      <c r="C179" s="217" t="s">
        <v>10</v>
      </c>
      <c r="D179" s="62" t="s">
        <v>10</v>
      </c>
      <c r="E179" s="61" t="s">
        <v>10</v>
      </c>
      <c r="F179" s="61" t="s">
        <v>10</v>
      </c>
      <c r="G179" s="62" t="s">
        <v>10</v>
      </c>
      <c r="H179" s="60" t="s">
        <v>10</v>
      </c>
      <c r="I179" s="62" t="s">
        <v>10</v>
      </c>
      <c r="J179" s="61" t="s">
        <v>10</v>
      </c>
      <c r="K179" s="68" t="s">
        <v>10</v>
      </c>
      <c r="L179" s="63" t="s">
        <v>10</v>
      </c>
      <c r="M179" s="61" t="s">
        <v>10</v>
      </c>
      <c r="N179" s="68" t="s">
        <v>10</v>
      </c>
      <c r="O179" s="52" t="s">
        <v>176</v>
      </c>
      <c r="P179" s="61" t="s">
        <v>10</v>
      </c>
      <c r="Q179" s="61" t="s">
        <v>10</v>
      </c>
      <c r="R179" s="61" t="s">
        <v>10</v>
      </c>
      <c r="S179" s="61" t="s">
        <v>10</v>
      </c>
      <c r="T179" s="61" t="s">
        <v>10</v>
      </c>
      <c r="U179" s="61" t="s">
        <v>10</v>
      </c>
      <c r="V179" s="61" t="s">
        <v>10</v>
      </c>
      <c r="W179" s="61" t="s">
        <v>10</v>
      </c>
      <c r="X179" s="69" t="s">
        <v>10</v>
      </c>
      <c r="Y179" s="1" t="s">
        <v>10</v>
      </c>
    </row>
    <row r="180" spans="2:25" hidden="1" x14ac:dyDescent="0.2">
      <c r="B180" s="216" t="s">
        <v>10</v>
      </c>
      <c r="C180" s="217" t="s">
        <v>10</v>
      </c>
      <c r="D180" s="62" t="s">
        <v>10</v>
      </c>
      <c r="E180" s="61" t="s">
        <v>10</v>
      </c>
      <c r="F180" s="61" t="s">
        <v>10</v>
      </c>
      <c r="G180" s="62" t="s">
        <v>10</v>
      </c>
      <c r="H180" s="60" t="s">
        <v>10</v>
      </c>
      <c r="I180" s="62" t="s">
        <v>10</v>
      </c>
      <c r="J180" s="61" t="s">
        <v>10</v>
      </c>
      <c r="K180" s="68" t="s">
        <v>10</v>
      </c>
      <c r="L180" s="63" t="s">
        <v>10</v>
      </c>
      <c r="M180" s="61" t="s">
        <v>10</v>
      </c>
      <c r="N180" s="68" t="s">
        <v>10</v>
      </c>
      <c r="O180" s="52" t="s">
        <v>176</v>
      </c>
      <c r="P180" s="61" t="s">
        <v>10</v>
      </c>
      <c r="Q180" s="61" t="s">
        <v>10</v>
      </c>
      <c r="R180" s="61" t="s">
        <v>10</v>
      </c>
      <c r="S180" s="61" t="s">
        <v>10</v>
      </c>
      <c r="T180" s="61" t="s">
        <v>10</v>
      </c>
      <c r="U180" s="61" t="s">
        <v>10</v>
      </c>
      <c r="V180" s="61" t="s">
        <v>10</v>
      </c>
      <c r="W180" s="61" t="s">
        <v>10</v>
      </c>
      <c r="X180" s="69" t="s">
        <v>10</v>
      </c>
      <c r="Y180" s="1" t="s">
        <v>10</v>
      </c>
    </row>
    <row r="181" spans="2:25" hidden="1" x14ac:dyDescent="0.2">
      <c r="B181" s="216">
        <v>48</v>
      </c>
      <c r="C181" s="217">
        <v>47</v>
      </c>
      <c r="D181" s="58" t="s">
        <v>10</v>
      </c>
      <c r="E181" s="61">
        <f>IF(B181=0,cell_HGL,IF(VLOOKUP(B181,table_HGL_JCTS,17,FALSE)&lt;X181,X181,VLOOKUP(B181,table_HGL_JCTS,17,FALSE)))</f>
        <v>404.099712776898</v>
      </c>
      <c r="F181" s="61">
        <f>IF(B181=0,(E181+K181),IF(VLOOKUP(B181,table_HGL_JCTS,13,FALSE)="T-INTERSECTION",(E181+K181),(IF(VLOOKUP(B181,table_HGL_JCTS,17,FALSE)&lt;X181,(E181+K181),VLOOKUP(B181,table_HGL_JCTS,18,FALSE)))))</f>
        <v>404.22568867465577</v>
      </c>
      <c r="G181" s="62">
        <f>VLOOKUP(C181,table_CIA_JCTS,18)</f>
        <v>24</v>
      </c>
      <c r="H181" s="60">
        <f>VLOOKUP(C181,table_CIA_JCTS,17)</f>
        <v>9.0807280674066675</v>
      </c>
      <c r="I181" s="62">
        <f>VLOOKUP(C181,table_CIA_JCTS,21)</f>
        <v>14</v>
      </c>
      <c r="J181" s="61">
        <f>H181/((G181/12)^2*3.1416/4)</f>
        <v>2.8904787584054836</v>
      </c>
      <c r="K181" s="61">
        <f>(J181^2)/64.4</f>
        <v>0.12973396665828113</v>
      </c>
      <c r="L181" s="63">
        <f>(H181/((1.486/cell_NP)*((3.1416*(G181/12)^2)/4)*(G181/48)^(2/3)))^2</f>
        <v>1.6112464654520146E-3</v>
      </c>
      <c r="M181" s="61">
        <f>L181*I181</f>
        <v>2.2557450516328206E-2</v>
      </c>
      <c r="N181" s="68" t="s">
        <v>10</v>
      </c>
      <c r="O181" s="52" t="s">
        <v>10</v>
      </c>
      <c r="P181" s="257" t="s">
        <v>10</v>
      </c>
      <c r="Q181" s="61">
        <f>SUM(P181)</f>
        <v>0</v>
      </c>
      <c r="R181" s="61">
        <f>Q181+M181</f>
        <v>2.2557450516328206E-2</v>
      </c>
      <c r="S181" s="61">
        <f>IF(O181="T-INTERSECTION",T181,(T181-K181))</f>
        <v>404.11851215851379</v>
      </c>
      <c r="T181" s="61">
        <f>IF(O181="T-INTERSECTION",(R181+F181-K181),(R181+F181))</f>
        <v>404.2482461251721</v>
      </c>
      <c r="U181" s="61">
        <f>VLOOKUP(C181,table_CIA_JCTS,26)</f>
        <v>408.5</v>
      </c>
      <c r="V181" s="61">
        <f>U181-0.5-S181</f>
        <v>3.8814878414862051</v>
      </c>
      <c r="W181" s="61" t="s">
        <v>10</v>
      </c>
      <c r="X181" s="69">
        <f>IF(B181&gt;0,VLOOKUP(B181,table_CIA_JCTS,28)," ")</f>
        <v>403.26</v>
      </c>
      <c r="Y181" s="1">
        <v>3.8814878414862051</v>
      </c>
    </row>
    <row r="182" spans="2:25" hidden="1" x14ac:dyDescent="0.2">
      <c r="B182" s="216" t="s">
        <v>10</v>
      </c>
      <c r="C182" s="217" t="s">
        <v>10</v>
      </c>
      <c r="D182" s="62" t="s">
        <v>10</v>
      </c>
      <c r="E182" s="61" t="s">
        <v>10</v>
      </c>
      <c r="F182" s="61" t="s">
        <v>10</v>
      </c>
      <c r="G182" s="62" t="s">
        <v>10</v>
      </c>
      <c r="H182" s="60" t="s">
        <v>10</v>
      </c>
      <c r="I182" s="62" t="s">
        <v>10</v>
      </c>
      <c r="J182" s="61" t="s">
        <v>10</v>
      </c>
      <c r="K182" s="68" t="s">
        <v>10</v>
      </c>
      <c r="L182" s="63" t="s">
        <v>10</v>
      </c>
      <c r="M182" s="61" t="s">
        <v>10</v>
      </c>
      <c r="N182" s="68" t="s">
        <v>10</v>
      </c>
      <c r="O182" s="52" t="s">
        <v>176</v>
      </c>
      <c r="P182" s="61" t="s">
        <v>10</v>
      </c>
      <c r="Q182" s="61" t="s">
        <v>10</v>
      </c>
      <c r="R182" s="61" t="s">
        <v>10</v>
      </c>
      <c r="S182" s="61" t="s">
        <v>10</v>
      </c>
      <c r="T182" s="61" t="s">
        <v>10</v>
      </c>
      <c r="U182" s="61" t="s">
        <v>10</v>
      </c>
      <c r="V182" s="61" t="s">
        <v>10</v>
      </c>
      <c r="W182" s="61" t="s">
        <v>10</v>
      </c>
      <c r="X182" s="69" t="s">
        <v>10</v>
      </c>
      <c r="Y182" s="1" t="s">
        <v>10</v>
      </c>
    </row>
    <row r="183" spans="2:25" hidden="1" x14ac:dyDescent="0.2">
      <c r="B183" s="216" t="s">
        <v>10</v>
      </c>
      <c r="C183" s="217" t="s">
        <v>10</v>
      </c>
      <c r="D183" s="62" t="s">
        <v>10</v>
      </c>
      <c r="E183" s="61" t="s">
        <v>10</v>
      </c>
      <c r="F183" s="61" t="s">
        <v>10</v>
      </c>
      <c r="G183" s="62" t="s">
        <v>10</v>
      </c>
      <c r="H183" s="60" t="s">
        <v>10</v>
      </c>
      <c r="I183" s="62" t="s">
        <v>10</v>
      </c>
      <c r="J183" s="61" t="s">
        <v>10</v>
      </c>
      <c r="K183" s="68" t="s">
        <v>10</v>
      </c>
      <c r="L183" s="63" t="s">
        <v>10</v>
      </c>
      <c r="M183" s="61" t="s">
        <v>10</v>
      </c>
      <c r="N183" s="68" t="s">
        <v>10</v>
      </c>
      <c r="O183" s="52" t="s">
        <v>176</v>
      </c>
      <c r="P183" s="61" t="s">
        <v>10</v>
      </c>
      <c r="Q183" s="61" t="s">
        <v>10</v>
      </c>
      <c r="R183" s="61" t="s">
        <v>10</v>
      </c>
      <c r="S183" s="61" t="s">
        <v>10</v>
      </c>
      <c r="T183" s="61" t="s">
        <v>10</v>
      </c>
      <c r="U183" s="61" t="s">
        <v>10</v>
      </c>
      <c r="V183" s="61" t="s">
        <v>10</v>
      </c>
      <c r="W183" s="61" t="s">
        <v>10</v>
      </c>
      <c r="X183" s="69" t="s">
        <v>10</v>
      </c>
      <c r="Y183" s="1" t="s">
        <v>10</v>
      </c>
    </row>
    <row r="184" spans="2:25" hidden="1" x14ac:dyDescent="0.2">
      <c r="B184" s="216">
        <v>51</v>
      </c>
      <c r="C184" s="217">
        <v>50</v>
      </c>
      <c r="D184" s="58" t="s">
        <v>10</v>
      </c>
      <c r="E184" s="61">
        <f>IF(B184=0,cell_HGL,IF(VLOOKUP(B184,table_HGL_JCTS,17,FALSE)&lt;X184,X184,VLOOKUP(B184,table_HGL_JCTS,17,FALSE)))</f>
        <v>402.97</v>
      </c>
      <c r="F184" s="61">
        <f>IF(B184=0,(E184+K184),IF(VLOOKUP(B184,table_HGL_JCTS,13,FALSE)="T-INTERSECTION",(E184+K184),(IF(VLOOKUP(B184,table_HGL_JCTS,17,FALSE)&lt;X184,(E184+K184),VLOOKUP(B184,table_HGL_JCTS,18,FALSE)))))</f>
        <v>403.00211660864539</v>
      </c>
      <c r="G184" s="62">
        <f>VLOOKUP(C184,table_CIA_JCTS,18)</f>
        <v>24</v>
      </c>
      <c r="H184" s="60">
        <f>VLOOKUP(C184,table_CIA_JCTS,17)</f>
        <v>4.5181293662245174</v>
      </c>
      <c r="I184" s="62">
        <f>VLOOKUP(C184,table_CIA_JCTS,21)</f>
        <v>470</v>
      </c>
      <c r="J184" s="61">
        <f>H184/((G184/12)^2*3.1416/4)</f>
        <v>1.4381618812784942</v>
      </c>
      <c r="K184" s="61">
        <f>(J184^2)/64.4</f>
        <v>3.21166086453804E-2</v>
      </c>
      <c r="L184" s="63">
        <f>(H184/((1.486/cell_NP)*((3.1416*(G184/12)^2)/4)*(G184/48)^(2/3)))^2</f>
        <v>3.9887604992822144E-4</v>
      </c>
      <c r="M184" s="61">
        <f>L184*I184</f>
        <v>0.18747174346626408</v>
      </c>
      <c r="N184" s="68" t="s">
        <v>10</v>
      </c>
      <c r="O184" s="52" t="s">
        <v>10</v>
      </c>
      <c r="P184" s="257" t="s">
        <v>10</v>
      </c>
      <c r="Q184" s="61">
        <f>SUM(P184)</f>
        <v>0</v>
      </c>
      <c r="R184" s="61">
        <f>Q184+M184</f>
        <v>0.18747174346626408</v>
      </c>
      <c r="S184" s="61">
        <f>IF(O184="T-INTERSECTION",T184,(T184-K184))</f>
        <v>403.15747174346632</v>
      </c>
      <c r="T184" s="61">
        <f>IF(O184="T-INTERSECTION",(R184+F184-K184),(R184+F184))</f>
        <v>403.18958835211168</v>
      </c>
      <c r="U184" s="61">
        <f>VLOOKUP(C184,table_CIA_JCTS,26)</f>
        <v>407</v>
      </c>
      <c r="V184" s="61">
        <f>U184-0.5-S184</f>
        <v>3.3425282565336829</v>
      </c>
      <c r="W184" s="61" t="s">
        <v>10</v>
      </c>
      <c r="X184" s="69">
        <f>IF(B184&gt;0,VLOOKUP(B184,table_CIA_JCTS,28)," ")</f>
        <v>402.97</v>
      </c>
      <c r="Y184" s="1">
        <v>3.3425282565336829</v>
      </c>
    </row>
    <row r="185" spans="2:25" hidden="1" x14ac:dyDescent="0.2">
      <c r="B185" s="216" t="s">
        <v>10</v>
      </c>
      <c r="C185" s="217" t="s">
        <v>10</v>
      </c>
      <c r="D185" s="62" t="s">
        <v>10</v>
      </c>
      <c r="E185" s="61" t="s">
        <v>10</v>
      </c>
      <c r="F185" s="61" t="s">
        <v>10</v>
      </c>
      <c r="G185" s="62" t="s">
        <v>10</v>
      </c>
      <c r="H185" s="60" t="s">
        <v>10</v>
      </c>
      <c r="I185" s="62" t="s">
        <v>10</v>
      </c>
      <c r="J185" s="61" t="s">
        <v>10</v>
      </c>
      <c r="K185" s="68" t="s">
        <v>10</v>
      </c>
      <c r="L185" s="63" t="s">
        <v>10</v>
      </c>
      <c r="M185" s="61" t="s">
        <v>10</v>
      </c>
      <c r="N185" s="68" t="s">
        <v>10</v>
      </c>
      <c r="O185" s="52" t="s">
        <v>176</v>
      </c>
      <c r="P185" s="61" t="s">
        <v>10</v>
      </c>
      <c r="Q185" s="61" t="s">
        <v>10</v>
      </c>
      <c r="R185" s="61" t="s">
        <v>10</v>
      </c>
      <c r="S185" s="61" t="s">
        <v>10</v>
      </c>
      <c r="T185" s="61" t="s">
        <v>10</v>
      </c>
      <c r="U185" s="61" t="s">
        <v>10</v>
      </c>
      <c r="V185" s="61" t="s">
        <v>10</v>
      </c>
      <c r="W185" s="61" t="s">
        <v>10</v>
      </c>
      <c r="X185" s="69" t="s">
        <v>10</v>
      </c>
      <c r="Y185" s="1" t="s">
        <v>10</v>
      </c>
    </row>
    <row r="186" spans="2:25" hidden="1" x14ac:dyDescent="0.2">
      <c r="B186" s="216" t="s">
        <v>10</v>
      </c>
      <c r="C186" s="217" t="s">
        <v>10</v>
      </c>
      <c r="D186" s="62" t="s">
        <v>10</v>
      </c>
      <c r="E186" s="61" t="s">
        <v>10</v>
      </c>
      <c r="F186" s="61" t="s">
        <v>10</v>
      </c>
      <c r="G186" s="62" t="s">
        <v>10</v>
      </c>
      <c r="H186" s="60" t="s">
        <v>10</v>
      </c>
      <c r="I186" s="62" t="s">
        <v>10</v>
      </c>
      <c r="J186" s="61" t="s">
        <v>10</v>
      </c>
      <c r="K186" s="68" t="s">
        <v>10</v>
      </c>
      <c r="L186" s="63" t="s">
        <v>10</v>
      </c>
      <c r="M186" s="61" t="s">
        <v>10</v>
      </c>
      <c r="N186" s="68" t="s">
        <v>10</v>
      </c>
      <c r="O186" s="52" t="s">
        <v>176</v>
      </c>
      <c r="P186" s="61" t="s">
        <v>10</v>
      </c>
      <c r="Q186" s="61" t="s">
        <v>10</v>
      </c>
      <c r="R186" s="61" t="s">
        <v>10</v>
      </c>
      <c r="S186" s="61" t="s">
        <v>10</v>
      </c>
      <c r="T186" s="61" t="s">
        <v>10</v>
      </c>
      <c r="U186" s="61" t="s">
        <v>10</v>
      </c>
      <c r="V186" s="61" t="s">
        <v>10</v>
      </c>
      <c r="W186" s="61" t="s">
        <v>10</v>
      </c>
      <c r="X186" s="69" t="s">
        <v>10</v>
      </c>
      <c r="Y186" s="1" t="s">
        <v>10</v>
      </c>
    </row>
    <row r="187" spans="2:25" hidden="1" x14ac:dyDescent="0.2">
      <c r="B187" s="216">
        <v>53</v>
      </c>
      <c r="C187" s="217">
        <v>52</v>
      </c>
      <c r="D187" s="58" t="s">
        <v>10</v>
      </c>
      <c r="E187" s="61">
        <f>IF(B187=0,cell_HGL,IF(VLOOKUP(B187,table_HGL_JCTS,17,FALSE)&lt;X187,X187,VLOOKUP(B187,table_HGL_JCTS,17,FALSE)))</f>
        <v>401.89327938069027</v>
      </c>
      <c r="F187" s="61">
        <f>IF(B187=0,(E187+K187),IF(VLOOKUP(B187,table_HGL_JCTS,13,FALSE)="T-INTERSECTION",(E187+K187),(IF(VLOOKUP(B187,table_HGL_JCTS,17,FALSE)&lt;X187,(E187+K187),VLOOKUP(B187,table_HGL_JCTS,18,FALSE)))))</f>
        <v>401.93237355614042</v>
      </c>
      <c r="G187" s="62">
        <f>VLOOKUP(C187,table_CIA_JCTS,18)</f>
        <v>24</v>
      </c>
      <c r="H187" s="60">
        <f>VLOOKUP(C187,table_CIA_JCTS,17)</f>
        <v>4.984824247675709</v>
      </c>
      <c r="I187" s="62">
        <f>VLOOKUP(C187,table_CIA_JCTS,21)</f>
        <v>134</v>
      </c>
      <c r="J187" s="61">
        <f>H187/((G187/12)^2*3.1416/4)</f>
        <v>1.5867151284936685</v>
      </c>
      <c r="K187" s="61">
        <f>(J187^2)/64.4</f>
        <v>3.9094175450165816E-2</v>
      </c>
      <c r="L187" s="63">
        <f>(H187/((1.486/cell_NP)*((3.1416*(G187/12)^2)/4)*(G187/48)^(2/3)))^2</f>
        <v>4.8553477270726626E-4</v>
      </c>
      <c r="M187" s="61">
        <f>L187*I187</f>
        <v>6.5061659542773681E-2</v>
      </c>
      <c r="N187" s="68" t="s">
        <v>10</v>
      </c>
      <c r="O187" s="52" t="s">
        <v>10</v>
      </c>
      <c r="P187" s="257" t="s">
        <v>10</v>
      </c>
      <c r="Q187" s="61">
        <f>SUM(P187)</f>
        <v>0</v>
      </c>
      <c r="R187" s="61">
        <f>Q187+M187</f>
        <v>6.5061659542773681E-2</v>
      </c>
      <c r="S187" s="61">
        <f>IF(O187="T-INTERSECTION",T187,(T187-K187))</f>
        <v>401.95834104023305</v>
      </c>
      <c r="T187" s="61">
        <f>IF(O187="T-INTERSECTION",(R187+F187-K187),(R187+F187))</f>
        <v>401.9974352156832</v>
      </c>
      <c r="U187" s="61">
        <f>VLOOKUP(C187,table_CIA_JCTS,26)</f>
        <v>406.15</v>
      </c>
      <c r="V187" s="61">
        <f>U187-0.5-S187</f>
        <v>3.6916589597669258</v>
      </c>
      <c r="W187" s="61" t="s">
        <v>10</v>
      </c>
      <c r="X187" s="69">
        <f>IF(B187&gt;0,VLOOKUP(B187,table_CIA_JCTS,28)," ")</f>
        <v>401.76</v>
      </c>
      <c r="Y187" s="1">
        <v>3.6916589597669258</v>
      </c>
    </row>
    <row r="188" spans="2:25" hidden="1" x14ac:dyDescent="0.2">
      <c r="B188" s="216" t="s">
        <v>10</v>
      </c>
      <c r="C188" s="217" t="s">
        <v>10</v>
      </c>
      <c r="D188" s="62" t="s">
        <v>10</v>
      </c>
      <c r="E188" s="61" t="s">
        <v>10</v>
      </c>
      <c r="F188" s="61" t="s">
        <v>10</v>
      </c>
      <c r="G188" s="62" t="s">
        <v>10</v>
      </c>
      <c r="H188" s="60" t="s">
        <v>10</v>
      </c>
      <c r="I188" s="62" t="s">
        <v>10</v>
      </c>
      <c r="J188" s="61" t="s">
        <v>10</v>
      </c>
      <c r="K188" s="68" t="s">
        <v>10</v>
      </c>
      <c r="L188" s="63" t="s">
        <v>10</v>
      </c>
      <c r="M188" s="61" t="s">
        <v>10</v>
      </c>
      <c r="N188" s="68" t="s">
        <v>10</v>
      </c>
      <c r="O188" s="52" t="s">
        <v>176</v>
      </c>
      <c r="P188" s="61" t="s">
        <v>10</v>
      </c>
      <c r="Q188" s="61" t="s">
        <v>10</v>
      </c>
      <c r="R188" s="61" t="s">
        <v>10</v>
      </c>
      <c r="S188" s="61" t="s">
        <v>10</v>
      </c>
      <c r="T188" s="61" t="s">
        <v>10</v>
      </c>
      <c r="U188" s="61" t="s">
        <v>10</v>
      </c>
      <c r="V188" s="61" t="s">
        <v>10</v>
      </c>
      <c r="W188" s="61" t="s">
        <v>10</v>
      </c>
      <c r="X188" s="69" t="s">
        <v>10</v>
      </c>
      <c r="Y188" s="1" t="s">
        <v>10</v>
      </c>
    </row>
    <row r="189" spans="2:25" hidden="1" x14ac:dyDescent="0.2">
      <c r="B189" s="216" t="s">
        <v>10</v>
      </c>
      <c r="C189" s="217" t="s">
        <v>10</v>
      </c>
      <c r="D189" s="62" t="s">
        <v>10</v>
      </c>
      <c r="E189" s="61" t="s">
        <v>10</v>
      </c>
      <c r="F189" s="61" t="s">
        <v>10</v>
      </c>
      <c r="G189" s="62" t="s">
        <v>10</v>
      </c>
      <c r="H189" s="60" t="s">
        <v>10</v>
      </c>
      <c r="I189" s="62" t="s">
        <v>10</v>
      </c>
      <c r="J189" s="61" t="s">
        <v>10</v>
      </c>
      <c r="K189" s="68" t="s">
        <v>10</v>
      </c>
      <c r="L189" s="63" t="s">
        <v>10</v>
      </c>
      <c r="M189" s="61" t="s">
        <v>10</v>
      </c>
      <c r="N189" s="68" t="s">
        <v>10</v>
      </c>
      <c r="O189" s="52" t="s">
        <v>176</v>
      </c>
      <c r="P189" s="61" t="s">
        <v>10</v>
      </c>
      <c r="Q189" s="61" t="s">
        <v>10</v>
      </c>
      <c r="R189" s="61" t="s">
        <v>10</v>
      </c>
      <c r="S189" s="61" t="s">
        <v>10</v>
      </c>
      <c r="T189" s="61" t="s">
        <v>10</v>
      </c>
      <c r="U189" s="61" t="s">
        <v>10</v>
      </c>
      <c r="V189" s="61" t="s">
        <v>10</v>
      </c>
      <c r="W189" s="61" t="s">
        <v>10</v>
      </c>
      <c r="X189" s="69" t="s">
        <v>10</v>
      </c>
      <c r="Y189" s="1" t="s">
        <v>10</v>
      </c>
    </row>
    <row r="190" spans="2:25" hidden="1" x14ac:dyDescent="0.2">
      <c r="B190" s="216">
        <v>57</v>
      </c>
      <c r="C190" s="217">
        <v>55</v>
      </c>
      <c r="D190" s="58" t="s">
        <v>10</v>
      </c>
      <c r="E190" s="61">
        <f>IF(B190=0,cell_HGL,IF(VLOOKUP(B190,table_HGL_JCTS,17,FALSE)&lt;X190,X190,VLOOKUP(B190,table_HGL_JCTS,17,FALSE)))</f>
        <v>400.93</v>
      </c>
      <c r="F190" s="61">
        <f>IF(B190=0,(E190+K190),IF(VLOOKUP(B190,table_HGL_JCTS,13,FALSE)="T-INTERSECTION",(E190+K190),(IF(VLOOKUP(B190,table_HGL_JCTS,17,FALSE)&lt;X190,(E190+K190),VLOOKUP(B190,table_HGL_JCTS,18,FALSE)))))</f>
        <v>400.97001685949226</v>
      </c>
      <c r="G190" s="62">
        <f>VLOOKUP(C190,table_CIA_JCTS,18)</f>
        <v>18</v>
      </c>
      <c r="H190" s="60">
        <f>VLOOKUP(C190,table_CIA_JCTS,17)</f>
        <v>2.8368596483579611</v>
      </c>
      <c r="I190" s="62">
        <f>VLOOKUP(C190,table_CIA_JCTS,21)</f>
        <v>686</v>
      </c>
      <c r="J190" s="61">
        <f>H190/((G190/12)^2*3.1416/4)</f>
        <v>1.6053304181070995</v>
      </c>
      <c r="K190" s="61">
        <f>(J190^2)/64.4</f>
        <v>4.0016859492234699E-2</v>
      </c>
      <c r="L190" s="63">
        <f>(H190/((1.486/cell_NP)*((3.1416*(G190/12)^2)/4)*(G190/48)^(2/3)))^2</f>
        <v>7.2935046670817745E-4</v>
      </c>
      <c r="M190" s="61">
        <f>L190*I190</f>
        <v>0.50033442016180973</v>
      </c>
      <c r="N190" s="68" t="s">
        <v>10</v>
      </c>
      <c r="O190" s="72" t="s">
        <v>129</v>
      </c>
      <c r="P190" s="61">
        <f>IF(ISBLANK(O190)=FALSE,(VLOOKUP(O190,table_MINOR,2,FALSE))*(K190)," ")</f>
        <v>2.000842974611735E-2</v>
      </c>
      <c r="Q190" s="61">
        <f>SUM(P190:P191)</f>
        <v>2.000842974611735E-2</v>
      </c>
      <c r="R190" s="61">
        <f>Q190+M190</f>
        <v>0.52034284990792712</v>
      </c>
      <c r="S190" s="61">
        <f>IF(O190="T-INTERSECTION",T190,(T190-K190))</f>
        <v>401.45034284990794</v>
      </c>
      <c r="T190" s="61">
        <f>IF(O190="T-INTERSECTION",(R190+F190-K190),(R190+F190))</f>
        <v>401.4903597094002</v>
      </c>
      <c r="U190" s="61">
        <f>VLOOKUP(C190,table_CIA_JCTS,26)</f>
        <v>405.16</v>
      </c>
      <c r="V190" s="61">
        <f>U190-0.5-S190</f>
        <v>3.2096571500920845</v>
      </c>
      <c r="W190" s="61" t="s">
        <v>10</v>
      </c>
      <c r="X190" s="69">
        <f>IF(B190&gt;0,VLOOKUP(B190,table_CIA_JCTS,28)," ")</f>
        <v>400.93</v>
      </c>
      <c r="Y190" s="1">
        <v>3.2096571500920845</v>
      </c>
    </row>
    <row r="191" spans="2:25" hidden="1" x14ac:dyDescent="0.2">
      <c r="B191" s="216" t="s">
        <v>10</v>
      </c>
      <c r="C191" s="217" t="s">
        <v>10</v>
      </c>
      <c r="D191" s="62" t="s">
        <v>10</v>
      </c>
      <c r="E191" s="61" t="s">
        <v>10</v>
      </c>
      <c r="F191" s="61" t="s">
        <v>10</v>
      </c>
      <c r="G191" s="62" t="s">
        <v>10</v>
      </c>
      <c r="H191" s="60" t="s">
        <v>10</v>
      </c>
      <c r="I191" s="62" t="s">
        <v>10</v>
      </c>
      <c r="J191" s="61" t="s">
        <v>10</v>
      </c>
      <c r="K191" s="68">
        <f>K190</f>
        <v>4.0016859492234699E-2</v>
      </c>
      <c r="L191" s="63" t="s">
        <v>10</v>
      </c>
      <c r="M191" s="61" t="s">
        <v>10</v>
      </c>
      <c r="N191" s="68" t="s">
        <v>10</v>
      </c>
      <c r="O191" s="52" t="s">
        <v>10</v>
      </c>
      <c r="P191" s="257" t="s">
        <v>10</v>
      </c>
      <c r="Q191" s="61" t="s">
        <v>10</v>
      </c>
      <c r="R191" s="61" t="s">
        <v>10</v>
      </c>
      <c r="S191" s="61" t="s">
        <v>10</v>
      </c>
      <c r="T191" s="61" t="s">
        <v>10</v>
      </c>
      <c r="U191" s="61" t="s">
        <v>10</v>
      </c>
      <c r="V191" s="61" t="s">
        <v>10</v>
      </c>
      <c r="W191" s="61" t="s">
        <v>10</v>
      </c>
      <c r="X191" s="69" t="s">
        <v>10</v>
      </c>
      <c r="Y191" s="1" t="s">
        <v>10</v>
      </c>
    </row>
    <row r="192" spans="2:25" hidden="1" x14ac:dyDescent="0.2">
      <c r="B192" s="216" t="s">
        <v>10</v>
      </c>
      <c r="C192" s="217" t="s">
        <v>10</v>
      </c>
      <c r="D192" s="62" t="s">
        <v>10</v>
      </c>
      <c r="E192" s="61" t="s">
        <v>10</v>
      </c>
      <c r="F192" s="61" t="s">
        <v>10</v>
      </c>
      <c r="G192" s="62" t="s">
        <v>10</v>
      </c>
      <c r="H192" s="60" t="s">
        <v>10</v>
      </c>
      <c r="I192" s="62" t="s">
        <v>10</v>
      </c>
      <c r="J192" s="61" t="s">
        <v>10</v>
      </c>
      <c r="K192" s="68" t="s">
        <v>10</v>
      </c>
      <c r="L192" s="63" t="s">
        <v>10</v>
      </c>
      <c r="M192" s="61" t="s">
        <v>10</v>
      </c>
      <c r="N192" s="68" t="s">
        <v>10</v>
      </c>
      <c r="O192" s="52" t="s">
        <v>176</v>
      </c>
      <c r="P192" s="61" t="s">
        <v>10</v>
      </c>
      <c r="Q192" s="61" t="s">
        <v>10</v>
      </c>
      <c r="R192" s="61" t="s">
        <v>10</v>
      </c>
      <c r="S192" s="61" t="s">
        <v>10</v>
      </c>
      <c r="T192" s="61" t="s">
        <v>10</v>
      </c>
      <c r="U192" s="61" t="s">
        <v>10</v>
      </c>
      <c r="V192" s="61" t="s">
        <v>10</v>
      </c>
      <c r="W192" s="61" t="s">
        <v>10</v>
      </c>
      <c r="X192" s="69" t="s">
        <v>10</v>
      </c>
      <c r="Y192" s="1" t="s">
        <v>10</v>
      </c>
    </row>
    <row r="193" spans="2:25" hidden="1" x14ac:dyDescent="0.2">
      <c r="B193" s="216">
        <v>62</v>
      </c>
      <c r="C193" s="217">
        <v>61</v>
      </c>
      <c r="D193" s="58" t="s">
        <v>10</v>
      </c>
      <c r="E193" s="61">
        <f>IF(B193=0,cell_HGL,IF(VLOOKUP(B193,table_HGL_JCTS,17,FALSE)&lt;X193,X193,VLOOKUP(B193,table_HGL_JCTS,17,FALSE)))</f>
        <v>398.44</v>
      </c>
      <c r="F193" s="61">
        <f>IF(B193=0,(E193+K193),IF(VLOOKUP(B193,table_HGL_JCTS,13,FALSE)="T-INTERSECTION",(E193+K193),(IF(VLOOKUP(B193,table_HGL_JCTS,17,FALSE)&lt;X193,(E193+K193),VLOOKUP(B193,table_HGL_JCTS,18,FALSE)))))</f>
        <v>398.5256832373048</v>
      </c>
      <c r="G193" s="62">
        <f>VLOOKUP(C193,table_CIA_JCTS,18)</f>
        <v>30</v>
      </c>
      <c r="H193" s="60">
        <f>VLOOKUP(C193,table_CIA_JCTS,17)</f>
        <v>11.53086217922883</v>
      </c>
      <c r="I193" s="62">
        <f>VLOOKUP(C193,table_CIA_JCTS,21)</f>
        <v>216</v>
      </c>
      <c r="J193" s="61">
        <f>H193/((G193/12)^2*3.1416/4)</f>
        <v>2.3490424607545366</v>
      </c>
      <c r="K193" s="61">
        <f>(J193^2)/64.4</f>
        <v>8.5683237304778392E-2</v>
      </c>
      <c r="L193" s="63">
        <f>(H193/((1.486/cell_NP)*((3.1416*(G193/12)^2)/4)*(G193/48)^(2/3)))^2</f>
        <v>7.9029784327826127E-4</v>
      </c>
      <c r="M193" s="61">
        <f>L193*I193</f>
        <v>0.17070433414810443</v>
      </c>
      <c r="N193" s="68" t="s">
        <v>10</v>
      </c>
      <c r="O193" s="52" t="s">
        <v>10</v>
      </c>
      <c r="P193" s="257" t="s">
        <v>10</v>
      </c>
      <c r="Q193" s="61">
        <f>SUM(P193)</f>
        <v>0</v>
      </c>
      <c r="R193" s="61">
        <f>Q193+M193</f>
        <v>0.17070433414810443</v>
      </c>
      <c r="S193" s="61">
        <f>IF(O193="T-INTERSECTION",T193,(T193-K193))</f>
        <v>398.61070433414812</v>
      </c>
      <c r="T193" s="61">
        <f>IF(O193="T-INTERSECTION",(R193+F193-K193),(R193+F193))</f>
        <v>398.69638757145293</v>
      </c>
      <c r="U193" s="61">
        <f>VLOOKUP(C193,table_CIA_JCTS,26)</f>
        <v>404.82</v>
      </c>
      <c r="V193" s="61">
        <f>U193-0.5-S193</f>
        <v>5.7092956658518688</v>
      </c>
      <c r="W193" s="61" t="s">
        <v>10</v>
      </c>
      <c r="X193" s="69">
        <f>IF(B193&gt;0,VLOOKUP(B193,table_CIA_JCTS,28)," ")</f>
        <v>398.44</v>
      </c>
      <c r="Y193" s="1">
        <v>5.7092956658518688</v>
      </c>
    </row>
    <row r="194" spans="2:25" hidden="1" x14ac:dyDescent="0.2">
      <c r="B194" s="216" t="s">
        <v>10</v>
      </c>
      <c r="C194" s="217" t="s">
        <v>10</v>
      </c>
      <c r="D194" s="62" t="s">
        <v>10</v>
      </c>
      <c r="E194" s="61" t="s">
        <v>10</v>
      </c>
      <c r="F194" s="61" t="s">
        <v>10</v>
      </c>
      <c r="G194" s="62" t="s">
        <v>10</v>
      </c>
      <c r="H194" s="60" t="s">
        <v>10</v>
      </c>
      <c r="I194" s="62" t="s">
        <v>10</v>
      </c>
      <c r="J194" s="61" t="s">
        <v>10</v>
      </c>
      <c r="K194" s="68" t="s">
        <v>10</v>
      </c>
      <c r="L194" s="63" t="s">
        <v>10</v>
      </c>
      <c r="M194" s="61" t="s">
        <v>10</v>
      </c>
      <c r="N194" s="68" t="s">
        <v>10</v>
      </c>
      <c r="O194" s="52" t="s">
        <v>176</v>
      </c>
      <c r="P194" s="61" t="s">
        <v>10</v>
      </c>
      <c r="Q194" s="61" t="s">
        <v>10</v>
      </c>
      <c r="R194" s="61" t="s">
        <v>10</v>
      </c>
      <c r="S194" s="61" t="s">
        <v>10</v>
      </c>
      <c r="T194" s="61" t="s">
        <v>10</v>
      </c>
      <c r="U194" s="61" t="s">
        <v>10</v>
      </c>
      <c r="V194" s="61" t="s">
        <v>10</v>
      </c>
      <c r="W194" s="61" t="s">
        <v>10</v>
      </c>
      <c r="X194" s="69" t="s">
        <v>10</v>
      </c>
      <c r="Y194" s="1" t="s">
        <v>10</v>
      </c>
    </row>
    <row r="195" spans="2:25" hidden="1" x14ac:dyDescent="0.2">
      <c r="B195" s="216" t="s">
        <v>10</v>
      </c>
      <c r="C195" s="217" t="s">
        <v>10</v>
      </c>
      <c r="D195" s="62" t="s">
        <v>10</v>
      </c>
      <c r="E195" s="61" t="s">
        <v>10</v>
      </c>
      <c r="F195" s="61" t="s">
        <v>10</v>
      </c>
      <c r="G195" s="62" t="s">
        <v>10</v>
      </c>
      <c r="H195" s="60" t="s">
        <v>10</v>
      </c>
      <c r="I195" s="62" t="s">
        <v>10</v>
      </c>
      <c r="J195" s="61" t="s">
        <v>10</v>
      </c>
      <c r="K195" s="68" t="s">
        <v>10</v>
      </c>
      <c r="L195" s="63" t="s">
        <v>10</v>
      </c>
      <c r="M195" s="61" t="s">
        <v>10</v>
      </c>
      <c r="N195" s="68" t="s">
        <v>10</v>
      </c>
      <c r="O195" s="52" t="s">
        <v>176</v>
      </c>
      <c r="P195" s="61" t="s">
        <v>10</v>
      </c>
      <c r="Q195" s="61" t="s">
        <v>10</v>
      </c>
      <c r="R195" s="61" t="s">
        <v>10</v>
      </c>
      <c r="S195" s="61" t="s">
        <v>10</v>
      </c>
      <c r="T195" s="61" t="s">
        <v>10</v>
      </c>
      <c r="U195" s="61" t="s">
        <v>10</v>
      </c>
      <c r="V195" s="61" t="s">
        <v>10</v>
      </c>
      <c r="W195" s="61" t="s">
        <v>10</v>
      </c>
      <c r="X195" s="69" t="s">
        <v>10</v>
      </c>
      <c r="Y195" s="1" t="s">
        <v>10</v>
      </c>
    </row>
    <row r="196" spans="2:25" hidden="1" x14ac:dyDescent="0.2">
      <c r="B196" s="216" t="s">
        <v>10</v>
      </c>
      <c r="C196" s="217" t="s">
        <v>10</v>
      </c>
      <c r="D196" s="62" t="s">
        <v>10</v>
      </c>
      <c r="E196" s="61" t="s">
        <v>10</v>
      </c>
      <c r="F196" s="61" t="s">
        <v>10</v>
      </c>
      <c r="G196" s="62" t="s">
        <v>10</v>
      </c>
      <c r="H196" s="60" t="s">
        <v>10</v>
      </c>
      <c r="I196" s="62" t="s">
        <v>10</v>
      </c>
      <c r="J196" s="61" t="s">
        <v>10</v>
      </c>
      <c r="K196" s="68" t="s">
        <v>10</v>
      </c>
      <c r="L196" s="63" t="s">
        <v>10</v>
      </c>
      <c r="M196" s="61" t="s">
        <v>10</v>
      </c>
      <c r="N196" s="68" t="s">
        <v>10</v>
      </c>
      <c r="O196" s="52" t="s">
        <v>176</v>
      </c>
      <c r="P196" s="61" t="s">
        <v>10</v>
      </c>
      <c r="Q196" s="61" t="s">
        <v>10</v>
      </c>
      <c r="R196" s="61" t="s">
        <v>10</v>
      </c>
      <c r="S196" s="61" t="s">
        <v>10</v>
      </c>
      <c r="T196" s="61" t="s">
        <v>10</v>
      </c>
      <c r="U196" s="61" t="s">
        <v>10</v>
      </c>
      <c r="V196" s="61" t="s">
        <v>10</v>
      </c>
      <c r="W196" s="61" t="s">
        <v>10</v>
      </c>
      <c r="X196" s="69" t="s">
        <v>10</v>
      </c>
      <c r="Y196" s="1" t="s">
        <v>10</v>
      </c>
    </row>
    <row r="197" spans="2:25" hidden="1" x14ac:dyDescent="0.2">
      <c r="B197" s="216">
        <v>65.3</v>
      </c>
      <c r="C197" s="217">
        <v>65.25</v>
      </c>
      <c r="D197" s="58" t="s">
        <v>10</v>
      </c>
      <c r="E197" s="61">
        <f>IF(B197=0,cell_HGL,IF(VLOOKUP(B197,table_HGL_JCTS,17,FALSE)&lt;X197,X197,VLOOKUP(B197,table_HGL_JCTS,17,FALSE)))</f>
        <v>392.64071832626462</v>
      </c>
      <c r="F197" s="61">
        <f>IF(B197=0,(E197+K197),IF(VLOOKUP(B197,table_HGL_JCTS,13,FALSE)="T-INTERSECTION",(E197+K197),(IF(VLOOKUP(B197,table_HGL_JCTS,17,FALSE)&lt;X197,(E197+K197),VLOOKUP(B197,table_HGL_JCTS,18,FALSE)))))</f>
        <v>393.0062930196828</v>
      </c>
      <c r="G197" s="62">
        <f>VLOOKUP(C197,table_CIA_JCTS,18)</f>
        <v>18</v>
      </c>
      <c r="H197" s="60">
        <f>VLOOKUP(C197,table_CIA_JCTS,17)</f>
        <v>6.716603430947452</v>
      </c>
      <c r="I197" s="62">
        <f>VLOOKUP(C197,table_CIA_JCTS,21)</f>
        <v>369</v>
      </c>
      <c r="J197" s="61">
        <f>H197/((G197/12)^2*3.1416/4)</f>
        <v>3.800811154088477</v>
      </c>
      <c r="K197" s="61">
        <f>(J197^2)/64.4</f>
        <v>0.22431933896030093</v>
      </c>
      <c r="L197" s="63">
        <f>(H197/((1.486/cell_NP)*((3.1416*(G197/12)^2)/4)*(G197/48)^(2/3)))^2</f>
        <v>4.088462129171167E-3</v>
      </c>
      <c r="M197" s="61">
        <f>L197*I197</f>
        <v>1.5086425256641607</v>
      </c>
      <c r="N197" s="68" t="s">
        <v>10</v>
      </c>
      <c r="O197" s="72" t="s">
        <v>130</v>
      </c>
      <c r="P197" s="61">
        <f>IF(ISBLANK(O197)=FALSE,(VLOOKUP(O197,table_MINOR,2,FALSE))*(K197)," ")</f>
        <v>6.7295801688090282E-2</v>
      </c>
      <c r="Q197" s="61">
        <f>SUM(P197:P198)</f>
        <v>6.7295801688090282E-2</v>
      </c>
      <c r="R197" s="61">
        <f>Q197+M197</f>
        <v>1.5759383273522509</v>
      </c>
      <c r="S197" s="61">
        <f>IF(O197="T-INTERSECTION",T197,(T197-K197))</f>
        <v>394.35791200807478</v>
      </c>
      <c r="T197" s="61">
        <f>IF(O197="T-INTERSECTION",(R197+F197-K197),(R197+F197))</f>
        <v>394.58223134703508</v>
      </c>
      <c r="U197" s="61">
        <f>VLOOKUP(C197,table_CIA_JCTS,26)</f>
        <v>399.22</v>
      </c>
      <c r="V197" s="61">
        <f>U197-0.5-S197</f>
        <v>4.3620879919252502</v>
      </c>
      <c r="W197" s="61" t="s">
        <v>10</v>
      </c>
      <c r="X197" s="69" t="str">
        <f>IF(B197&gt;0,VLOOKUP(B197,table_CIA_JCTS,28)," ")</f>
        <v xml:space="preserve"> </v>
      </c>
      <c r="Y197" s="1">
        <v>4.3620879919252502</v>
      </c>
    </row>
    <row r="198" spans="2:25" hidden="1" x14ac:dyDescent="0.2">
      <c r="B198" s="216" t="s">
        <v>10</v>
      </c>
      <c r="C198" s="217" t="s">
        <v>10</v>
      </c>
      <c r="D198" s="62" t="s">
        <v>10</v>
      </c>
      <c r="E198" s="61" t="s">
        <v>10</v>
      </c>
      <c r="F198" s="61" t="s">
        <v>10</v>
      </c>
      <c r="G198" s="62" t="s">
        <v>10</v>
      </c>
      <c r="H198" s="60" t="s">
        <v>10</v>
      </c>
      <c r="I198" s="62" t="s">
        <v>10</v>
      </c>
      <c r="J198" s="61" t="s">
        <v>10</v>
      </c>
      <c r="K198" s="68">
        <f>K197</f>
        <v>0.22431933896030093</v>
      </c>
      <c r="L198" s="63" t="s">
        <v>10</v>
      </c>
      <c r="M198" s="61" t="s">
        <v>10</v>
      </c>
      <c r="N198" s="68" t="s">
        <v>10</v>
      </c>
      <c r="O198" s="52" t="s">
        <v>10</v>
      </c>
      <c r="P198" s="257" t="s">
        <v>10</v>
      </c>
      <c r="Q198" s="61" t="s">
        <v>10</v>
      </c>
      <c r="R198" s="61" t="s">
        <v>10</v>
      </c>
      <c r="S198" s="61" t="s">
        <v>10</v>
      </c>
      <c r="T198" s="61" t="s">
        <v>10</v>
      </c>
      <c r="U198" s="61" t="s">
        <v>10</v>
      </c>
      <c r="V198" s="61" t="s">
        <v>10</v>
      </c>
      <c r="W198" s="61" t="s">
        <v>10</v>
      </c>
      <c r="X198" s="69" t="s">
        <v>10</v>
      </c>
      <c r="Y198" s="1" t="s">
        <v>10</v>
      </c>
    </row>
    <row r="199" spans="2:25" hidden="1" x14ac:dyDescent="0.2">
      <c r="B199" s="216">
        <v>65.25</v>
      </c>
      <c r="C199" s="217">
        <v>65.2</v>
      </c>
      <c r="D199" s="58" t="s">
        <v>10</v>
      </c>
      <c r="E199" s="61">
        <f>IF(B199=0,cell_HGL,IF(VLOOKUP(B199,table_HGL_JCTS,17,FALSE)&lt;X199,X199,VLOOKUP(B199,table_HGL_JCTS,17,FALSE)))</f>
        <v>394.35791200807478</v>
      </c>
      <c r="F199" s="61">
        <f>IF(B199=0,(E199+K199),IF(VLOOKUP(B199,table_HGL_JCTS,13,FALSE)="T-INTERSECTION",(E199+K199),(IF(VLOOKUP(B199,table_HGL_JCTS,17,FALSE)&lt;X199,(E199+K199),VLOOKUP(B199,table_HGL_JCTS,18,FALSE)))))</f>
        <v>394.58223134703508</v>
      </c>
      <c r="G199" s="62">
        <f>VLOOKUP(C199,table_CIA_JCTS,18)</f>
        <v>18</v>
      </c>
      <c r="H199" s="60">
        <f>VLOOKUP(C199,table_CIA_JCTS,17)</f>
        <v>3.8532133758647942</v>
      </c>
      <c r="I199" s="62">
        <f>VLOOKUP(C199,table_CIA_JCTS,21)</f>
        <v>362</v>
      </c>
      <c r="J199" s="61">
        <f>H199/((G199/12)^2*3.1416/4)</f>
        <v>2.1804676319864154</v>
      </c>
      <c r="K199" s="61">
        <f>(J199^2)/64.4</f>
        <v>7.3826694008392008E-2</v>
      </c>
      <c r="L199" s="63">
        <f>(H199/((1.486/cell_NP)*((3.1416*(G199/12)^2)/4)*(G199/48)^(2/3)))^2</f>
        <v>1.3455712020827443E-3</v>
      </c>
      <c r="M199" s="61">
        <f>L199*I199</f>
        <v>0.48709677515395344</v>
      </c>
      <c r="N199" s="68" t="s">
        <v>10</v>
      </c>
      <c r="O199" s="72" t="s">
        <v>129</v>
      </c>
      <c r="P199" s="61">
        <f>IF(ISBLANK(O199)=FALSE,(VLOOKUP(O199,table_MINOR,2,FALSE))*(K199)," ")</f>
        <v>3.6913347004196004E-2</v>
      </c>
      <c r="Q199" s="61">
        <f>SUM(P199:P200)</f>
        <v>3.6913347004196004E-2</v>
      </c>
      <c r="R199" s="61">
        <f>Q199+M199</f>
        <v>0.52401012215814946</v>
      </c>
      <c r="S199" s="61">
        <f>IF(O199="T-INTERSECTION",T199,(T199-K199))</f>
        <v>395.0324147751848</v>
      </c>
      <c r="T199" s="61">
        <f>IF(O199="T-INTERSECTION",(R199+F199-K199),(R199+F199))</f>
        <v>395.10624146919321</v>
      </c>
      <c r="U199" s="61">
        <f>VLOOKUP(C199,table_CIA_JCTS,26)</f>
        <v>399.56</v>
      </c>
      <c r="V199" s="61">
        <f>U199-0.5-S199</f>
        <v>4.0275852248151978</v>
      </c>
      <c r="W199" s="61" t="s">
        <v>10</v>
      </c>
      <c r="X199" s="69" t="str">
        <f>IF(B199&gt;0,VLOOKUP(B199,table_CIA_JCTS,28)," ")</f>
        <v xml:space="preserve"> </v>
      </c>
      <c r="Y199" s="1">
        <v>4.0275852248151978</v>
      </c>
    </row>
    <row r="200" spans="2:25" hidden="1" x14ac:dyDescent="0.2">
      <c r="B200" s="216" t="s">
        <v>10</v>
      </c>
      <c r="C200" s="217" t="s">
        <v>10</v>
      </c>
      <c r="D200" s="62" t="s">
        <v>10</v>
      </c>
      <c r="E200" s="61" t="s">
        <v>10</v>
      </c>
      <c r="F200" s="61" t="s">
        <v>10</v>
      </c>
      <c r="G200" s="62" t="s">
        <v>10</v>
      </c>
      <c r="H200" s="60" t="s">
        <v>10</v>
      </c>
      <c r="I200" s="62" t="s">
        <v>10</v>
      </c>
      <c r="J200" s="61" t="s">
        <v>10</v>
      </c>
      <c r="K200" s="68">
        <f>K199</f>
        <v>7.3826694008392008E-2</v>
      </c>
      <c r="L200" s="63" t="s">
        <v>10</v>
      </c>
      <c r="M200" s="61" t="s">
        <v>10</v>
      </c>
      <c r="N200" s="68" t="s">
        <v>10</v>
      </c>
      <c r="O200" s="52" t="s">
        <v>10</v>
      </c>
      <c r="P200" s="257" t="s">
        <v>10</v>
      </c>
      <c r="Q200" s="61" t="s">
        <v>10</v>
      </c>
      <c r="R200" s="61" t="s">
        <v>10</v>
      </c>
      <c r="S200" s="61" t="s">
        <v>10</v>
      </c>
      <c r="T200" s="61" t="s">
        <v>10</v>
      </c>
      <c r="U200" s="61" t="s">
        <v>10</v>
      </c>
      <c r="V200" s="61" t="s">
        <v>10</v>
      </c>
      <c r="W200" s="61" t="s">
        <v>10</v>
      </c>
      <c r="X200" s="69" t="s">
        <v>10</v>
      </c>
      <c r="Y200" s="1" t="s">
        <v>10</v>
      </c>
    </row>
    <row r="201" spans="2:25" hidden="1" x14ac:dyDescent="0.2">
      <c r="B201" s="216" t="s">
        <v>10</v>
      </c>
      <c r="C201" s="217" t="s">
        <v>10</v>
      </c>
      <c r="D201" s="62" t="s">
        <v>10</v>
      </c>
      <c r="E201" s="61" t="s">
        <v>10</v>
      </c>
      <c r="F201" s="61" t="s">
        <v>10</v>
      </c>
      <c r="G201" s="62" t="s">
        <v>10</v>
      </c>
      <c r="H201" s="60" t="s">
        <v>10</v>
      </c>
      <c r="I201" s="62" t="s">
        <v>10</v>
      </c>
      <c r="J201" s="61" t="s">
        <v>10</v>
      </c>
      <c r="K201" s="68" t="s">
        <v>10</v>
      </c>
      <c r="L201" s="63" t="s">
        <v>10</v>
      </c>
      <c r="M201" s="61" t="s">
        <v>10</v>
      </c>
      <c r="N201" s="68" t="s">
        <v>10</v>
      </c>
      <c r="O201" s="52" t="s">
        <v>176</v>
      </c>
      <c r="P201" s="61" t="s">
        <v>10</v>
      </c>
      <c r="Q201" s="61" t="s">
        <v>10</v>
      </c>
      <c r="R201" s="61" t="s">
        <v>10</v>
      </c>
      <c r="S201" s="61" t="s">
        <v>10</v>
      </c>
      <c r="T201" s="61" t="s">
        <v>10</v>
      </c>
      <c r="U201" s="61" t="s">
        <v>10</v>
      </c>
      <c r="V201" s="61" t="s">
        <v>10</v>
      </c>
      <c r="W201" s="61" t="s">
        <v>10</v>
      </c>
      <c r="X201" s="69" t="s">
        <v>10</v>
      </c>
      <c r="Y201" s="1" t="s">
        <v>10</v>
      </c>
    </row>
    <row r="202" spans="2:25" hidden="1" x14ac:dyDescent="0.2">
      <c r="B202" s="216">
        <v>69</v>
      </c>
      <c r="C202" s="217">
        <v>68.05</v>
      </c>
      <c r="D202" s="58" t="s">
        <v>10</v>
      </c>
      <c r="E202" s="61">
        <f>IF(B202=0,cell_HGL,IF(VLOOKUP(B202,table_HGL_JCTS,17,FALSE)&lt;X202,X202,VLOOKUP(B202,table_HGL_JCTS,17,FALSE)))</f>
        <v>392.04468694531977</v>
      </c>
      <c r="F202" s="61">
        <f>IF(B202=0,(E202+K202),IF(VLOOKUP(B202,table_HGL_JCTS,13,FALSE)="T-INTERSECTION",(E202+K202),(IF(VLOOKUP(B202,table_HGL_JCTS,17,FALSE)&lt;X202,(E202+K202),VLOOKUP(B202,table_HGL_JCTS,18,FALSE)))))</f>
        <v>392.05254272322389</v>
      </c>
      <c r="G202" s="62">
        <f>VLOOKUP(C202,table_CIA_JCTS,18)</f>
        <v>30</v>
      </c>
      <c r="H202" s="60">
        <f>VLOOKUP(C202,table_CIA_JCTS,17)</f>
        <v>3.491471057565517</v>
      </c>
      <c r="I202" s="62">
        <f>VLOOKUP(C202,table_CIA_JCTS,21)</f>
        <v>29</v>
      </c>
      <c r="J202" s="61">
        <f>H202/((G202/12)^2*3.1416/4)</f>
        <v>0.71127497989620925</v>
      </c>
      <c r="K202" s="61">
        <f>(J202^2)/64.4</f>
        <v>7.8557779041359133E-3</v>
      </c>
      <c r="L202" s="63">
        <f>(H202/((1.486/cell_NP)*((3.1416*(G202/12)^2)/4)*(G202/48)^(2/3)))^2</f>
        <v>7.2457630339387295E-5</v>
      </c>
      <c r="M202" s="61">
        <f>L202*I202</f>
        <v>2.1012712798422315E-3</v>
      </c>
      <c r="N202" s="68" t="s">
        <v>10</v>
      </c>
      <c r="O202" s="52" t="s">
        <v>10</v>
      </c>
      <c r="P202" s="257" t="s">
        <v>10</v>
      </c>
      <c r="Q202" s="61">
        <f>SUM(P202)</f>
        <v>0</v>
      </c>
      <c r="R202" s="61">
        <f>Q202+M202</f>
        <v>2.1012712798422315E-3</v>
      </c>
      <c r="S202" s="61">
        <f>IF(O202="T-INTERSECTION",T202,(T202-K202))</f>
        <v>392.04678821659962</v>
      </c>
      <c r="T202" s="61">
        <f>IF(O202="T-INTERSECTION",(R202+F202-K202),(R202+F202))</f>
        <v>392.05464399450375</v>
      </c>
      <c r="U202" s="61">
        <f>VLOOKUP(C202,table_CIA_JCTS,26)</f>
        <v>399.54</v>
      </c>
      <c r="V202" s="61">
        <f>U202-0.5-S202</f>
        <v>6.9932117834003975</v>
      </c>
      <c r="W202" s="61" t="s">
        <v>10</v>
      </c>
      <c r="X202" s="69">
        <f>IF(B202&gt;0,VLOOKUP(B202,table_CIA_JCTS,28)," ")</f>
        <v>391.68</v>
      </c>
      <c r="Y202" s="1">
        <v>6.9932117834003975</v>
      </c>
    </row>
    <row r="203" spans="2:25" hidden="1" x14ac:dyDescent="0.2">
      <c r="B203" s="216" t="s">
        <v>10</v>
      </c>
      <c r="C203" s="217" t="s">
        <v>10</v>
      </c>
      <c r="D203" s="62" t="s">
        <v>10</v>
      </c>
      <c r="E203" s="61" t="s">
        <v>10</v>
      </c>
      <c r="F203" s="61" t="s">
        <v>10</v>
      </c>
      <c r="G203" s="62" t="s">
        <v>10</v>
      </c>
      <c r="H203" s="60" t="s">
        <v>10</v>
      </c>
      <c r="I203" s="62" t="s">
        <v>10</v>
      </c>
      <c r="J203" s="61" t="s">
        <v>10</v>
      </c>
      <c r="K203" s="68" t="s">
        <v>10</v>
      </c>
      <c r="L203" s="63" t="s">
        <v>10</v>
      </c>
      <c r="M203" s="61" t="s">
        <v>10</v>
      </c>
      <c r="N203" s="68" t="s">
        <v>10</v>
      </c>
      <c r="O203" s="52" t="s">
        <v>176</v>
      </c>
      <c r="P203" s="61" t="s">
        <v>10</v>
      </c>
      <c r="Q203" s="61" t="s">
        <v>10</v>
      </c>
      <c r="R203" s="61" t="s">
        <v>10</v>
      </c>
      <c r="S203" s="61" t="s">
        <v>10</v>
      </c>
      <c r="T203" s="61" t="s">
        <v>10</v>
      </c>
      <c r="U203" s="61" t="s">
        <v>10</v>
      </c>
      <c r="V203" s="61" t="s">
        <v>10</v>
      </c>
      <c r="W203" s="61" t="s">
        <v>10</v>
      </c>
      <c r="X203" s="69" t="s">
        <v>10</v>
      </c>
      <c r="Y203" s="1" t="s">
        <v>10</v>
      </c>
    </row>
    <row r="204" spans="2:25" hidden="1" x14ac:dyDescent="0.2">
      <c r="B204" s="216">
        <v>68.05</v>
      </c>
      <c r="C204" s="217">
        <v>68</v>
      </c>
      <c r="D204" s="58" t="s">
        <v>10</v>
      </c>
      <c r="E204" s="61">
        <f>IF(B204=0,cell_HGL,IF(VLOOKUP(B204,table_HGL_JCTS,17,FALSE)&lt;X204,X204,VLOOKUP(B204,table_HGL_JCTS,17,FALSE)))</f>
        <v>392.04678821659962</v>
      </c>
      <c r="F204" s="61">
        <f>IF(B204=0,(E204+K204),IF(VLOOKUP(B204,table_HGL_JCTS,13,FALSE)="T-INTERSECTION",(E204+K204),(IF(VLOOKUP(B204,table_HGL_JCTS,17,FALSE)&lt;X204,(E204+K204),VLOOKUP(B204,table_HGL_JCTS,18,FALSE)))))</f>
        <v>392.05464399450375</v>
      </c>
      <c r="G204" s="62">
        <f>VLOOKUP(C204,table_CIA_JCTS,18)</f>
        <v>18</v>
      </c>
      <c r="H204" s="60">
        <f>VLOOKUP(C204,table_CIA_JCTS,17)</f>
        <v>3.491471057565517</v>
      </c>
      <c r="I204" s="62">
        <f>VLOOKUP(C204,table_CIA_JCTS,21)</f>
        <v>391</v>
      </c>
      <c r="J204" s="61">
        <f>H204/((G204/12)^2*3.1416/4)</f>
        <v>1.9757638330450256</v>
      </c>
      <c r="K204" s="61">
        <f>(J204^2)/64.4</f>
        <v>6.061557024796229E-2</v>
      </c>
      <c r="L204" s="63">
        <f>(H204/((1.486/cell_NP)*((3.1416*(G204/12)^2)/4)*(G204/48)^(2/3)))^2</f>
        <v>1.1047842087336362E-3</v>
      </c>
      <c r="M204" s="61">
        <f>L204*I204</f>
        <v>0.43197062561485178</v>
      </c>
      <c r="N204" s="68" t="s">
        <v>10</v>
      </c>
      <c r="O204" s="52" t="s">
        <v>10</v>
      </c>
      <c r="P204" s="257" t="s">
        <v>10</v>
      </c>
      <c r="Q204" s="61">
        <f>SUM(P204)</f>
        <v>0</v>
      </c>
      <c r="R204" s="61">
        <f>Q204+M204</f>
        <v>0.43197062561485178</v>
      </c>
      <c r="S204" s="61">
        <f>IF(O204="T-INTERSECTION",T204,(T204-K204))</f>
        <v>392.4259990498706</v>
      </c>
      <c r="T204" s="61">
        <f>IF(O204="T-INTERSECTION",(R204+F204-K204),(R204+F204))</f>
        <v>392.48661462011859</v>
      </c>
      <c r="U204" s="61">
        <f>VLOOKUP(C204,table_CIA_JCTS,26)</f>
        <v>397.99</v>
      </c>
      <c r="V204" s="61">
        <f>U204-0.5-S204</f>
        <v>5.0640009501294116</v>
      </c>
      <c r="W204" s="61" t="s">
        <v>10</v>
      </c>
      <c r="X204" s="69" t="str">
        <f>IF(B204&gt;0,VLOOKUP(B204,table_CIA_JCTS,28)," ")</f>
        <v xml:space="preserve"> </v>
      </c>
      <c r="Y204" s="1">
        <v>5.0640009501294116</v>
      </c>
    </row>
    <row r="205" spans="2:25" hidden="1" x14ac:dyDescent="0.2">
      <c r="B205" s="216" t="s">
        <v>10</v>
      </c>
      <c r="C205" s="217" t="s">
        <v>10</v>
      </c>
      <c r="D205" s="62" t="s">
        <v>10</v>
      </c>
      <c r="E205" s="61" t="s">
        <v>10</v>
      </c>
      <c r="F205" s="61" t="s">
        <v>10</v>
      </c>
      <c r="G205" s="62" t="s">
        <v>10</v>
      </c>
      <c r="H205" s="60" t="s">
        <v>10</v>
      </c>
      <c r="I205" s="62" t="s">
        <v>10</v>
      </c>
      <c r="J205" s="61" t="s">
        <v>10</v>
      </c>
      <c r="K205" s="68" t="s">
        <v>10</v>
      </c>
      <c r="L205" s="63" t="s">
        <v>10</v>
      </c>
      <c r="M205" s="61" t="s">
        <v>10</v>
      </c>
      <c r="N205" s="68" t="s">
        <v>10</v>
      </c>
      <c r="O205" s="52" t="s">
        <v>176</v>
      </c>
      <c r="P205" s="61" t="s">
        <v>10</v>
      </c>
      <c r="Q205" s="61" t="s">
        <v>10</v>
      </c>
      <c r="R205" s="61" t="s">
        <v>10</v>
      </c>
      <c r="S205" s="61" t="s">
        <v>10</v>
      </c>
      <c r="T205" s="61" t="s">
        <v>10</v>
      </c>
      <c r="U205" s="61" t="s">
        <v>10</v>
      </c>
      <c r="V205" s="61" t="s">
        <v>10</v>
      </c>
      <c r="W205" s="61" t="s">
        <v>10</v>
      </c>
      <c r="X205" s="69" t="s">
        <v>10</v>
      </c>
      <c r="Y205" s="1" t="s">
        <v>10</v>
      </c>
    </row>
    <row r="206" spans="2:25" hidden="1" x14ac:dyDescent="0.2">
      <c r="B206" s="216" t="s">
        <v>10</v>
      </c>
      <c r="C206" s="217" t="s">
        <v>10</v>
      </c>
      <c r="D206" s="62" t="s">
        <v>10</v>
      </c>
      <c r="E206" s="61" t="s">
        <v>10</v>
      </c>
      <c r="F206" s="61" t="s">
        <v>10</v>
      </c>
      <c r="G206" s="62" t="s">
        <v>10</v>
      </c>
      <c r="H206" s="60" t="s">
        <v>10</v>
      </c>
      <c r="I206" s="62" t="s">
        <v>10</v>
      </c>
      <c r="J206" s="61" t="s">
        <v>10</v>
      </c>
      <c r="K206" s="68" t="s">
        <v>10</v>
      </c>
      <c r="L206" s="63" t="s">
        <v>10</v>
      </c>
      <c r="M206" s="61" t="s">
        <v>10</v>
      </c>
      <c r="N206" s="68" t="s">
        <v>10</v>
      </c>
      <c r="O206" s="52" t="s">
        <v>176</v>
      </c>
      <c r="P206" s="61" t="s">
        <v>10</v>
      </c>
      <c r="Q206" s="61" t="s">
        <v>10</v>
      </c>
      <c r="R206" s="61" t="s">
        <v>10</v>
      </c>
      <c r="S206" s="61" t="s">
        <v>10</v>
      </c>
      <c r="T206" s="61" t="s">
        <v>10</v>
      </c>
      <c r="U206" s="61" t="s">
        <v>10</v>
      </c>
      <c r="V206" s="61" t="s">
        <v>10</v>
      </c>
      <c r="W206" s="61" t="s">
        <v>10</v>
      </c>
      <c r="X206" s="69" t="s">
        <v>10</v>
      </c>
      <c r="Y206" s="1" t="s">
        <v>10</v>
      </c>
    </row>
    <row r="207" spans="2:25" hidden="1" x14ac:dyDescent="0.2">
      <c r="B207" s="216">
        <v>69</v>
      </c>
      <c r="C207" s="217">
        <v>68.099999999999994</v>
      </c>
      <c r="D207" s="58" t="s">
        <v>10</v>
      </c>
      <c r="E207" s="61">
        <f>IF(B207=0,cell_HGL,IF(VLOOKUP(B207,table_HGL_JCTS,17,FALSE)&lt;X207,X207,VLOOKUP(B207,table_HGL_JCTS,17,FALSE)))</f>
        <v>392.04468694531977</v>
      </c>
      <c r="F207" s="61">
        <f>IF(B207=0,(E207+K207),IF(VLOOKUP(B207,table_HGL_JCTS,13,FALSE)="T-INTERSECTION",(E207+K207),(IF(VLOOKUP(B207,table_HGL_JCTS,17,FALSE)&lt;X207,(E207+K207),VLOOKUP(B207,table_HGL_JCTS,18,FALSE)))))</f>
        <v>392.0568249512898</v>
      </c>
      <c r="G207" s="62">
        <f>VLOOKUP(C207,table_CIA_JCTS,18)</f>
        <v>18</v>
      </c>
      <c r="H207" s="60">
        <f>VLOOKUP(C207,table_CIA_JCTS,17)</f>
        <v>1.562392055985059</v>
      </c>
      <c r="I207" s="62">
        <f>VLOOKUP(C207,table_CIA_JCTS,21)</f>
        <v>87</v>
      </c>
      <c r="J207" s="61">
        <f>H207/((G207/12)^2*3.1416/4)</f>
        <v>0.88413097698840448</v>
      </c>
      <c r="K207" s="61">
        <f>(J207^2)/64.4</f>
        <v>1.2138005970038362E-2</v>
      </c>
      <c r="L207" s="63">
        <f>(H207/((1.486/cell_NP)*((3.1416*(G207/12)^2)/4)*(G207/48)^(2/3)))^2</f>
        <v>2.212282630742682E-4</v>
      </c>
      <c r="M207" s="61">
        <f>L207*I207</f>
        <v>1.9246858887461332E-2</v>
      </c>
      <c r="N207" s="68" t="s">
        <v>10</v>
      </c>
      <c r="O207" s="52" t="s">
        <v>10</v>
      </c>
      <c r="P207" s="257" t="s">
        <v>10</v>
      </c>
      <c r="Q207" s="61">
        <f>SUM(P207)</f>
        <v>0</v>
      </c>
      <c r="R207" s="61">
        <f>Q207+M207</f>
        <v>1.9246858887461332E-2</v>
      </c>
      <c r="S207" s="61">
        <f>IF(O207="T-INTERSECTION",T207,(T207-K207))</f>
        <v>392.06393380420724</v>
      </c>
      <c r="T207" s="61">
        <f>IF(O207="T-INTERSECTION",(R207+F207-K207),(R207+F207))</f>
        <v>392.07607181017727</v>
      </c>
      <c r="U207" s="61">
        <f>VLOOKUP(C207,table_CIA_JCTS,26)</f>
        <v>399.55</v>
      </c>
      <c r="V207" s="61">
        <f>U207-0.5-S207</f>
        <v>6.9860661957927732</v>
      </c>
      <c r="W207" s="61" t="s">
        <v>10</v>
      </c>
      <c r="X207" s="69">
        <f>IF(B207&gt;0,VLOOKUP(B207,table_CIA_JCTS,28)," ")</f>
        <v>391.68</v>
      </c>
      <c r="Y207" s="1">
        <v>6.9860661957927732</v>
      </c>
    </row>
    <row r="208" spans="2:25" hidden="1" x14ac:dyDescent="0.2">
      <c r="B208" s="216" t="s">
        <v>10</v>
      </c>
      <c r="C208" s="217" t="s">
        <v>10</v>
      </c>
      <c r="D208" s="62" t="s">
        <v>10</v>
      </c>
      <c r="E208" s="61" t="s">
        <v>10</v>
      </c>
      <c r="F208" s="61" t="s">
        <v>10</v>
      </c>
      <c r="G208" s="62" t="s">
        <v>10</v>
      </c>
      <c r="H208" s="60" t="s">
        <v>10</v>
      </c>
      <c r="I208" s="62" t="s">
        <v>10</v>
      </c>
      <c r="J208" s="61" t="s">
        <v>10</v>
      </c>
      <c r="K208" s="68" t="s">
        <v>10</v>
      </c>
      <c r="L208" s="63" t="s">
        <v>10</v>
      </c>
      <c r="M208" s="61" t="s">
        <v>10</v>
      </c>
      <c r="N208" s="68" t="s">
        <v>10</v>
      </c>
      <c r="O208" s="52" t="s">
        <v>176</v>
      </c>
      <c r="P208" s="61" t="s">
        <v>10</v>
      </c>
      <c r="Q208" s="61" t="s">
        <v>10</v>
      </c>
      <c r="R208" s="61" t="s">
        <v>10</v>
      </c>
      <c r="S208" s="61" t="s">
        <v>10</v>
      </c>
      <c r="T208" s="61" t="s">
        <v>10</v>
      </c>
      <c r="U208" s="61" t="s">
        <v>10</v>
      </c>
      <c r="V208" s="61" t="s">
        <v>10</v>
      </c>
      <c r="W208" s="61" t="s">
        <v>10</v>
      </c>
      <c r="X208" s="69" t="s">
        <v>10</v>
      </c>
      <c r="Y208" s="1" t="s">
        <v>10</v>
      </c>
    </row>
    <row r="209" spans="2:25" hidden="1" x14ac:dyDescent="0.2">
      <c r="B209" s="216" t="s">
        <v>10</v>
      </c>
      <c r="C209" s="217" t="s">
        <v>10</v>
      </c>
      <c r="D209" s="62" t="s">
        <v>10</v>
      </c>
      <c r="E209" s="61" t="s">
        <v>10</v>
      </c>
      <c r="F209" s="61" t="s">
        <v>10</v>
      </c>
      <c r="G209" s="62" t="s">
        <v>10</v>
      </c>
      <c r="H209" s="60" t="s">
        <v>10</v>
      </c>
      <c r="I209" s="62" t="s">
        <v>10</v>
      </c>
      <c r="J209" s="61" t="s">
        <v>10</v>
      </c>
      <c r="K209" s="68" t="s">
        <v>10</v>
      </c>
      <c r="L209" s="63" t="s">
        <v>10</v>
      </c>
      <c r="M209" s="61" t="s">
        <v>10</v>
      </c>
      <c r="N209" s="68" t="s">
        <v>10</v>
      </c>
      <c r="O209" s="52" t="s">
        <v>176</v>
      </c>
      <c r="P209" s="61" t="s">
        <v>10</v>
      </c>
      <c r="Q209" s="61" t="s">
        <v>10</v>
      </c>
      <c r="R209" s="61" t="s">
        <v>10</v>
      </c>
      <c r="S209" s="61" t="s">
        <v>10</v>
      </c>
      <c r="T209" s="61" t="s">
        <v>10</v>
      </c>
      <c r="U209" s="61" t="s">
        <v>10</v>
      </c>
      <c r="V209" s="61" t="s">
        <v>10</v>
      </c>
      <c r="W209" s="61" t="s">
        <v>10</v>
      </c>
      <c r="X209" s="69" t="s">
        <v>10</v>
      </c>
      <c r="Y209" s="1" t="s">
        <v>10</v>
      </c>
    </row>
    <row r="210" spans="2:25" hidden="1" x14ac:dyDescent="0.2">
      <c r="B210" s="258">
        <v>71</v>
      </c>
      <c r="C210" s="259">
        <v>70.400000000000006</v>
      </c>
      <c r="D210" s="260" t="s">
        <v>10</v>
      </c>
      <c r="E210" s="261">
        <f>IF(B210=0,cell_HGL,IF(VLOOKUP(B210,table_HGL_JCTS,17,FALSE)&lt;X210,X210,VLOOKUP(B210,table_HGL_JCTS,17,FALSE)))</f>
        <v>390.08378185750689</v>
      </c>
      <c r="F210" s="261">
        <f>IF(B210=0,(E210+K210),IF(VLOOKUP(B210,table_HGL_JCTS,13,FALSE)="T-INTERSECTION",(E210+K210),(IF(VLOOKUP(B210,table_HGL_JCTS,17,FALSE)&lt;X210,(E210+K210),VLOOKUP(B210,table_HGL_JCTS,18,FALSE)))))</f>
        <v>390.47810131517798</v>
      </c>
      <c r="G210" s="262">
        <f>VLOOKUP(C210,table_CIA_JCTS,18)</f>
        <v>30</v>
      </c>
      <c r="H210" s="263">
        <f>VLOOKUP(C210,table_CIA_JCTS,17)</f>
        <v>5.3826985847248556</v>
      </c>
      <c r="I210" s="262">
        <f>VLOOKUP(C210,table_CIA_JCTS,21)</f>
        <v>844</v>
      </c>
      <c r="J210" s="261">
        <f>H210/((G210/12)^2*3.1416/4)</f>
        <v>1.0965517870587942</v>
      </c>
      <c r="K210" s="261">
        <f>(J210^2)/64.4</f>
        <v>1.8671208411519178E-2</v>
      </c>
      <c r="L210" s="264">
        <f>(H210/((1.486/cell_NP)*((3.1416*(G210/12)^2)/4)*(G210/48)^(2/3)))^2</f>
        <v>1.7221356479022338E-4</v>
      </c>
      <c r="M210" s="261">
        <f>L210*I210</f>
        <v>0.14534824868294854</v>
      </c>
      <c r="N210" s="265" t="s">
        <v>10</v>
      </c>
      <c r="O210" s="266" t="s">
        <v>129</v>
      </c>
      <c r="P210" s="261">
        <f>IF(ISBLANK(O210)=FALSE,(VLOOKUP(O210,table_MINOR,2,FALSE))*(K210)," ")</f>
        <v>9.335604205759589E-3</v>
      </c>
      <c r="Q210" s="261">
        <f>SUM(P210:P211)</f>
        <v>9.335604205759589E-3</v>
      </c>
      <c r="R210" s="261">
        <f>Q210+M210</f>
        <v>0.15468385288870815</v>
      </c>
      <c r="S210" s="261">
        <f>IF(O210="T-INTERSECTION",T210,(T210-K210))</f>
        <v>390.61411395965513</v>
      </c>
      <c r="T210" s="261">
        <f>IF(O210="T-INTERSECTION",(R210+F210-K210),(R210+F210))</f>
        <v>390.63278516806668</v>
      </c>
      <c r="U210" s="261">
        <f>VLOOKUP(C210,table_CIA_JCTS,26)</f>
        <v>397.81</v>
      </c>
      <c r="V210" s="261">
        <f>U210-0.5-S210</f>
        <v>6.6958860403448739</v>
      </c>
      <c r="W210" s="261" t="s">
        <v>10</v>
      </c>
      <c r="X210" s="267">
        <f>IF(B210&gt;0,VLOOKUP(B210,table_CIA_JCTS,28)," ")</f>
        <v>389.08</v>
      </c>
      <c r="Y210" s="1">
        <v>6.6958860403448739</v>
      </c>
    </row>
    <row r="211" spans="2:25" hidden="1" x14ac:dyDescent="0.2">
      <c r="B211" s="258" t="s">
        <v>10</v>
      </c>
      <c r="C211" s="259" t="s">
        <v>10</v>
      </c>
      <c r="D211" s="262" t="s">
        <v>10</v>
      </c>
      <c r="E211" s="261" t="s">
        <v>10</v>
      </c>
      <c r="F211" s="261" t="s">
        <v>10</v>
      </c>
      <c r="G211" s="262" t="s">
        <v>10</v>
      </c>
      <c r="H211" s="263" t="s">
        <v>10</v>
      </c>
      <c r="I211" s="262" t="s">
        <v>10</v>
      </c>
      <c r="J211" s="261" t="s">
        <v>10</v>
      </c>
      <c r="K211" s="265">
        <f>K210</f>
        <v>1.8671208411519178E-2</v>
      </c>
      <c r="L211" s="264" t="s">
        <v>10</v>
      </c>
      <c r="M211" s="261" t="s">
        <v>10</v>
      </c>
      <c r="N211" s="265" t="s">
        <v>10</v>
      </c>
      <c r="O211" s="268" t="s">
        <v>10</v>
      </c>
      <c r="P211" s="269" t="s">
        <v>10</v>
      </c>
      <c r="Q211" s="261" t="s">
        <v>10</v>
      </c>
      <c r="R211" s="261" t="s">
        <v>10</v>
      </c>
      <c r="S211" s="261" t="s">
        <v>10</v>
      </c>
      <c r="T211" s="261" t="s">
        <v>10</v>
      </c>
      <c r="U211" s="261" t="s">
        <v>10</v>
      </c>
      <c r="V211" s="261" t="s">
        <v>10</v>
      </c>
      <c r="W211" s="261" t="s">
        <v>10</v>
      </c>
      <c r="X211" s="267" t="s">
        <v>10</v>
      </c>
      <c r="Y211" s="1" t="s">
        <v>10</v>
      </c>
    </row>
    <row r="212" spans="2:25" hidden="1" x14ac:dyDescent="0.2">
      <c r="B212" s="258">
        <v>70.400000000000006</v>
      </c>
      <c r="C212" s="259">
        <v>70.3</v>
      </c>
      <c r="D212" s="260" t="s">
        <v>10</v>
      </c>
      <c r="E212" s="261">
        <f>IF(B212=0,cell_HGL,IF(VLOOKUP(B212,table_HGL_JCTS,17,FALSE)&lt;X212,X212,VLOOKUP(B212,table_HGL_JCTS,17,FALSE)))</f>
        <v>390.61411395965513</v>
      </c>
      <c r="F212" s="261">
        <f>IF(B212=0,(E212+K212),IF(VLOOKUP(B212,table_HGL_JCTS,13,FALSE)="T-INTERSECTION",(E212+K212),(IF(VLOOKUP(B212,table_HGL_JCTS,17,FALSE)&lt;X212,(E212+K212),VLOOKUP(B212,table_HGL_JCTS,18,FALSE)))))</f>
        <v>390.63278516806668</v>
      </c>
      <c r="G212" s="262">
        <f>VLOOKUP(C212,table_CIA_JCTS,18)</f>
        <v>18</v>
      </c>
      <c r="H212" s="263">
        <f>VLOOKUP(C212,table_CIA_JCTS,17)</f>
        <v>5.1213516096283485</v>
      </c>
      <c r="I212" s="262">
        <f>VLOOKUP(C212,table_CIA_JCTS,21)</f>
        <v>125</v>
      </c>
      <c r="J212" s="261">
        <f>H212/((G212/12)^2*3.1416/4)</f>
        <v>2.8980853971809686</v>
      </c>
      <c r="K212" s="261">
        <f>(J212^2)/64.4</f>
        <v>0.13041768585952751</v>
      </c>
      <c r="L212" s="264">
        <f>(H212/((1.486/cell_NP)*((3.1416*(G212/12)^2)/4)*(G212/48)^(2/3)))^2</f>
        <v>2.3770031245731568E-3</v>
      </c>
      <c r="M212" s="261">
        <f>L212*I212</f>
        <v>0.29712539057164461</v>
      </c>
      <c r="N212" s="265" t="s">
        <v>10</v>
      </c>
      <c r="O212" s="266" t="s">
        <v>130</v>
      </c>
      <c r="P212" s="261">
        <f>IF(ISBLANK(O212)=FALSE,(VLOOKUP(O212,table_MINOR,2,FALSE))*(K212)," ")</f>
        <v>3.9125305757858254E-2</v>
      </c>
      <c r="Q212" s="261">
        <f>SUM(P212:P213)</f>
        <v>3.9125305757858254E-2</v>
      </c>
      <c r="R212" s="261">
        <f>Q212+M212</f>
        <v>0.33625069632950289</v>
      </c>
      <c r="S212" s="261">
        <f>IF(O212="T-INTERSECTION",T212,(T212-K212))</f>
        <v>390.83861817853665</v>
      </c>
      <c r="T212" s="261">
        <f>IF(O212="T-INTERSECTION",(R212+F212-K212),(R212+F212))</f>
        <v>390.96903586439618</v>
      </c>
      <c r="U212" s="261">
        <f>VLOOKUP(C212,table_CIA_JCTS,26)</f>
        <v>397.5</v>
      </c>
      <c r="V212" s="261">
        <f>U212-0.5-S212</f>
        <v>6.1613818214633511</v>
      </c>
      <c r="W212" s="261" t="s">
        <v>10</v>
      </c>
      <c r="X212" s="267">
        <f>IF(B212&gt;0,VLOOKUP(B212,table_CIA_JCTS,28)," ")</f>
        <v>388.25</v>
      </c>
      <c r="Y212" s="1">
        <v>6.1613818214633511</v>
      </c>
    </row>
    <row r="213" spans="2:25" hidden="1" x14ac:dyDescent="0.2">
      <c r="B213" s="258" t="s">
        <v>10</v>
      </c>
      <c r="C213" s="259" t="s">
        <v>10</v>
      </c>
      <c r="D213" s="262" t="s">
        <v>10</v>
      </c>
      <c r="E213" s="261" t="s">
        <v>10</v>
      </c>
      <c r="F213" s="261" t="s">
        <v>10</v>
      </c>
      <c r="G213" s="262" t="s">
        <v>10</v>
      </c>
      <c r="H213" s="263" t="s">
        <v>10</v>
      </c>
      <c r="I213" s="262" t="s">
        <v>10</v>
      </c>
      <c r="J213" s="261" t="s">
        <v>10</v>
      </c>
      <c r="K213" s="265">
        <f>K212</f>
        <v>0.13041768585952751</v>
      </c>
      <c r="L213" s="264" t="s">
        <v>10</v>
      </c>
      <c r="M213" s="261" t="s">
        <v>10</v>
      </c>
      <c r="N213" s="265" t="s">
        <v>10</v>
      </c>
      <c r="O213" s="268" t="s">
        <v>10</v>
      </c>
      <c r="P213" s="269" t="s">
        <v>10</v>
      </c>
      <c r="Q213" s="261" t="s">
        <v>10</v>
      </c>
      <c r="R213" s="261" t="s">
        <v>10</v>
      </c>
      <c r="S213" s="261" t="s">
        <v>10</v>
      </c>
      <c r="T213" s="261" t="s">
        <v>10</v>
      </c>
      <c r="U213" s="261" t="s">
        <v>10</v>
      </c>
      <c r="V213" s="261" t="s">
        <v>10</v>
      </c>
      <c r="W213" s="261" t="s">
        <v>10</v>
      </c>
      <c r="X213" s="267" t="s">
        <v>10</v>
      </c>
      <c r="Y213" s="1" t="s">
        <v>10</v>
      </c>
    </row>
    <row r="214" spans="2:25" hidden="1" x14ac:dyDescent="0.2">
      <c r="B214" s="258">
        <v>70.3</v>
      </c>
      <c r="C214" s="259">
        <v>70.2</v>
      </c>
      <c r="D214" s="260" t="s">
        <v>10</v>
      </c>
      <c r="E214" s="261">
        <f>IF(B214=0,cell_HGL,IF(VLOOKUP(B214,table_HGL_JCTS,17,FALSE)&lt;X214,X214,VLOOKUP(B214,table_HGL_JCTS,17,FALSE)))</f>
        <v>390.83861817853665</v>
      </c>
      <c r="F214" s="261">
        <f>IF(B214=0,(E214+K214),IF(VLOOKUP(B214,table_HGL_JCTS,13,FALSE)="T-INTERSECTION",(E214+K214),(IF(VLOOKUP(B214,table_HGL_JCTS,17,FALSE)&lt;X214,(E214+K214),VLOOKUP(B214,table_HGL_JCTS,18,FALSE)))))</f>
        <v>390.96903586439618</v>
      </c>
      <c r="G214" s="262">
        <f>VLOOKUP(C214,table_CIA_JCTS,18)</f>
        <v>18</v>
      </c>
      <c r="H214" s="263">
        <f>VLOOKUP(C214,table_CIA_JCTS,17)</f>
        <v>2.7863556132183711</v>
      </c>
      <c r="I214" s="262">
        <f>VLOOKUP(C214,table_CIA_JCTS,21)</f>
        <v>418</v>
      </c>
      <c r="J214" s="261">
        <f>H214/((G214/12)^2*3.1416/4)</f>
        <v>1.5767510472899138</v>
      </c>
      <c r="K214" s="261">
        <f>(J214^2)/64.4</f>
        <v>3.860471840263726E-2</v>
      </c>
      <c r="L214" s="264">
        <f>(H214/((1.486/cell_NP)*((3.1416*(G214/12)^2)/4)*(G214/48)^(2/3)))^2</f>
        <v>7.0361267079354435E-4</v>
      </c>
      <c r="M214" s="261">
        <f>L214*I214</f>
        <v>0.29411009639170155</v>
      </c>
      <c r="N214" s="265" t="s">
        <v>10</v>
      </c>
      <c r="O214" s="266" t="s">
        <v>156</v>
      </c>
      <c r="P214" s="261">
        <f>IF(ISBLANK(O214)=FALSE,(VLOOKUP(O214,table_MINOR,2,FALSE))*(K214)," ")</f>
        <v>2.8953538801977943E-2</v>
      </c>
      <c r="Q214" s="261">
        <f>SUM(P214:P215)</f>
        <v>2.8953538801977943E-2</v>
      </c>
      <c r="R214" s="261">
        <f>Q214+M214</f>
        <v>0.32306363519367948</v>
      </c>
      <c r="S214" s="261">
        <f>IF(O214="T-INTERSECTION",T214,(T214-K214))</f>
        <v>391.25349478118727</v>
      </c>
      <c r="T214" s="261">
        <f>IF(O214="T-INTERSECTION",(R214+F214-K214),(R214+F214))</f>
        <v>391.29209949958988</v>
      </c>
      <c r="U214" s="261">
        <f>VLOOKUP(C214,table_CIA_JCTS,26)</f>
        <v>399.07</v>
      </c>
      <c r="V214" s="261">
        <f>U214-0.5-S214</f>
        <v>7.316505218812722</v>
      </c>
      <c r="W214" s="261" t="s">
        <v>10</v>
      </c>
      <c r="X214" s="267">
        <f>IF(B214&gt;0,VLOOKUP(B214,table_CIA_JCTS,28)," ")</f>
        <v>389.25</v>
      </c>
      <c r="Y214" s="1">
        <v>7.316505218812722</v>
      </c>
    </row>
    <row r="215" spans="2:25" hidden="1" x14ac:dyDescent="0.2">
      <c r="B215" s="258" t="s">
        <v>10</v>
      </c>
      <c r="C215" s="259" t="s">
        <v>10</v>
      </c>
      <c r="D215" s="262" t="s">
        <v>10</v>
      </c>
      <c r="E215" s="261" t="s">
        <v>10</v>
      </c>
      <c r="F215" s="261" t="s">
        <v>10</v>
      </c>
      <c r="G215" s="262" t="s">
        <v>10</v>
      </c>
      <c r="H215" s="263" t="s">
        <v>10</v>
      </c>
      <c r="I215" s="262" t="s">
        <v>10</v>
      </c>
      <c r="J215" s="261" t="s">
        <v>10</v>
      </c>
      <c r="K215" s="265">
        <f>K214</f>
        <v>3.860471840263726E-2</v>
      </c>
      <c r="L215" s="264" t="s">
        <v>10</v>
      </c>
      <c r="M215" s="261" t="s">
        <v>10</v>
      </c>
      <c r="N215" s="265" t="s">
        <v>10</v>
      </c>
      <c r="O215" s="268" t="s">
        <v>10</v>
      </c>
      <c r="P215" s="269" t="s">
        <v>10</v>
      </c>
      <c r="Q215" s="261" t="s">
        <v>10</v>
      </c>
      <c r="R215" s="261" t="s">
        <v>10</v>
      </c>
      <c r="S215" s="261" t="s">
        <v>10</v>
      </c>
      <c r="T215" s="261" t="s">
        <v>10</v>
      </c>
      <c r="U215" s="261" t="s">
        <v>10</v>
      </c>
      <c r="V215" s="261" t="s">
        <v>10</v>
      </c>
      <c r="W215" s="261" t="s">
        <v>10</v>
      </c>
      <c r="X215" s="267" t="s">
        <v>10</v>
      </c>
      <c r="Y215" s="1" t="s">
        <v>10</v>
      </c>
    </row>
    <row r="216" spans="2:25" hidden="1" x14ac:dyDescent="0.2">
      <c r="B216" s="258">
        <v>70.2</v>
      </c>
      <c r="C216" s="259">
        <v>70</v>
      </c>
      <c r="D216" s="260" t="s">
        <v>10</v>
      </c>
      <c r="E216" s="261">
        <f>IF(B216=0,cell_HGL,IF(VLOOKUP(B216,table_HGL_JCTS,17,FALSE)&lt;X216,X216,VLOOKUP(B216,table_HGL_JCTS,17,FALSE)))</f>
        <v>391.25349478118727</v>
      </c>
      <c r="F216" s="261">
        <f>IF(B216=0,(E216+K216),IF(VLOOKUP(B216,table_HGL_JCTS,13,FALSE)="T-INTERSECTION",(E216+K216),(IF(VLOOKUP(B216,table_HGL_JCTS,17,FALSE)&lt;X216,(E216+K216),VLOOKUP(B216,table_HGL_JCTS,18,FALSE)))))</f>
        <v>391.29209949958988</v>
      </c>
      <c r="G216" s="262">
        <f>VLOOKUP(C216,table_CIA_JCTS,18)</f>
        <v>18</v>
      </c>
      <c r="H216" s="263">
        <f>VLOOKUP(C216,table_CIA_JCTS,17)</f>
        <v>2.1864514513338951</v>
      </c>
      <c r="I216" s="262">
        <f>VLOOKUP(C216,table_CIA_JCTS,21)</f>
        <v>49</v>
      </c>
      <c r="J216" s="261">
        <f>H216/((G216/12)^2*3.1416/4)</f>
        <v>1.237275529148004</v>
      </c>
      <c r="K216" s="261">
        <f>(J216^2)/64.4</f>
        <v>2.3770974146404861E-2</v>
      </c>
      <c r="L216" s="264">
        <f>(H216/((1.486/cell_NP)*((3.1416*(G216/12)^2)/4)*(G216/48)^(2/3)))^2</f>
        <v>4.3325166711677437E-4</v>
      </c>
      <c r="M216" s="261">
        <f>L216*I216</f>
        <v>2.1229331688721945E-2</v>
      </c>
      <c r="N216" s="265" t="s">
        <v>10</v>
      </c>
      <c r="O216" s="268" t="s">
        <v>10</v>
      </c>
      <c r="P216" s="269" t="s">
        <v>10</v>
      </c>
      <c r="Q216" s="261">
        <f>SUM(P216)</f>
        <v>0</v>
      </c>
      <c r="R216" s="261">
        <f>Q216+M216</f>
        <v>2.1229331688721945E-2</v>
      </c>
      <c r="S216" s="261">
        <f>IF(O216="T-INTERSECTION",T216,(T216-K216))</f>
        <v>391.28955785713219</v>
      </c>
      <c r="T216" s="261">
        <f>IF(O216="T-INTERSECTION",(R216+F216-K216),(R216+F216))</f>
        <v>391.31332883127862</v>
      </c>
      <c r="U216" s="261">
        <f>VLOOKUP(C216,table_CIA_JCTS,26)</f>
        <v>398.37</v>
      </c>
      <c r="V216" s="261">
        <f>U216-0.5-S216</f>
        <v>6.5804421428678097</v>
      </c>
      <c r="W216" s="261" t="s">
        <v>10</v>
      </c>
      <c r="X216" s="267">
        <f>IF(B216&gt;0,VLOOKUP(B216,table_CIA_JCTS,28)," ")</f>
        <v>390.47</v>
      </c>
      <c r="Y216" s="1">
        <v>6.5804421428678097</v>
      </c>
    </row>
    <row r="217" spans="2:25" hidden="1" x14ac:dyDescent="0.2">
      <c r="B217" s="258" t="s">
        <v>10</v>
      </c>
      <c r="C217" s="259" t="s">
        <v>10</v>
      </c>
      <c r="D217" s="262" t="s">
        <v>10</v>
      </c>
      <c r="E217" s="261" t="s">
        <v>10</v>
      </c>
      <c r="F217" s="261" t="s">
        <v>10</v>
      </c>
      <c r="G217" s="262" t="s">
        <v>10</v>
      </c>
      <c r="H217" s="263" t="s">
        <v>10</v>
      </c>
      <c r="I217" s="262" t="s">
        <v>10</v>
      </c>
      <c r="J217" s="261" t="s">
        <v>10</v>
      </c>
      <c r="K217" s="265" t="s">
        <v>10</v>
      </c>
      <c r="L217" s="264" t="s">
        <v>10</v>
      </c>
      <c r="M217" s="261" t="s">
        <v>10</v>
      </c>
      <c r="N217" s="265" t="s">
        <v>10</v>
      </c>
      <c r="O217" s="268" t="s">
        <v>176</v>
      </c>
      <c r="P217" s="261" t="s">
        <v>10</v>
      </c>
      <c r="Q217" s="261" t="s">
        <v>10</v>
      </c>
      <c r="R217" s="261" t="s">
        <v>10</v>
      </c>
      <c r="S217" s="261" t="s">
        <v>10</v>
      </c>
      <c r="T217" s="261" t="s">
        <v>10</v>
      </c>
      <c r="U217" s="261" t="s">
        <v>10</v>
      </c>
      <c r="V217" s="261" t="s">
        <v>10</v>
      </c>
      <c r="W217" s="261" t="s">
        <v>10</v>
      </c>
      <c r="X217" s="267" t="s">
        <v>10</v>
      </c>
      <c r="Y217" s="1" t="s">
        <v>10</v>
      </c>
    </row>
    <row r="218" spans="2:25" hidden="1" x14ac:dyDescent="0.2">
      <c r="B218" s="258" t="s">
        <v>10</v>
      </c>
      <c r="C218" s="259" t="s">
        <v>10</v>
      </c>
      <c r="D218" s="262" t="s">
        <v>10</v>
      </c>
      <c r="E218" s="261" t="s">
        <v>10</v>
      </c>
      <c r="F218" s="261" t="s">
        <v>10</v>
      </c>
      <c r="G218" s="262" t="s">
        <v>10</v>
      </c>
      <c r="H218" s="263" t="s">
        <v>10</v>
      </c>
      <c r="I218" s="262" t="s">
        <v>10</v>
      </c>
      <c r="J218" s="261" t="s">
        <v>10</v>
      </c>
      <c r="K218" s="265" t="s">
        <v>10</v>
      </c>
      <c r="L218" s="264" t="s">
        <v>10</v>
      </c>
      <c r="M218" s="261" t="s">
        <v>10</v>
      </c>
      <c r="N218" s="265" t="s">
        <v>10</v>
      </c>
      <c r="O218" s="268" t="s">
        <v>176</v>
      </c>
      <c r="P218" s="261" t="s">
        <v>10</v>
      </c>
      <c r="Q218" s="261" t="s">
        <v>10</v>
      </c>
      <c r="R218" s="261" t="s">
        <v>10</v>
      </c>
      <c r="S218" s="261" t="s">
        <v>10</v>
      </c>
      <c r="T218" s="261" t="s">
        <v>10</v>
      </c>
      <c r="U218" s="261" t="s">
        <v>10</v>
      </c>
      <c r="V218" s="261" t="s">
        <v>10</v>
      </c>
      <c r="W218" s="261" t="s">
        <v>10</v>
      </c>
      <c r="X218" s="267" t="s">
        <v>10</v>
      </c>
      <c r="Y218" s="1" t="s">
        <v>10</v>
      </c>
    </row>
    <row r="219" spans="2:25" hidden="1" x14ac:dyDescent="0.2">
      <c r="B219" s="258">
        <v>70.2</v>
      </c>
      <c r="C219" s="259">
        <v>70.099999999999994</v>
      </c>
      <c r="D219" s="260" t="s">
        <v>10</v>
      </c>
      <c r="E219" s="261">
        <f>IF(B219=0,cell_HGL,IF(VLOOKUP(B219,table_HGL_JCTS,17,FALSE)&lt;X219,X219,VLOOKUP(B219,table_HGL_JCTS,17,FALSE)))</f>
        <v>391.25349478118727</v>
      </c>
      <c r="F219" s="261">
        <f>IF(B219=0,(E219+K219),IF(VLOOKUP(B219,table_HGL_JCTS,13,FALSE)="T-INTERSECTION",(E219+K219),(IF(VLOOKUP(B219,table_HGL_JCTS,17,FALSE)&lt;X219,(E219+K219),VLOOKUP(B219,table_HGL_JCTS,18,FALSE)))))</f>
        <v>391.29209949958988</v>
      </c>
      <c r="G219" s="262">
        <f>VLOOKUP(C219,table_CIA_JCTS,18)</f>
        <v>18</v>
      </c>
      <c r="H219" s="263">
        <f>VLOOKUP(C219,table_CIA_JCTS,17)</f>
        <v>0.730830974256652</v>
      </c>
      <c r="I219" s="262">
        <f>VLOOKUP(C219,table_CIA_JCTS,21)</f>
        <v>194</v>
      </c>
      <c r="J219" s="261">
        <f>H219/((G219/12)^2*3.1416/4)</f>
        <v>0.41356476487941146</v>
      </c>
      <c r="K219" s="261">
        <f>(J219^2)/64.4</f>
        <v>2.655835632760293E-3</v>
      </c>
      <c r="L219" s="264">
        <f>(H219/((1.486/cell_NP)*((3.1416*(G219/12)^2)/4)*(G219/48)^(2/3)))^2</f>
        <v>4.8405471664507081E-5</v>
      </c>
      <c r="M219" s="261">
        <f>L219*I219</f>
        <v>9.3906615029143731E-3</v>
      </c>
      <c r="N219" s="265" t="s">
        <v>10</v>
      </c>
      <c r="O219" s="268" t="s">
        <v>10</v>
      </c>
      <c r="P219" s="269" t="s">
        <v>10</v>
      </c>
      <c r="Q219" s="261">
        <f>SUM(P219)</f>
        <v>0</v>
      </c>
      <c r="R219" s="261">
        <f>Q219+M219</f>
        <v>9.3906615029143731E-3</v>
      </c>
      <c r="S219" s="261">
        <f>IF(O219="T-INTERSECTION",T219,(T219-K219))</f>
        <v>391.29883432546001</v>
      </c>
      <c r="T219" s="261">
        <f>IF(O219="T-INTERSECTION",(R219+F219-K219),(R219+F219))</f>
        <v>391.30149016109277</v>
      </c>
      <c r="U219" s="261">
        <f>VLOOKUP(C219,table_CIA_JCTS,26)</f>
        <v>397.57</v>
      </c>
      <c r="V219" s="261">
        <f>U219-0.5-S219</f>
        <v>5.7711656745399864</v>
      </c>
      <c r="W219" s="261" t="s">
        <v>10</v>
      </c>
      <c r="X219" s="267">
        <f>IF(B219&gt;0,VLOOKUP(B219,table_CIA_JCTS,28)," ")</f>
        <v>390.47</v>
      </c>
      <c r="Y219" s="1">
        <v>5.7711656745399864</v>
      </c>
    </row>
    <row r="220" spans="2:25" hidden="1" x14ac:dyDescent="0.2">
      <c r="B220" s="216" t="s">
        <v>10</v>
      </c>
      <c r="C220" s="217" t="s">
        <v>10</v>
      </c>
      <c r="D220" s="62" t="s">
        <v>10</v>
      </c>
      <c r="E220" s="61" t="s">
        <v>10</v>
      </c>
      <c r="F220" s="61" t="s">
        <v>10</v>
      </c>
      <c r="G220" s="62" t="s">
        <v>10</v>
      </c>
      <c r="H220" s="60" t="s">
        <v>10</v>
      </c>
      <c r="I220" s="62" t="s">
        <v>10</v>
      </c>
      <c r="J220" s="61" t="s">
        <v>10</v>
      </c>
      <c r="K220" s="68" t="s">
        <v>10</v>
      </c>
      <c r="L220" s="63" t="s">
        <v>10</v>
      </c>
      <c r="M220" s="61" t="s">
        <v>10</v>
      </c>
      <c r="N220" s="68" t="s">
        <v>10</v>
      </c>
      <c r="O220" s="52" t="s">
        <v>176</v>
      </c>
      <c r="P220" s="61" t="s">
        <v>10</v>
      </c>
      <c r="Q220" s="61" t="s">
        <v>10</v>
      </c>
      <c r="R220" s="61" t="s">
        <v>10</v>
      </c>
      <c r="S220" s="61" t="s">
        <v>10</v>
      </c>
      <c r="T220" s="61" t="s">
        <v>10</v>
      </c>
      <c r="U220" s="61" t="s">
        <v>10</v>
      </c>
      <c r="V220" s="61" t="s">
        <v>10</v>
      </c>
      <c r="W220" s="61" t="s">
        <v>10</v>
      </c>
      <c r="X220" s="69" t="s">
        <v>10</v>
      </c>
      <c r="Y220" s="1" t="s">
        <v>10</v>
      </c>
    </row>
    <row r="221" spans="2:25" hidden="1" x14ac:dyDescent="0.2">
      <c r="B221" s="216" t="s">
        <v>10</v>
      </c>
      <c r="C221" s="217" t="s">
        <v>10</v>
      </c>
      <c r="D221" s="62" t="s">
        <v>10</v>
      </c>
      <c r="E221" s="61" t="s">
        <v>10</v>
      </c>
      <c r="F221" s="61" t="s">
        <v>10</v>
      </c>
      <c r="G221" s="62" t="s">
        <v>10</v>
      </c>
      <c r="H221" s="60" t="s">
        <v>10</v>
      </c>
      <c r="I221" s="62" t="s">
        <v>10</v>
      </c>
      <c r="J221" s="61" t="s">
        <v>10</v>
      </c>
      <c r="K221" s="68" t="s">
        <v>10</v>
      </c>
      <c r="L221" s="63" t="s">
        <v>10</v>
      </c>
      <c r="M221" s="61" t="s">
        <v>10</v>
      </c>
      <c r="N221" s="68" t="s">
        <v>10</v>
      </c>
      <c r="O221" s="52" t="s">
        <v>176</v>
      </c>
      <c r="P221" s="61" t="s">
        <v>10</v>
      </c>
      <c r="Q221" s="61" t="s">
        <v>10</v>
      </c>
      <c r="R221" s="61" t="s">
        <v>10</v>
      </c>
      <c r="S221" s="61" t="s">
        <v>10</v>
      </c>
      <c r="T221" s="61" t="s">
        <v>10</v>
      </c>
      <c r="U221" s="61" t="s">
        <v>10</v>
      </c>
      <c r="V221" s="61" t="s">
        <v>10</v>
      </c>
      <c r="W221" s="61" t="s">
        <v>10</v>
      </c>
      <c r="X221" s="69" t="s">
        <v>10</v>
      </c>
      <c r="Y221" s="1" t="s">
        <v>10</v>
      </c>
    </row>
    <row r="222" spans="2:25" hidden="1" x14ac:dyDescent="0.2">
      <c r="B222" s="278">
        <v>71.900000000000006</v>
      </c>
      <c r="C222" s="285">
        <v>71.8</v>
      </c>
      <c r="D222" s="296" t="s">
        <v>10</v>
      </c>
      <c r="E222" s="277">
        <f>IF(B222=0,cell_HGL,IF(VLOOKUP(B222,table_HGL_JCTS,17,FALSE)&lt;X222,X222,VLOOKUP(B222,table_HGL_JCTS,17,FALSE)))</f>
        <v>387.45608146760566</v>
      </c>
      <c r="F222" s="277">
        <f>IF(B222=0,(E222+K222),IF(VLOOKUP(B222,table_HGL_JCTS,13,FALSE)="T-INTERSECTION",(E222+K222),(IF(VLOOKUP(B222,table_HGL_JCTS,17,FALSE)&lt;X222,(E222+K222),VLOOKUP(B222,table_HGL_JCTS,18,FALSE)))))</f>
        <v>387.62777090669942</v>
      </c>
      <c r="G222" s="293">
        <f>VLOOKUP(C222,table_CIA_JCTS,18)</f>
        <v>18</v>
      </c>
      <c r="H222" s="292">
        <f>VLOOKUP(C222,table_CIA_JCTS,17)</f>
        <v>5.8760859499798439</v>
      </c>
      <c r="I222" s="293">
        <f>VLOOKUP(C222,table_CIA_JCTS,21)</f>
        <v>152</v>
      </c>
      <c r="J222" s="277">
        <f>H222/((G222/12)^2*3.1416/4)</f>
        <v>3.325176668635851</v>
      </c>
      <c r="K222" s="277">
        <f>(J222^2)/64.4</f>
        <v>0.17168943909379217</v>
      </c>
      <c r="L222" s="294">
        <f>(H222/((1.486/cell_NP)*((3.1416*(G222/12)^2)/4)*(G222/48)^(2/3)))^2</f>
        <v>3.1292253845212887E-3</v>
      </c>
      <c r="M222" s="277">
        <f>L222*I222</f>
        <v>0.4756422584472359</v>
      </c>
      <c r="N222" s="297" t="s">
        <v>10</v>
      </c>
      <c r="O222" s="298" t="s">
        <v>130</v>
      </c>
      <c r="P222" s="277">
        <f>IF(ISBLANK(O222)=FALSE,(VLOOKUP(O222,table_MINOR,2,FALSE))*(K222)," ")</f>
        <v>5.150683172813765E-2</v>
      </c>
      <c r="Q222" s="277">
        <f>SUM(P222:P224)</f>
        <v>0.13735155127503373</v>
      </c>
      <c r="R222" s="277">
        <f>Q222+M222</f>
        <v>0.61299380972226958</v>
      </c>
      <c r="S222" s="277">
        <f>IF(O222="T-INTERSECTION",T222,(T222-K222))</f>
        <v>388.06907527732795</v>
      </c>
      <c r="T222" s="277">
        <f>IF(O222="T-INTERSECTION",(R222+F222-K222),(R222+F222))</f>
        <v>388.24076471642172</v>
      </c>
      <c r="U222" s="277">
        <f>VLOOKUP(C222,table_CIA_JCTS,26)</f>
        <v>395</v>
      </c>
      <c r="V222" s="277">
        <f>U222-0.5-S222</f>
        <v>6.4309247226720458</v>
      </c>
      <c r="W222" s="277" t="s">
        <v>10</v>
      </c>
      <c r="X222" s="299">
        <f>IF(B222&gt;0,VLOOKUP(B222,table_CIA_JCTS,28)," ")</f>
        <v>384.96</v>
      </c>
      <c r="Y222" s="1">
        <v>6.4309247226720458</v>
      </c>
    </row>
    <row r="223" spans="2:25" hidden="1" x14ac:dyDescent="0.2">
      <c r="B223" s="278" t="s">
        <v>10</v>
      </c>
      <c r="C223" s="285" t="s">
        <v>10</v>
      </c>
      <c r="D223" s="293" t="s">
        <v>10</v>
      </c>
      <c r="E223" s="277" t="s">
        <v>10</v>
      </c>
      <c r="F223" s="277" t="s">
        <v>10</v>
      </c>
      <c r="G223" s="293" t="s">
        <v>10</v>
      </c>
      <c r="H223" s="292" t="s">
        <v>10</v>
      </c>
      <c r="I223" s="293" t="s">
        <v>10</v>
      </c>
      <c r="J223" s="277" t="s">
        <v>10</v>
      </c>
      <c r="K223" s="297">
        <f>K222</f>
        <v>0.17168943909379217</v>
      </c>
      <c r="L223" s="294" t="s">
        <v>10</v>
      </c>
      <c r="M223" s="277" t="s">
        <v>10</v>
      </c>
      <c r="N223" s="297" t="s">
        <v>10</v>
      </c>
      <c r="O223" s="298" t="s">
        <v>131</v>
      </c>
      <c r="P223" s="277">
        <f>IF(ISBLANK(O223)=FALSE,(VLOOKUP(O223,table_MINOR,2,FALSE))*(K223)," ")</f>
        <v>4.2922359773448042E-2</v>
      </c>
      <c r="Q223" s="277" t="s">
        <v>10</v>
      </c>
      <c r="R223" s="277" t="s">
        <v>10</v>
      </c>
      <c r="S223" s="277" t="s">
        <v>10</v>
      </c>
      <c r="T223" s="277" t="s">
        <v>10</v>
      </c>
      <c r="U223" s="277" t="s">
        <v>10</v>
      </c>
      <c r="V223" s="277" t="s">
        <v>10</v>
      </c>
      <c r="W223" s="277" t="s">
        <v>10</v>
      </c>
      <c r="X223" s="299" t="s">
        <v>10</v>
      </c>
      <c r="Y223" s="1" t="s">
        <v>10</v>
      </c>
    </row>
    <row r="224" spans="2:25" hidden="1" x14ac:dyDescent="0.2">
      <c r="B224" s="278" t="s">
        <v>10</v>
      </c>
      <c r="C224" s="285" t="s">
        <v>10</v>
      </c>
      <c r="D224" s="293" t="s">
        <v>10</v>
      </c>
      <c r="E224" s="277" t="s">
        <v>10</v>
      </c>
      <c r="F224" s="277" t="s">
        <v>10</v>
      </c>
      <c r="G224" s="293" t="s">
        <v>10</v>
      </c>
      <c r="H224" s="292" t="s">
        <v>10</v>
      </c>
      <c r="I224" s="293" t="s">
        <v>10</v>
      </c>
      <c r="J224" s="277" t="s">
        <v>10</v>
      </c>
      <c r="K224" s="297">
        <f>K223</f>
        <v>0.17168943909379217</v>
      </c>
      <c r="L224" s="294" t="s">
        <v>10</v>
      </c>
      <c r="M224" s="277" t="s">
        <v>10</v>
      </c>
      <c r="N224" s="297" t="s">
        <v>10</v>
      </c>
      <c r="O224" s="300" t="s">
        <v>131</v>
      </c>
      <c r="P224" s="277">
        <f>IF(ISBLANK(O224)=FALSE,(VLOOKUP(O224,table_MINOR,2,FALSE))*(K224)," ")</f>
        <v>4.2922359773448042E-2</v>
      </c>
      <c r="Q224" s="277" t="s">
        <v>10</v>
      </c>
      <c r="R224" s="277" t="s">
        <v>10</v>
      </c>
      <c r="S224" s="277" t="s">
        <v>10</v>
      </c>
      <c r="T224" s="277" t="s">
        <v>10</v>
      </c>
      <c r="U224" s="277" t="s">
        <v>10</v>
      </c>
      <c r="V224" s="277" t="s">
        <v>10</v>
      </c>
      <c r="W224" s="277" t="s">
        <v>10</v>
      </c>
      <c r="X224" s="299" t="s">
        <v>10</v>
      </c>
      <c r="Y224" s="1" t="s">
        <v>10</v>
      </c>
    </row>
    <row r="225" spans="2:25" hidden="1" x14ac:dyDescent="0.2">
      <c r="B225" s="278" t="s">
        <v>10</v>
      </c>
      <c r="C225" s="285" t="s">
        <v>10</v>
      </c>
      <c r="D225" s="293" t="s">
        <v>10</v>
      </c>
      <c r="E225" s="277" t="s">
        <v>10</v>
      </c>
      <c r="F225" s="277" t="s">
        <v>10</v>
      </c>
      <c r="G225" s="293" t="s">
        <v>10</v>
      </c>
      <c r="H225" s="292" t="s">
        <v>10</v>
      </c>
      <c r="I225" s="293" t="s">
        <v>10</v>
      </c>
      <c r="J225" s="277" t="s">
        <v>10</v>
      </c>
      <c r="K225" s="297" t="s">
        <v>10</v>
      </c>
      <c r="L225" s="294" t="s">
        <v>10</v>
      </c>
      <c r="M225" s="277" t="s">
        <v>10</v>
      </c>
      <c r="N225" s="297" t="s">
        <v>10</v>
      </c>
      <c r="O225" s="300" t="s">
        <v>176</v>
      </c>
      <c r="P225" s="277" t="s">
        <v>10</v>
      </c>
      <c r="Q225" s="277" t="s">
        <v>10</v>
      </c>
      <c r="R225" s="277" t="s">
        <v>10</v>
      </c>
      <c r="S225" s="277" t="s">
        <v>10</v>
      </c>
      <c r="T225" s="277" t="s">
        <v>10</v>
      </c>
      <c r="U225" s="277" t="s">
        <v>10</v>
      </c>
      <c r="V225" s="277" t="s">
        <v>10</v>
      </c>
      <c r="W225" s="277" t="s">
        <v>10</v>
      </c>
      <c r="X225" s="299" t="s">
        <v>10</v>
      </c>
      <c r="Y225" s="1" t="s">
        <v>10</v>
      </c>
    </row>
    <row r="226" spans="2:25" hidden="1" x14ac:dyDescent="0.2">
      <c r="B226" s="278">
        <v>71.8</v>
      </c>
      <c r="C226" s="285">
        <v>71.7</v>
      </c>
      <c r="D226" s="296" t="s">
        <v>10</v>
      </c>
      <c r="E226" s="277">
        <f>IF(B226=0,cell_HGL,IF(VLOOKUP(B226,table_HGL_JCTS,17,FALSE)&lt;X226,X226,VLOOKUP(B226,table_HGL_JCTS,17,FALSE)))</f>
        <v>388.06907527732795</v>
      </c>
      <c r="F226" s="277">
        <f>IF(B226=0,(E226+K226),IF(VLOOKUP(B226,table_HGL_JCTS,13,FALSE)="T-INTERSECTION",(E226+K226),(IF(VLOOKUP(B226,table_HGL_JCTS,17,FALSE)&lt;X226,(E226+K226),VLOOKUP(B226,table_HGL_JCTS,18,FALSE)))))</f>
        <v>388.24076471642172</v>
      </c>
      <c r="G226" s="293">
        <f>VLOOKUP(C226,table_CIA_JCTS,18)</f>
        <v>18</v>
      </c>
      <c r="H226" s="292">
        <f>VLOOKUP(C226,table_CIA_JCTS,17)</f>
        <v>5.1166558637875728</v>
      </c>
      <c r="I226" s="293">
        <f>VLOOKUP(C226,table_CIA_JCTS,21)</f>
        <v>40</v>
      </c>
      <c r="J226" s="277">
        <f>H226/((G226/12)^2*3.1416/4)</f>
        <v>2.8954281548185343</v>
      </c>
      <c r="K226" s="277">
        <f>(J226^2)/64.4</f>
        <v>0.13017863664155063</v>
      </c>
      <c r="L226" s="294">
        <f>(H226/((1.486/cell_NP)*((3.1416*(G226/12)^2)/4)*(G226/48)^(2/3)))^2</f>
        <v>2.372646194496435E-3</v>
      </c>
      <c r="M226" s="277">
        <f>L226*I226</f>
        <v>9.4905847779857402E-2</v>
      </c>
      <c r="N226" s="297" t="s">
        <v>10</v>
      </c>
      <c r="O226" s="298" t="s">
        <v>156</v>
      </c>
      <c r="P226" s="277">
        <f>IF(ISBLANK(O226)=FALSE,(VLOOKUP(O226,table_MINOR,2,FALSE))*(K226)," ")</f>
        <v>9.7633977481162981E-2</v>
      </c>
      <c r="Q226" s="277">
        <f>SUM(P226:P227)</f>
        <v>9.7633977481162981E-2</v>
      </c>
      <c r="R226" s="277">
        <f>Q226+M226</f>
        <v>0.19253982526102037</v>
      </c>
      <c r="S226" s="277">
        <f>IF(O226="T-INTERSECTION",T226,(T226-K226))</f>
        <v>388.30312590504116</v>
      </c>
      <c r="T226" s="277">
        <f>IF(O226="T-INTERSECTION",(R226+F226-K226),(R226+F226))</f>
        <v>388.43330454168273</v>
      </c>
      <c r="U226" s="277">
        <f>VLOOKUP(C226,table_CIA_JCTS,26)</f>
        <v>395</v>
      </c>
      <c r="V226" s="277">
        <f>U226-0.5-S226</f>
        <v>6.1968740949588437</v>
      </c>
      <c r="W226" s="277" t="s">
        <v>10</v>
      </c>
      <c r="X226" s="299">
        <f>IF(B226&gt;0,VLOOKUP(B226,table_CIA_JCTS,28)," ")</f>
        <v>386.32</v>
      </c>
      <c r="Y226" s="1">
        <v>6.1968740949588437</v>
      </c>
    </row>
    <row r="227" spans="2:25" hidden="1" x14ac:dyDescent="0.2">
      <c r="B227" s="278" t="s">
        <v>10</v>
      </c>
      <c r="C227" s="285" t="s">
        <v>10</v>
      </c>
      <c r="D227" s="293" t="s">
        <v>10</v>
      </c>
      <c r="E227" s="277" t="s">
        <v>10</v>
      </c>
      <c r="F227" s="277" t="s">
        <v>10</v>
      </c>
      <c r="G227" s="293" t="s">
        <v>10</v>
      </c>
      <c r="H227" s="292" t="s">
        <v>10</v>
      </c>
      <c r="I227" s="293" t="s">
        <v>10</v>
      </c>
      <c r="J227" s="277" t="s">
        <v>10</v>
      </c>
      <c r="K227" s="297">
        <f>K226</f>
        <v>0.13017863664155063</v>
      </c>
      <c r="L227" s="294" t="s">
        <v>10</v>
      </c>
      <c r="M227" s="277" t="s">
        <v>10</v>
      </c>
      <c r="N227" s="297" t="s">
        <v>10</v>
      </c>
      <c r="O227" s="300" t="s">
        <v>10</v>
      </c>
      <c r="P227" s="301" t="s">
        <v>10</v>
      </c>
      <c r="Q227" s="277" t="s">
        <v>10</v>
      </c>
      <c r="R227" s="277" t="s">
        <v>10</v>
      </c>
      <c r="S227" s="277" t="s">
        <v>10</v>
      </c>
      <c r="T227" s="277" t="s">
        <v>10</v>
      </c>
      <c r="U227" s="277" t="s">
        <v>10</v>
      </c>
      <c r="V227" s="277" t="s">
        <v>10</v>
      </c>
      <c r="W227" s="277" t="s">
        <v>10</v>
      </c>
      <c r="X227" s="299" t="s">
        <v>10</v>
      </c>
      <c r="Y227" s="1" t="s">
        <v>10</v>
      </c>
    </row>
    <row r="228" spans="2:25" hidden="1" x14ac:dyDescent="0.2">
      <c r="B228" s="278">
        <v>71.7</v>
      </c>
      <c r="C228" s="285">
        <v>71.400000000000006</v>
      </c>
      <c r="D228" s="296" t="s">
        <v>10</v>
      </c>
      <c r="E228" s="277">
        <f>IF(B228=0,cell_HGL,IF(VLOOKUP(B228,table_HGL_JCTS,17,FALSE)&lt;X228,X228,VLOOKUP(B228,table_HGL_JCTS,17,FALSE)))</f>
        <v>388.30312590504116</v>
      </c>
      <c r="F228" s="277">
        <f>IF(B228=0,(E228+K228),IF(VLOOKUP(B228,table_HGL_JCTS,13,FALSE)="T-INTERSECTION",(E228+K228),(IF(VLOOKUP(B228,table_HGL_JCTS,17,FALSE)&lt;X228,(E228+K228),VLOOKUP(B228,table_HGL_JCTS,18,FALSE)))))</f>
        <v>388.43330454168273</v>
      </c>
      <c r="G228" s="293">
        <f>VLOOKUP(C228,table_CIA_JCTS,18)</f>
        <v>18</v>
      </c>
      <c r="H228" s="292">
        <f>VLOOKUP(C228,table_CIA_JCTS,17)</f>
        <v>2.8581752001733021</v>
      </c>
      <c r="I228" s="293">
        <f>VLOOKUP(C228,table_CIA_JCTS,21)</f>
        <v>630</v>
      </c>
      <c r="J228" s="277">
        <f>H228/((G228/12)^2*3.1416/4)</f>
        <v>1.617392524784711</v>
      </c>
      <c r="K228" s="277">
        <f>(J228^2)/64.4</f>
        <v>4.0620474832755611E-2</v>
      </c>
      <c r="L228" s="294">
        <f>(H228/((1.486/cell_NP)*((3.1416*(G228/12)^2)/4)*(G228/48)^(2/3)))^2</f>
        <v>7.403520079562252E-4</v>
      </c>
      <c r="M228" s="277">
        <f>L228*I228</f>
        <v>0.46642176501242189</v>
      </c>
      <c r="N228" s="297" t="s">
        <v>10</v>
      </c>
      <c r="O228" s="298" t="s">
        <v>131</v>
      </c>
      <c r="P228" s="277">
        <f>IF(ISBLANK(O228)=FALSE,(VLOOKUP(O228,table_MINOR,2,FALSE))*(K228)," ")</f>
        <v>1.0155118708188903E-2</v>
      </c>
      <c r="Q228" s="277">
        <f>SUM(P228:P232)</f>
        <v>7.1085830957322321E-2</v>
      </c>
      <c r="R228" s="277">
        <f>Q228+M228</f>
        <v>0.53750759596974418</v>
      </c>
      <c r="S228" s="277">
        <f>IF(O228="T-INTERSECTION",T228,(T228-K228))</f>
        <v>388.93019166281977</v>
      </c>
      <c r="T228" s="277">
        <f>IF(O228="T-INTERSECTION",(R228+F228-K228),(R228+F228))</f>
        <v>388.9708121376525</v>
      </c>
      <c r="U228" s="277">
        <f>VLOOKUP(C228,table_CIA_JCTS,26)</f>
        <v>393.71</v>
      </c>
      <c r="V228" s="277">
        <f>U228-0.5-S228</f>
        <v>4.2798083371802136</v>
      </c>
      <c r="W228" s="277" t="s">
        <v>10</v>
      </c>
      <c r="X228" s="299">
        <f>IF(B228&gt;0,VLOOKUP(B228,table_CIA_JCTS,28)," ")</f>
        <v>386.38</v>
      </c>
      <c r="Y228" s="1">
        <v>4.2798083371802136</v>
      </c>
    </row>
    <row r="229" spans="2:25" hidden="1" x14ac:dyDescent="0.2">
      <c r="B229" s="278" t="s">
        <v>10</v>
      </c>
      <c r="C229" s="285" t="s">
        <v>10</v>
      </c>
      <c r="D229" s="293" t="s">
        <v>10</v>
      </c>
      <c r="E229" s="277" t="s">
        <v>10</v>
      </c>
      <c r="F229" s="277" t="s">
        <v>10</v>
      </c>
      <c r="G229" s="293" t="s">
        <v>10</v>
      </c>
      <c r="H229" s="292" t="s">
        <v>10</v>
      </c>
      <c r="I229" s="293" t="s">
        <v>10</v>
      </c>
      <c r="J229" s="277" t="s">
        <v>10</v>
      </c>
      <c r="K229" s="297">
        <f>K228</f>
        <v>4.0620474832755611E-2</v>
      </c>
      <c r="L229" s="294" t="s">
        <v>10</v>
      </c>
      <c r="M229" s="277" t="s">
        <v>10</v>
      </c>
      <c r="N229" s="297" t="s">
        <v>10</v>
      </c>
      <c r="O229" s="300" t="s">
        <v>131</v>
      </c>
      <c r="P229" s="277">
        <f>IF(ISBLANK(O229)=FALSE,(VLOOKUP(O229,table_MINOR,2,FALSE))*(K229)," ")</f>
        <v>1.0155118708188903E-2</v>
      </c>
      <c r="Q229" s="277" t="s">
        <v>10</v>
      </c>
      <c r="R229" s="277" t="s">
        <v>10</v>
      </c>
      <c r="S229" s="277" t="s">
        <v>10</v>
      </c>
      <c r="T229" s="277" t="s">
        <v>10</v>
      </c>
      <c r="U229" s="277" t="s">
        <v>10</v>
      </c>
      <c r="V229" s="277" t="s">
        <v>10</v>
      </c>
      <c r="W229" s="277" t="s">
        <v>10</v>
      </c>
      <c r="X229" s="299" t="s">
        <v>10</v>
      </c>
      <c r="Y229" s="1" t="s">
        <v>10</v>
      </c>
    </row>
    <row r="230" spans="2:25" hidden="1" x14ac:dyDescent="0.2">
      <c r="B230" s="278" t="s">
        <v>10</v>
      </c>
      <c r="C230" s="285" t="s">
        <v>10</v>
      </c>
      <c r="D230" s="293" t="s">
        <v>10</v>
      </c>
      <c r="E230" s="277" t="s">
        <v>10</v>
      </c>
      <c r="F230" s="277" t="s">
        <v>10</v>
      </c>
      <c r="G230" s="293" t="s">
        <v>10</v>
      </c>
      <c r="H230" s="292" t="s">
        <v>10</v>
      </c>
      <c r="I230" s="293" t="s">
        <v>10</v>
      </c>
      <c r="J230" s="277" t="s">
        <v>10</v>
      </c>
      <c r="K230" s="297">
        <f>K229</f>
        <v>4.0620474832755611E-2</v>
      </c>
      <c r="L230" s="294" t="s">
        <v>10</v>
      </c>
      <c r="M230" s="277" t="s">
        <v>10</v>
      </c>
      <c r="N230" s="297" t="s">
        <v>10</v>
      </c>
      <c r="O230" s="300" t="s">
        <v>129</v>
      </c>
      <c r="P230" s="277">
        <f>IF(ISBLANK(O230)=FALSE,(VLOOKUP(O230,table_MINOR,2,FALSE))*(K230)," ")</f>
        <v>2.0310237416377806E-2</v>
      </c>
      <c r="Q230" s="277" t="s">
        <v>10</v>
      </c>
      <c r="R230" s="277" t="s">
        <v>10</v>
      </c>
      <c r="S230" s="277" t="s">
        <v>10</v>
      </c>
      <c r="T230" s="277" t="s">
        <v>10</v>
      </c>
      <c r="U230" s="277" t="s">
        <v>10</v>
      </c>
      <c r="V230" s="277" t="s">
        <v>10</v>
      </c>
      <c r="W230" s="277" t="s">
        <v>10</v>
      </c>
      <c r="X230" s="299" t="s">
        <v>10</v>
      </c>
      <c r="Y230" s="1" t="s">
        <v>10</v>
      </c>
    </row>
    <row r="231" spans="2:25" hidden="1" x14ac:dyDescent="0.2">
      <c r="B231" s="278" t="s">
        <v>10</v>
      </c>
      <c r="C231" s="285" t="s">
        <v>10</v>
      </c>
      <c r="D231" s="293" t="s">
        <v>10</v>
      </c>
      <c r="E231" s="277" t="s">
        <v>10</v>
      </c>
      <c r="F231" s="277" t="s">
        <v>10</v>
      </c>
      <c r="G231" s="293" t="s">
        <v>10</v>
      </c>
      <c r="H231" s="292" t="s">
        <v>10</v>
      </c>
      <c r="I231" s="293" t="s">
        <v>10</v>
      </c>
      <c r="J231" s="277" t="s">
        <v>10</v>
      </c>
      <c r="K231" s="297">
        <f>K230</f>
        <v>4.0620474832755611E-2</v>
      </c>
      <c r="L231" s="294" t="s">
        <v>10</v>
      </c>
      <c r="M231" s="277" t="s">
        <v>10</v>
      </c>
      <c r="N231" s="297" t="s">
        <v>10</v>
      </c>
      <c r="O231" s="300" t="s">
        <v>156</v>
      </c>
      <c r="P231" s="277">
        <f>IF(ISBLANK(O231)=FALSE,(VLOOKUP(O231,table_MINOR,2,FALSE))*(K231)," ")</f>
        <v>3.046535612456671E-2</v>
      </c>
      <c r="Q231" s="277" t="s">
        <v>10</v>
      </c>
      <c r="R231" s="277" t="s">
        <v>10</v>
      </c>
      <c r="S231" s="277" t="s">
        <v>10</v>
      </c>
      <c r="T231" s="277" t="s">
        <v>10</v>
      </c>
      <c r="U231" s="277" t="s">
        <v>10</v>
      </c>
      <c r="V231" s="277" t="s">
        <v>10</v>
      </c>
      <c r="W231" s="277" t="s">
        <v>10</v>
      </c>
      <c r="X231" s="299" t="s">
        <v>10</v>
      </c>
      <c r="Y231" s="1" t="s">
        <v>10</v>
      </c>
    </row>
    <row r="232" spans="2:25" hidden="1" x14ac:dyDescent="0.2">
      <c r="B232" s="278" t="s">
        <v>10</v>
      </c>
      <c r="C232" s="285" t="s">
        <v>10</v>
      </c>
      <c r="D232" s="293" t="s">
        <v>10</v>
      </c>
      <c r="E232" s="277" t="s">
        <v>10</v>
      </c>
      <c r="F232" s="277" t="s">
        <v>10</v>
      </c>
      <c r="G232" s="293" t="s">
        <v>10</v>
      </c>
      <c r="H232" s="292" t="s">
        <v>10</v>
      </c>
      <c r="I232" s="293" t="s">
        <v>10</v>
      </c>
      <c r="J232" s="277" t="s">
        <v>10</v>
      </c>
      <c r="K232" s="297">
        <f>K231</f>
        <v>4.0620474832755611E-2</v>
      </c>
      <c r="L232" s="294" t="s">
        <v>10</v>
      </c>
      <c r="M232" s="277" t="s">
        <v>10</v>
      </c>
      <c r="N232" s="297" t="s">
        <v>10</v>
      </c>
      <c r="O232" s="300" t="s">
        <v>10</v>
      </c>
      <c r="P232" s="301" t="s">
        <v>10</v>
      </c>
      <c r="Q232" s="277" t="s">
        <v>10</v>
      </c>
      <c r="R232" s="277" t="s">
        <v>10</v>
      </c>
      <c r="S232" s="277" t="s">
        <v>10</v>
      </c>
      <c r="T232" s="277" t="s">
        <v>10</v>
      </c>
      <c r="U232" s="277" t="s">
        <v>10</v>
      </c>
      <c r="V232" s="277" t="s">
        <v>10</v>
      </c>
      <c r="W232" s="277" t="s">
        <v>10</v>
      </c>
      <c r="X232" s="299" t="s">
        <v>10</v>
      </c>
      <c r="Y232" s="1" t="s">
        <v>10</v>
      </c>
    </row>
    <row r="233" spans="2:25" hidden="1" x14ac:dyDescent="0.2">
      <c r="B233" s="278">
        <v>71.400000000000006</v>
      </c>
      <c r="C233" s="285">
        <v>71.3</v>
      </c>
      <c r="D233" s="296" t="s">
        <v>10</v>
      </c>
      <c r="E233" s="277">
        <f>IF(B233=0,cell_HGL,IF(VLOOKUP(B233,table_HGL_JCTS,17,FALSE)&lt;X233,X233,VLOOKUP(B233,table_HGL_JCTS,17,FALSE)))</f>
        <v>388.93019166281977</v>
      </c>
      <c r="F233" s="277">
        <f>IF(B233=0,(E233+K233),IF(VLOOKUP(B233,table_HGL_JCTS,13,FALSE)="T-INTERSECTION",(E233+K233),(IF(VLOOKUP(B233,table_HGL_JCTS,17,FALSE)&lt;X233,(E233+K233),VLOOKUP(B233,table_HGL_JCTS,18,FALSE)))))</f>
        <v>388.9708121376525</v>
      </c>
      <c r="G233" s="293">
        <f>VLOOKUP(C233,table_CIA_JCTS,18)</f>
        <v>18</v>
      </c>
      <c r="H233" s="292">
        <f>VLOOKUP(C233,table_CIA_JCTS,17)</f>
        <v>1.0422228698709426</v>
      </c>
      <c r="I233" s="293">
        <f>VLOOKUP(C233,table_CIA_JCTS,21)</f>
        <v>294</v>
      </c>
      <c r="J233" s="277">
        <f>H233/((G233/12)^2*3.1416/4)</f>
        <v>0.5897761196677942</v>
      </c>
      <c r="K233" s="277">
        <f>(J233^2)/64.4</f>
        <v>5.4011781262484513E-3</v>
      </c>
      <c r="L233" s="294">
        <f>(H233/((1.486/cell_NP)*((3.1416*(G233/12)^2)/4)*(G233/48)^(2/3)))^2</f>
        <v>9.844230249796944E-5</v>
      </c>
      <c r="M233" s="277">
        <f>L233*I233</f>
        <v>2.8942036934403014E-2</v>
      </c>
      <c r="N233" s="297" t="s">
        <v>10</v>
      </c>
      <c r="O233" s="300" t="s">
        <v>10</v>
      </c>
      <c r="P233" s="301" t="s">
        <v>10</v>
      </c>
      <c r="Q233" s="277">
        <f>SUM(P233)</f>
        <v>0</v>
      </c>
      <c r="R233" s="277">
        <f>Q233+M233</f>
        <v>2.8942036934403014E-2</v>
      </c>
      <c r="S233" s="277">
        <f>IF(O233="T-INTERSECTION",T233,(T233-K233))</f>
        <v>388.99435299646063</v>
      </c>
      <c r="T233" s="277">
        <f>IF(O233="T-INTERSECTION",(R233+F233-K233),(R233+F233))</f>
        <v>388.99975417458688</v>
      </c>
      <c r="U233" s="277">
        <f>VLOOKUP(C233,table_CIA_JCTS,26)</f>
        <v>393.75</v>
      </c>
      <c r="V233" s="277">
        <f>U233-0.5-S233</f>
        <v>4.2556470035393659</v>
      </c>
      <c r="W233" s="277" t="s">
        <v>10</v>
      </c>
      <c r="X233" s="299" t="str">
        <f>IF(B233&gt;0,VLOOKUP(B233,table_CIA_JCTS,28)," ")</f>
        <v xml:space="preserve"> </v>
      </c>
      <c r="Y233" s="1">
        <v>4.2556470035393659</v>
      </c>
    </row>
    <row r="234" spans="2:25" hidden="1" x14ac:dyDescent="0.2">
      <c r="B234" s="278" t="s">
        <v>10</v>
      </c>
      <c r="C234" s="285" t="s">
        <v>10</v>
      </c>
      <c r="D234" s="293" t="s">
        <v>10</v>
      </c>
      <c r="E234" s="277" t="s">
        <v>10</v>
      </c>
      <c r="F234" s="277" t="s">
        <v>10</v>
      </c>
      <c r="G234" s="293" t="s">
        <v>10</v>
      </c>
      <c r="H234" s="292" t="s">
        <v>10</v>
      </c>
      <c r="I234" s="293" t="s">
        <v>10</v>
      </c>
      <c r="J234" s="277" t="s">
        <v>10</v>
      </c>
      <c r="K234" s="297" t="s">
        <v>10</v>
      </c>
      <c r="L234" s="294" t="s">
        <v>10</v>
      </c>
      <c r="M234" s="277" t="s">
        <v>10</v>
      </c>
      <c r="N234" s="297" t="s">
        <v>10</v>
      </c>
      <c r="O234" s="300" t="s">
        <v>176</v>
      </c>
      <c r="P234" s="277" t="s">
        <v>10</v>
      </c>
      <c r="Q234" s="277" t="s">
        <v>10</v>
      </c>
      <c r="R234" s="277" t="s">
        <v>10</v>
      </c>
      <c r="S234" s="277" t="s">
        <v>10</v>
      </c>
      <c r="T234" s="277" t="s">
        <v>10</v>
      </c>
      <c r="U234" s="277" t="s">
        <v>10</v>
      </c>
      <c r="V234" s="277" t="s">
        <v>10</v>
      </c>
      <c r="W234" s="277" t="s">
        <v>10</v>
      </c>
      <c r="X234" s="299" t="s">
        <v>10</v>
      </c>
      <c r="Y234" s="1" t="s">
        <v>10</v>
      </c>
    </row>
    <row r="235" spans="2:25" hidden="1" x14ac:dyDescent="0.2">
      <c r="B235" s="278" t="s">
        <v>10</v>
      </c>
      <c r="C235" s="285" t="s">
        <v>10</v>
      </c>
      <c r="D235" s="293" t="s">
        <v>10</v>
      </c>
      <c r="E235" s="277" t="s">
        <v>10</v>
      </c>
      <c r="F235" s="277" t="s">
        <v>10</v>
      </c>
      <c r="G235" s="293" t="s">
        <v>10</v>
      </c>
      <c r="H235" s="292" t="s">
        <v>10</v>
      </c>
      <c r="I235" s="293" t="s">
        <v>10</v>
      </c>
      <c r="J235" s="277" t="s">
        <v>10</v>
      </c>
      <c r="K235" s="297" t="s">
        <v>10</v>
      </c>
      <c r="L235" s="294" t="s">
        <v>10</v>
      </c>
      <c r="M235" s="277" t="s">
        <v>10</v>
      </c>
      <c r="N235" s="297" t="s">
        <v>10</v>
      </c>
      <c r="O235" s="300" t="s">
        <v>176</v>
      </c>
      <c r="P235" s="277" t="s">
        <v>10</v>
      </c>
      <c r="Q235" s="277" t="s">
        <v>10</v>
      </c>
      <c r="R235" s="277" t="s">
        <v>10</v>
      </c>
      <c r="S235" s="277" t="s">
        <v>10</v>
      </c>
      <c r="T235" s="277" t="s">
        <v>10</v>
      </c>
      <c r="U235" s="277" t="s">
        <v>10</v>
      </c>
      <c r="V235" s="277" t="s">
        <v>10</v>
      </c>
      <c r="W235" s="277" t="s">
        <v>10</v>
      </c>
      <c r="X235" s="299" t="s">
        <v>10</v>
      </c>
      <c r="Y235" s="1" t="s">
        <v>10</v>
      </c>
    </row>
    <row r="236" spans="2:25" hidden="1" x14ac:dyDescent="0.2">
      <c r="B236" s="278">
        <v>71.400000000000006</v>
      </c>
      <c r="C236" s="285">
        <v>71.2</v>
      </c>
      <c r="D236" s="296" t="s">
        <v>10</v>
      </c>
      <c r="E236" s="277">
        <f>IF(B236=0,cell_HGL,IF(VLOOKUP(B236,table_HGL_JCTS,17,FALSE)&lt;X236,X236,VLOOKUP(B236,table_HGL_JCTS,17,FALSE)))</f>
        <v>388.93019166281977</v>
      </c>
      <c r="F236" s="277">
        <f>IF(B236=0,(E236+K236),IF(VLOOKUP(B236,table_HGL_JCTS,13,FALSE)="T-INTERSECTION",(E236+K236),(IF(VLOOKUP(B236,table_HGL_JCTS,17,FALSE)&lt;X236,(E236+K236),VLOOKUP(B236,table_HGL_JCTS,18,FALSE)))))</f>
        <v>388.9708121376525</v>
      </c>
      <c r="G236" s="293">
        <f>VLOOKUP(C236,table_CIA_JCTS,18)</f>
        <v>18</v>
      </c>
      <c r="H236" s="292">
        <f>VLOOKUP(C236,table_CIA_JCTS,17)</f>
        <v>1.960795626493298</v>
      </c>
      <c r="I236" s="293">
        <f>VLOOKUP(C236,table_CIA_JCTS,21)</f>
        <v>229</v>
      </c>
      <c r="J236" s="277">
        <f>H236/((G236/12)^2*3.1416/4)</f>
        <v>1.109580752337548</v>
      </c>
      <c r="K236" s="277">
        <f>(J236^2)/64.4</f>
        <v>1.911753798071365E-2</v>
      </c>
      <c r="L236" s="294">
        <f>(H236/((1.486/cell_NP)*((3.1416*(G236/12)^2)/4)*(G236/48)^(2/3)))^2</f>
        <v>3.484377691170526E-4</v>
      </c>
      <c r="M236" s="277">
        <f>L236*I236</f>
        <v>7.979224912780504E-2</v>
      </c>
      <c r="N236" s="297" t="s">
        <v>10</v>
      </c>
      <c r="O236" s="298" t="s">
        <v>131</v>
      </c>
      <c r="P236" s="277">
        <f>IF(ISBLANK(O236)=FALSE,(VLOOKUP(O236,table_MINOR,2,FALSE))*(K236)," ")</f>
        <v>4.7793844951784124E-3</v>
      </c>
      <c r="Q236" s="277">
        <f>SUM(P236:P238)</f>
        <v>9.5587689903568248E-3</v>
      </c>
      <c r="R236" s="277">
        <f>Q236+M236</f>
        <v>8.935101811816186E-2</v>
      </c>
      <c r="S236" s="277">
        <f>IF(O236="T-INTERSECTION",T236,(T236-K236))</f>
        <v>389.04104561778996</v>
      </c>
      <c r="T236" s="277">
        <f>IF(O236="T-INTERSECTION",(R236+F236-K236),(R236+F236))</f>
        <v>389.06016315577068</v>
      </c>
      <c r="U236" s="277">
        <f>VLOOKUP(C236,table_CIA_JCTS,26)</f>
        <v>393.07</v>
      </c>
      <c r="V236" s="277">
        <f>U236-0.5-S236</f>
        <v>3.5289543822100313</v>
      </c>
      <c r="W236" s="277" t="s">
        <v>10</v>
      </c>
      <c r="X236" s="299" t="str">
        <f>IF(B236&gt;0,VLOOKUP(B236,table_CIA_JCTS,28)," ")</f>
        <v xml:space="preserve"> </v>
      </c>
      <c r="Y236" s="1">
        <v>3.5289543822100313</v>
      </c>
    </row>
    <row r="237" spans="2:25" hidden="1" x14ac:dyDescent="0.2">
      <c r="B237" s="278" t="s">
        <v>10</v>
      </c>
      <c r="C237" s="285" t="s">
        <v>10</v>
      </c>
      <c r="D237" s="293" t="s">
        <v>10</v>
      </c>
      <c r="E237" s="277" t="s">
        <v>10</v>
      </c>
      <c r="F237" s="277" t="s">
        <v>10</v>
      </c>
      <c r="G237" s="293" t="s">
        <v>10</v>
      </c>
      <c r="H237" s="292" t="s">
        <v>10</v>
      </c>
      <c r="I237" s="293" t="s">
        <v>10</v>
      </c>
      <c r="J237" s="277" t="s">
        <v>10</v>
      </c>
      <c r="K237" s="297">
        <f>K236</f>
        <v>1.911753798071365E-2</v>
      </c>
      <c r="L237" s="294" t="s">
        <v>10</v>
      </c>
      <c r="M237" s="277" t="s">
        <v>10</v>
      </c>
      <c r="N237" s="297" t="s">
        <v>10</v>
      </c>
      <c r="O237" s="300" t="s">
        <v>131</v>
      </c>
      <c r="P237" s="277">
        <f>IF(ISBLANK(O237)=FALSE,(VLOOKUP(O237,table_MINOR,2,FALSE))*(K237)," ")</f>
        <v>4.7793844951784124E-3</v>
      </c>
      <c r="Q237" s="277" t="s">
        <v>10</v>
      </c>
      <c r="R237" s="277" t="s">
        <v>10</v>
      </c>
      <c r="S237" s="277" t="s">
        <v>10</v>
      </c>
      <c r="T237" s="277" t="s">
        <v>10</v>
      </c>
      <c r="U237" s="277" t="s">
        <v>10</v>
      </c>
      <c r="V237" s="277" t="s">
        <v>10</v>
      </c>
      <c r="W237" s="277" t="s">
        <v>10</v>
      </c>
      <c r="X237" s="299" t="s">
        <v>10</v>
      </c>
      <c r="Y237" s="1" t="s">
        <v>10</v>
      </c>
    </row>
    <row r="238" spans="2:25" hidden="1" x14ac:dyDescent="0.2">
      <c r="B238" s="278" t="s">
        <v>10</v>
      </c>
      <c r="C238" s="285" t="s">
        <v>10</v>
      </c>
      <c r="D238" s="293" t="s">
        <v>10</v>
      </c>
      <c r="E238" s="277" t="s">
        <v>10</v>
      </c>
      <c r="F238" s="277" t="s">
        <v>10</v>
      </c>
      <c r="G238" s="293" t="s">
        <v>10</v>
      </c>
      <c r="H238" s="292" t="s">
        <v>10</v>
      </c>
      <c r="I238" s="293" t="s">
        <v>10</v>
      </c>
      <c r="J238" s="277" t="s">
        <v>10</v>
      </c>
      <c r="K238" s="297">
        <f>K237</f>
        <v>1.911753798071365E-2</v>
      </c>
      <c r="L238" s="294" t="s">
        <v>10</v>
      </c>
      <c r="M238" s="277" t="s">
        <v>10</v>
      </c>
      <c r="N238" s="297" t="s">
        <v>10</v>
      </c>
      <c r="O238" s="300" t="s">
        <v>10</v>
      </c>
      <c r="P238" s="301" t="s">
        <v>10</v>
      </c>
      <c r="Q238" s="277" t="s">
        <v>10</v>
      </c>
      <c r="R238" s="277" t="s">
        <v>10</v>
      </c>
      <c r="S238" s="277" t="s">
        <v>10</v>
      </c>
      <c r="T238" s="277" t="s">
        <v>10</v>
      </c>
      <c r="U238" s="277" t="s">
        <v>10</v>
      </c>
      <c r="V238" s="277" t="s">
        <v>10</v>
      </c>
      <c r="W238" s="277" t="s">
        <v>10</v>
      </c>
      <c r="X238" s="299" t="s">
        <v>10</v>
      </c>
      <c r="Y238" s="1" t="s">
        <v>10</v>
      </c>
    </row>
    <row r="239" spans="2:25" hidden="1" x14ac:dyDescent="0.2">
      <c r="B239" s="278">
        <v>71.7</v>
      </c>
      <c r="C239" s="285">
        <v>71.599999999999994</v>
      </c>
      <c r="D239" s="296" t="s">
        <v>10</v>
      </c>
      <c r="E239" s="277">
        <f>IF(B239=0,cell_HGL,IF(VLOOKUP(B239,table_HGL_JCTS,17,FALSE)&lt;X239,X239,VLOOKUP(B239,table_HGL_JCTS,17,FALSE)))</f>
        <v>388.30312590504116</v>
      </c>
      <c r="F239" s="277">
        <f>IF(B239=0,(E239+K239),IF(VLOOKUP(B239,table_HGL_JCTS,13,FALSE)="T-INTERSECTION",(E239+K239),(IF(VLOOKUP(B239,table_HGL_JCTS,17,FALSE)&lt;X239,(E239+K239),VLOOKUP(B239,table_HGL_JCTS,18,FALSE)))))</f>
        <v>388.43330454168273</v>
      </c>
      <c r="G239" s="293">
        <f>VLOOKUP(C239,table_CIA_JCTS,18)</f>
        <v>18</v>
      </c>
      <c r="H239" s="292">
        <f>VLOOKUP(C239,table_CIA_JCTS,17)</f>
        <v>2.6936758167473656</v>
      </c>
      <c r="I239" s="293">
        <f>VLOOKUP(C239,table_CIA_JCTS,21)</f>
        <v>36</v>
      </c>
      <c r="J239" s="277">
        <f>H239/((G239/12)^2*3.1416/4)</f>
        <v>1.524305133546878</v>
      </c>
      <c r="K239" s="277">
        <f>(J239^2)/64.4</f>
        <v>3.6079287890642325E-2</v>
      </c>
      <c r="L239" s="294">
        <f>(H239/((1.486/cell_NP)*((3.1416*(G239/12)^2)/4)*(G239/48)^(2/3)))^2</f>
        <v>6.5758397324120377E-4</v>
      </c>
      <c r="M239" s="277">
        <f>L239*I239</f>
        <v>2.3673023036683335E-2</v>
      </c>
      <c r="N239" s="297" t="s">
        <v>10</v>
      </c>
      <c r="O239" s="298" t="s">
        <v>152</v>
      </c>
      <c r="P239" s="277">
        <f>IF(ISBLANK(O239)=FALSE,(VLOOKUP(O239,table_MINOR,2,FALSE))*(K239)," ")</f>
        <v>2.1647572734385393E-2</v>
      </c>
      <c r="Q239" s="277">
        <f>SUM(P239:P240)</f>
        <v>2.1647572734385393E-2</v>
      </c>
      <c r="R239" s="277">
        <f>Q239+M239</f>
        <v>4.5320595771068728E-2</v>
      </c>
      <c r="S239" s="277">
        <f>IF(O239="T-INTERSECTION",T239,(T239-K239))</f>
        <v>388.44254584956315</v>
      </c>
      <c r="T239" s="277">
        <f>IF(O239="T-INTERSECTION",(R239+F239-K239),(R239+F239))</f>
        <v>388.47862513745378</v>
      </c>
      <c r="U239" s="277">
        <f>VLOOKUP(C239,table_CIA_JCTS,26)</f>
        <v>395.07</v>
      </c>
      <c r="V239" s="277">
        <f>U239-0.5-S239</f>
        <v>6.1274541504368472</v>
      </c>
      <c r="W239" s="277" t="s">
        <v>10</v>
      </c>
      <c r="X239" s="299">
        <f>IF(B239&gt;0,VLOOKUP(B239,table_CIA_JCTS,28)," ")</f>
        <v>386.38</v>
      </c>
      <c r="Y239" s="1">
        <v>6.1274541504368472</v>
      </c>
    </row>
    <row r="240" spans="2:25" hidden="1" x14ac:dyDescent="0.2">
      <c r="B240" s="278" t="s">
        <v>10</v>
      </c>
      <c r="C240" s="285" t="s">
        <v>10</v>
      </c>
      <c r="D240" s="293" t="s">
        <v>10</v>
      </c>
      <c r="E240" s="277" t="s">
        <v>10</v>
      </c>
      <c r="F240" s="277" t="s">
        <v>10</v>
      </c>
      <c r="G240" s="293" t="s">
        <v>10</v>
      </c>
      <c r="H240" s="292" t="s">
        <v>10</v>
      </c>
      <c r="I240" s="293" t="s">
        <v>10</v>
      </c>
      <c r="J240" s="277" t="s">
        <v>10</v>
      </c>
      <c r="K240" s="297">
        <f>K239</f>
        <v>3.6079287890642325E-2</v>
      </c>
      <c r="L240" s="294" t="s">
        <v>10</v>
      </c>
      <c r="M240" s="277" t="s">
        <v>10</v>
      </c>
      <c r="N240" s="297" t="s">
        <v>10</v>
      </c>
      <c r="O240" s="300" t="s">
        <v>10</v>
      </c>
      <c r="P240" s="301" t="s">
        <v>10</v>
      </c>
      <c r="Q240" s="277" t="s">
        <v>10</v>
      </c>
      <c r="R240" s="277" t="s">
        <v>10</v>
      </c>
      <c r="S240" s="277" t="s">
        <v>10</v>
      </c>
      <c r="T240" s="277" t="s">
        <v>10</v>
      </c>
      <c r="U240" s="277" t="s">
        <v>10</v>
      </c>
      <c r="V240" s="277" t="s">
        <v>10</v>
      </c>
      <c r="W240" s="277" t="s">
        <v>10</v>
      </c>
      <c r="X240" s="299" t="s">
        <v>10</v>
      </c>
      <c r="Y240" s="1" t="s">
        <v>10</v>
      </c>
    </row>
    <row r="241" spans="2:26" hidden="1" x14ac:dyDescent="0.2">
      <c r="B241" s="278" t="s">
        <v>10</v>
      </c>
      <c r="C241" s="285" t="s">
        <v>10</v>
      </c>
      <c r="D241" s="293" t="s">
        <v>10</v>
      </c>
      <c r="E241" s="277" t="s">
        <v>10</v>
      </c>
      <c r="F241" s="277" t="s">
        <v>10</v>
      </c>
      <c r="G241" s="293" t="s">
        <v>10</v>
      </c>
      <c r="H241" s="292" t="s">
        <v>10</v>
      </c>
      <c r="I241" s="293" t="s">
        <v>10</v>
      </c>
      <c r="J241" s="277" t="s">
        <v>10</v>
      </c>
      <c r="K241" s="297" t="s">
        <v>10</v>
      </c>
      <c r="L241" s="294" t="s">
        <v>10</v>
      </c>
      <c r="M241" s="277" t="s">
        <v>10</v>
      </c>
      <c r="N241" s="297" t="s">
        <v>10</v>
      </c>
      <c r="O241" s="300" t="s">
        <v>176</v>
      </c>
      <c r="P241" s="277" t="s">
        <v>10</v>
      </c>
      <c r="Q241" s="277" t="s">
        <v>10</v>
      </c>
      <c r="R241" s="277" t="s">
        <v>10</v>
      </c>
      <c r="S241" s="277" t="s">
        <v>10</v>
      </c>
      <c r="T241" s="277" t="s">
        <v>10</v>
      </c>
      <c r="U241" s="277" t="s">
        <v>10</v>
      </c>
      <c r="V241" s="277" t="s">
        <v>10</v>
      </c>
      <c r="W241" s="277" t="s">
        <v>10</v>
      </c>
      <c r="X241" s="299" t="s">
        <v>10</v>
      </c>
      <c r="Y241" s="1" t="s">
        <v>10</v>
      </c>
    </row>
    <row r="242" spans="2:26" hidden="1" x14ac:dyDescent="0.2">
      <c r="B242" s="278">
        <v>71.599999999999994</v>
      </c>
      <c r="C242" s="285">
        <v>71.5</v>
      </c>
      <c r="D242" s="296" t="s">
        <v>10</v>
      </c>
      <c r="E242" s="277">
        <f>IF(B242=0,cell_HGL,IF(VLOOKUP(B242,table_HGL_JCTS,17,FALSE)&lt;X242,X242,VLOOKUP(B242,table_HGL_JCTS,17,FALSE)))</f>
        <v>388.44254584956315</v>
      </c>
      <c r="F242" s="277">
        <f>IF(B242=0,(E242+K242),IF(VLOOKUP(B242,table_HGL_JCTS,13,FALSE)="T-INTERSECTION",(E242+K242),(IF(VLOOKUP(B242,table_HGL_JCTS,17,FALSE)&lt;X242,(E242+K242),VLOOKUP(B242,table_HGL_JCTS,18,FALSE)))))</f>
        <v>388.47862513745378</v>
      </c>
      <c r="G242" s="293">
        <f>VLOOKUP(C242,table_CIA_JCTS,18)</f>
        <v>18</v>
      </c>
      <c r="H242" s="292">
        <f>VLOOKUP(C242,table_CIA_JCTS,17)</f>
        <v>2.5484654560499944</v>
      </c>
      <c r="I242" s="293">
        <f>VLOOKUP(C242,table_CIA_JCTS,21)</f>
        <v>501</v>
      </c>
      <c r="J242" s="277">
        <f>H242/((G242/12)^2*3.1416/4)</f>
        <v>1.44213307079195</v>
      </c>
      <c r="K242" s="277">
        <f>(J242^2)/64.4</f>
        <v>3.2294220401736323E-2</v>
      </c>
      <c r="L242" s="294">
        <f>(H242/((1.486/cell_NP)*((3.1416*(G242/12)^2)/4)*(G242/48)^(2/3)))^2</f>
        <v>5.8859703187237296E-4</v>
      </c>
      <c r="M242" s="277">
        <f>L242*I242</f>
        <v>0.29488711296805886</v>
      </c>
      <c r="N242" s="297" t="s">
        <v>10</v>
      </c>
      <c r="O242" s="298" t="s">
        <v>129</v>
      </c>
      <c r="P242" s="277">
        <f>IF(ISBLANK(O242)=FALSE,(VLOOKUP(O242,table_MINOR,2,FALSE))*(K242)," ")</f>
        <v>1.6147110200868162E-2</v>
      </c>
      <c r="Q242" s="277">
        <f>SUM(P242:P246)</f>
        <v>5.6514885703038566E-2</v>
      </c>
      <c r="R242" s="277">
        <f>Q242+M242</f>
        <v>0.35140199867109745</v>
      </c>
      <c r="S242" s="277">
        <f>IF(O242="T-INTERSECTION",T242,(T242-K242))</f>
        <v>388.79773291572315</v>
      </c>
      <c r="T242" s="277">
        <f>IF(O242="T-INTERSECTION",(R242+F242-K242),(R242+F242))</f>
        <v>388.8300271361249</v>
      </c>
      <c r="U242" s="277">
        <f>VLOOKUP(C242,table_CIA_JCTS,26)</f>
        <v>397.77</v>
      </c>
      <c r="V242" s="277">
        <f>U242-0.5-S242</f>
        <v>8.4722670842768366</v>
      </c>
      <c r="W242" s="277" t="s">
        <v>10</v>
      </c>
      <c r="X242" s="299">
        <f>IF(B242&gt;0,VLOOKUP(B242,table_CIA_JCTS,28)," ")</f>
        <v>388.27</v>
      </c>
      <c r="Y242" s="1">
        <v>8.4722670842768366</v>
      </c>
    </row>
    <row r="243" spans="2:26" hidden="1" x14ac:dyDescent="0.2">
      <c r="B243" s="278" t="s">
        <v>10</v>
      </c>
      <c r="C243" s="285" t="s">
        <v>10</v>
      </c>
      <c r="D243" s="293" t="s">
        <v>10</v>
      </c>
      <c r="E243" s="277" t="s">
        <v>10</v>
      </c>
      <c r="F243" s="277" t="s">
        <v>10</v>
      </c>
      <c r="G243" s="293" t="s">
        <v>10</v>
      </c>
      <c r="H243" s="292" t="s">
        <v>10</v>
      </c>
      <c r="I243" s="293" t="s">
        <v>10</v>
      </c>
      <c r="J243" s="277" t="s">
        <v>10</v>
      </c>
      <c r="K243" s="297">
        <f>K242</f>
        <v>3.2294220401736323E-2</v>
      </c>
      <c r="L243" s="294" t="s">
        <v>10</v>
      </c>
      <c r="M243" s="277" t="s">
        <v>10</v>
      </c>
      <c r="N243" s="297" t="s">
        <v>10</v>
      </c>
      <c r="O243" s="300" t="s">
        <v>131</v>
      </c>
      <c r="P243" s="277">
        <f>IF(ISBLANK(O243)=FALSE,(VLOOKUP(O243,table_MINOR,2,FALSE))*(K243)," ")</f>
        <v>8.0735551004340808E-3</v>
      </c>
      <c r="Q243" s="277" t="s">
        <v>10</v>
      </c>
      <c r="R243" s="277" t="s">
        <v>10</v>
      </c>
      <c r="S243" s="277" t="s">
        <v>10</v>
      </c>
      <c r="T243" s="277" t="s">
        <v>10</v>
      </c>
      <c r="U243" s="277" t="s">
        <v>10</v>
      </c>
      <c r="V243" s="277" t="s">
        <v>10</v>
      </c>
      <c r="W243" s="277" t="s">
        <v>10</v>
      </c>
      <c r="X243" s="299" t="s">
        <v>10</v>
      </c>
      <c r="Y243" s="1" t="s">
        <v>10</v>
      </c>
    </row>
    <row r="244" spans="2:26" hidden="1" x14ac:dyDescent="0.2">
      <c r="B244" s="278" t="s">
        <v>10</v>
      </c>
      <c r="C244" s="285" t="s">
        <v>10</v>
      </c>
      <c r="D244" s="293" t="s">
        <v>10</v>
      </c>
      <c r="E244" s="277" t="s">
        <v>10</v>
      </c>
      <c r="F244" s="277" t="s">
        <v>10</v>
      </c>
      <c r="G244" s="293" t="s">
        <v>10</v>
      </c>
      <c r="H244" s="292" t="s">
        <v>10</v>
      </c>
      <c r="I244" s="293" t="s">
        <v>10</v>
      </c>
      <c r="J244" s="277" t="s">
        <v>10</v>
      </c>
      <c r="K244" s="297">
        <f>K243</f>
        <v>3.2294220401736323E-2</v>
      </c>
      <c r="L244" s="294" t="s">
        <v>10</v>
      </c>
      <c r="M244" s="277" t="s">
        <v>10</v>
      </c>
      <c r="N244" s="297" t="s">
        <v>10</v>
      </c>
      <c r="O244" s="300" t="s">
        <v>129</v>
      </c>
      <c r="P244" s="277">
        <f>IF(ISBLANK(O244)=FALSE,(VLOOKUP(O244,table_MINOR,2,FALSE))*(K244)," ")</f>
        <v>1.6147110200868162E-2</v>
      </c>
      <c r="Q244" s="277" t="s">
        <v>10</v>
      </c>
      <c r="R244" s="277" t="s">
        <v>10</v>
      </c>
      <c r="S244" s="277" t="s">
        <v>10</v>
      </c>
      <c r="T244" s="277" t="s">
        <v>10</v>
      </c>
      <c r="U244" s="277" t="s">
        <v>10</v>
      </c>
      <c r="V244" s="277" t="s">
        <v>10</v>
      </c>
      <c r="W244" s="277" t="s">
        <v>10</v>
      </c>
      <c r="X244" s="299" t="s">
        <v>10</v>
      </c>
      <c r="Y244" s="1" t="s">
        <v>10</v>
      </c>
    </row>
    <row r="245" spans="2:26" hidden="1" x14ac:dyDescent="0.2">
      <c r="B245" s="278" t="s">
        <v>10</v>
      </c>
      <c r="C245" s="285" t="s">
        <v>10</v>
      </c>
      <c r="D245" s="293" t="s">
        <v>10</v>
      </c>
      <c r="E245" s="277" t="s">
        <v>10</v>
      </c>
      <c r="F245" s="277" t="s">
        <v>10</v>
      </c>
      <c r="G245" s="293" t="s">
        <v>10</v>
      </c>
      <c r="H245" s="292" t="s">
        <v>10</v>
      </c>
      <c r="I245" s="293" t="s">
        <v>10</v>
      </c>
      <c r="J245" s="277" t="s">
        <v>10</v>
      </c>
      <c r="K245" s="297">
        <f>K244</f>
        <v>3.2294220401736323E-2</v>
      </c>
      <c r="L245" s="294" t="s">
        <v>10</v>
      </c>
      <c r="M245" s="277" t="s">
        <v>10</v>
      </c>
      <c r="N245" s="297" t="s">
        <v>10</v>
      </c>
      <c r="O245" s="300" t="s">
        <v>129</v>
      </c>
      <c r="P245" s="277">
        <f>IF(ISBLANK(O245)=FALSE,(VLOOKUP(O245,table_MINOR,2,FALSE))*(K245)," ")</f>
        <v>1.6147110200868162E-2</v>
      </c>
      <c r="Q245" s="277" t="s">
        <v>10</v>
      </c>
      <c r="R245" s="277" t="s">
        <v>10</v>
      </c>
      <c r="S245" s="277" t="s">
        <v>10</v>
      </c>
      <c r="T245" s="277" t="s">
        <v>10</v>
      </c>
      <c r="U245" s="277" t="s">
        <v>10</v>
      </c>
      <c r="V245" s="277" t="s">
        <v>10</v>
      </c>
      <c r="W245" s="277" t="s">
        <v>10</v>
      </c>
      <c r="X245" s="299" t="s">
        <v>10</v>
      </c>
      <c r="Y245" s="1" t="s">
        <v>10</v>
      </c>
    </row>
    <row r="246" spans="2:26" hidden="1" x14ac:dyDescent="0.2">
      <c r="B246" s="278" t="s">
        <v>10</v>
      </c>
      <c r="C246" s="285" t="s">
        <v>10</v>
      </c>
      <c r="D246" s="293" t="s">
        <v>10</v>
      </c>
      <c r="E246" s="277" t="s">
        <v>10</v>
      </c>
      <c r="F246" s="277" t="s">
        <v>10</v>
      </c>
      <c r="G246" s="293" t="s">
        <v>10</v>
      </c>
      <c r="H246" s="292" t="s">
        <v>10</v>
      </c>
      <c r="I246" s="293" t="s">
        <v>10</v>
      </c>
      <c r="J246" s="277" t="s">
        <v>10</v>
      </c>
      <c r="K246" s="297">
        <f>K245</f>
        <v>3.2294220401736323E-2</v>
      </c>
      <c r="L246" s="294" t="s">
        <v>10</v>
      </c>
      <c r="M246" s="277" t="s">
        <v>10</v>
      </c>
      <c r="N246" s="297" t="s">
        <v>10</v>
      </c>
      <c r="O246" s="300" t="s">
        <v>10</v>
      </c>
      <c r="P246" s="301" t="s">
        <v>10</v>
      </c>
      <c r="Q246" s="277" t="s">
        <v>10</v>
      </c>
      <c r="R246" s="277" t="s">
        <v>10</v>
      </c>
      <c r="S246" s="277" t="s">
        <v>10</v>
      </c>
      <c r="T246" s="277" t="s">
        <v>10</v>
      </c>
      <c r="U246" s="277" t="s">
        <v>10</v>
      </c>
      <c r="V246" s="277" t="s">
        <v>10</v>
      </c>
      <c r="W246" s="277" t="s">
        <v>10</v>
      </c>
      <c r="X246" s="299" t="s">
        <v>10</v>
      </c>
      <c r="Y246" s="1" t="s">
        <v>10</v>
      </c>
    </row>
    <row r="247" spans="2:26" hidden="1" x14ac:dyDescent="0.2">
      <c r="B247" s="216">
        <v>77</v>
      </c>
      <c r="C247" s="217">
        <v>76</v>
      </c>
      <c r="D247" s="58" t="s">
        <v>10</v>
      </c>
      <c r="E247" s="61">
        <f>IF(B247=0,cell_HGL,IF(VLOOKUP(B247,table_HGL_JCTS,17,FALSE)&lt;X247,X247,VLOOKUP(B247,table_HGL_JCTS,17,FALSE)))</f>
        <v>383.31024484747661</v>
      </c>
      <c r="F247" s="61">
        <f>IF(B247=0,(E247+K247),IF(VLOOKUP(B247,table_HGL_JCTS,13,FALSE)="T-INTERSECTION",(E247+K247),(IF(VLOOKUP(B247,table_HGL_JCTS,17,FALSE)&lt;X247,(E247+K247),VLOOKUP(B247,table_HGL_JCTS,18,FALSE)))))</f>
        <v>383.72732192570038</v>
      </c>
      <c r="G247" s="62">
        <f>VLOOKUP(C247,table_CIA_JCTS,18)</f>
        <v>15</v>
      </c>
      <c r="H247" s="60">
        <f>VLOOKUP(C247,table_CIA_JCTS,17)</f>
        <v>0.73672211601526605</v>
      </c>
      <c r="I247" s="62">
        <f>VLOOKUP(C247,table_CIA_JCTS,21)</f>
        <v>155</v>
      </c>
      <c r="J247" s="61">
        <f>H247/((G247/12)^2*3.1416/4)</f>
        <v>0.60033378437709484</v>
      </c>
      <c r="K247" s="61">
        <f>(J247^2)/64.4</f>
        <v>5.596283426467767E-3</v>
      </c>
      <c r="L247" s="63">
        <f>(H247/((1.486/cell_NP)*((3.1416*(G247/12)^2)/4)*(G247/48)^(2/3)))^2</f>
        <v>1.3006725026590648E-4</v>
      </c>
      <c r="M247" s="61">
        <f>L247*I247</f>
        <v>2.0160423791215503E-2</v>
      </c>
      <c r="N247" s="68" t="s">
        <v>10</v>
      </c>
      <c r="O247" s="52" t="s">
        <v>10</v>
      </c>
      <c r="P247" s="257" t="s">
        <v>10</v>
      </c>
      <c r="Q247" s="61">
        <f>SUM(P247)</f>
        <v>0</v>
      </c>
      <c r="R247" s="61">
        <f>Q247+M247</f>
        <v>2.0160423791215503E-2</v>
      </c>
      <c r="S247" s="61">
        <f>IF(O247="T-INTERSECTION",T247,(T247-K247))</f>
        <v>383.74188606606509</v>
      </c>
      <c r="T247" s="61">
        <f>IF(O247="T-INTERSECTION",(R247+F247-K247),(R247+F247))</f>
        <v>383.74748234949158</v>
      </c>
      <c r="U247" s="61">
        <f>VLOOKUP(C247,table_CIA_JCTS,26)</f>
        <v>391.26</v>
      </c>
      <c r="V247" s="61">
        <f>U247-0.5-S247</f>
        <v>7.0181139339348988</v>
      </c>
      <c r="W247" s="61" t="s">
        <v>10</v>
      </c>
      <c r="X247" s="69">
        <f>IF(B247&gt;0,VLOOKUP(B247,table_CIA_JCTS,28)," ")</f>
        <v>382.08</v>
      </c>
      <c r="Y247" s="1">
        <v>7.0181139339348988</v>
      </c>
    </row>
    <row r="248" spans="2:26" hidden="1" x14ac:dyDescent="0.2">
      <c r="B248" s="216" t="s">
        <v>10</v>
      </c>
      <c r="C248" s="217" t="s">
        <v>10</v>
      </c>
      <c r="D248" s="62" t="s">
        <v>10</v>
      </c>
      <c r="E248" s="61" t="s">
        <v>10</v>
      </c>
      <c r="F248" s="61" t="s">
        <v>10</v>
      </c>
      <c r="G248" s="62" t="s">
        <v>10</v>
      </c>
      <c r="H248" s="60" t="s">
        <v>10</v>
      </c>
      <c r="I248" s="62" t="s">
        <v>10</v>
      </c>
      <c r="J248" s="61" t="s">
        <v>10</v>
      </c>
      <c r="K248" s="68" t="s">
        <v>10</v>
      </c>
      <c r="L248" s="63" t="s">
        <v>10</v>
      </c>
      <c r="M248" s="61" t="s">
        <v>10</v>
      </c>
      <c r="N248" s="68" t="s">
        <v>10</v>
      </c>
      <c r="O248" s="52" t="s">
        <v>176</v>
      </c>
      <c r="P248" s="61" t="s">
        <v>10</v>
      </c>
      <c r="Q248" s="61" t="s">
        <v>10</v>
      </c>
      <c r="R248" s="61" t="s">
        <v>10</v>
      </c>
      <c r="S248" s="61" t="s">
        <v>10</v>
      </c>
      <c r="T248" s="61" t="s">
        <v>10</v>
      </c>
      <c r="U248" s="61" t="s">
        <v>10</v>
      </c>
      <c r="V248" s="61" t="s">
        <v>10</v>
      </c>
      <c r="W248" s="61" t="s">
        <v>10</v>
      </c>
      <c r="X248" s="69" t="s">
        <v>10</v>
      </c>
      <c r="Y248" s="1" t="s">
        <v>10</v>
      </c>
    </row>
    <row r="249" spans="2:26" hidden="1" x14ac:dyDescent="0.2">
      <c r="B249" s="216" t="s">
        <v>10</v>
      </c>
      <c r="C249" s="217" t="s">
        <v>10</v>
      </c>
      <c r="D249" s="62" t="s">
        <v>10</v>
      </c>
      <c r="E249" s="61" t="s">
        <v>10</v>
      </c>
      <c r="F249" s="61" t="s">
        <v>10</v>
      </c>
      <c r="G249" s="62" t="s">
        <v>10</v>
      </c>
      <c r="H249" s="60" t="s">
        <v>10</v>
      </c>
      <c r="I249" s="62" t="s">
        <v>10</v>
      </c>
      <c r="J249" s="61" t="s">
        <v>10</v>
      </c>
      <c r="K249" s="68" t="s">
        <v>10</v>
      </c>
      <c r="L249" s="63" t="s">
        <v>10</v>
      </c>
      <c r="M249" s="61" t="s">
        <v>10</v>
      </c>
      <c r="N249" s="68" t="s">
        <v>10</v>
      </c>
      <c r="O249" s="52" t="s">
        <v>176</v>
      </c>
      <c r="P249" s="61" t="s">
        <v>10</v>
      </c>
      <c r="Q249" s="61" t="s">
        <v>10</v>
      </c>
      <c r="R249" s="61" t="s">
        <v>10</v>
      </c>
      <c r="S249" s="61" t="s">
        <v>10</v>
      </c>
      <c r="T249" s="61" t="s">
        <v>10</v>
      </c>
      <c r="U249" s="61" t="s">
        <v>10</v>
      </c>
      <c r="V249" s="61" t="s">
        <v>10</v>
      </c>
      <c r="W249" s="61" t="s">
        <v>10</v>
      </c>
      <c r="X249" s="69" t="s">
        <v>10</v>
      </c>
      <c r="Y249" s="1" t="s">
        <v>10</v>
      </c>
    </row>
    <row r="250" spans="2:26" x14ac:dyDescent="0.2">
      <c r="B250" s="216">
        <v>0</v>
      </c>
      <c r="C250" s="217">
        <v>134</v>
      </c>
      <c r="D250" s="58" t="s">
        <v>10</v>
      </c>
      <c r="E250" s="61">
        <f>IF(B250=0,cell_HGL,IF(VLOOKUP(B250,table_HGL_JCTS,17,FALSE)&lt;X250,X250,VLOOKUP(B250,table_HGL_JCTS,17,FALSE)))</f>
        <v>382.27</v>
      </c>
      <c r="F250" s="61">
        <f>IF(B250=0,(E250+K250),IF(VLOOKUP(B250,table_HGL_JCTS,13,FALSE)="T-INTERSECTION",(E250+K250),(IF(VLOOKUP(B250,table_HGL_JCTS,17,FALSE)&lt;X250,(E250+K250),VLOOKUP(B250,table_HGL_JCTS,18,FALSE)))))</f>
        <v>382.96423426631515</v>
      </c>
      <c r="G250" s="62">
        <f>VLOOKUP(C250,table_CIA_JCTS,18)</f>
        <v>66</v>
      </c>
      <c r="H250" s="60">
        <f>VLOOKUP(C250,table_CIA_JCTS,17)</f>
        <v>158.8591493128379</v>
      </c>
      <c r="I250" s="62">
        <f>VLOOKUP(C250,table_CIA_JCTS,21)</f>
        <v>46</v>
      </c>
      <c r="J250" s="61">
        <f>H250/((G250/12)^2*3.1416/4)</f>
        <v>6.686455469880606</v>
      </c>
      <c r="K250" s="61">
        <f>(J250^2)/64.4</f>
        <v>0.6942342663151595</v>
      </c>
      <c r="L250" s="63">
        <f>(H250/((1.486/cell_NP)*((3.1416*(G250/12)^2)/4)*(G250/48)^(2/3)))^2</f>
        <v>2.2378831253859499E-3</v>
      </c>
      <c r="M250" s="61">
        <f>L250*I250</f>
        <v>0.10294262376775369</v>
      </c>
      <c r="N250" s="68" t="s">
        <v>10</v>
      </c>
      <c r="O250" s="52" t="s">
        <v>10</v>
      </c>
      <c r="P250" s="257" t="s">
        <v>10</v>
      </c>
      <c r="Q250" s="61">
        <f>SUM(P250)</f>
        <v>0</v>
      </c>
      <c r="R250" s="61">
        <f>Q250+M250</f>
        <v>0.10294262376775369</v>
      </c>
      <c r="S250" s="61">
        <f>IF(O250="T-INTERSECTION",T250,(T250-K250))</f>
        <v>382.37294262376776</v>
      </c>
      <c r="T250" s="61">
        <f>IF(O250="T-INTERSECTION",(R250+F250-K250),(R250+F250))</f>
        <v>383.06717689008292</v>
      </c>
      <c r="U250" s="61">
        <f>VLOOKUP(C250,table_CIA_JCTS,26)</f>
        <v>388.87</v>
      </c>
      <c r="V250" s="61">
        <f>U250-0.5-S250</f>
        <v>5.9970573762322488</v>
      </c>
      <c r="W250" s="61" t="s">
        <v>10</v>
      </c>
      <c r="X250" s="69" t="str">
        <f>IF(B250&gt;0,VLOOKUP(B250,table_CIA_JCTS,28)," ")</f>
        <v xml:space="preserve"> </v>
      </c>
      <c r="Y250" s="1">
        <v>6.03</v>
      </c>
      <c r="Z250" s="88">
        <f>V250-Y250</f>
        <v>-3.2942623767751478E-2</v>
      </c>
    </row>
    <row r="251" spans="2:26" x14ac:dyDescent="0.2">
      <c r="B251" s="216" t="s">
        <v>10</v>
      </c>
      <c r="C251" s="217" t="s">
        <v>10</v>
      </c>
      <c r="D251" s="62" t="s">
        <v>10</v>
      </c>
      <c r="E251" s="61" t="s">
        <v>10</v>
      </c>
      <c r="F251" s="61" t="s">
        <v>10</v>
      </c>
      <c r="G251" s="62" t="s">
        <v>10</v>
      </c>
      <c r="H251" s="60" t="s">
        <v>10</v>
      </c>
      <c r="I251" s="62" t="s">
        <v>10</v>
      </c>
      <c r="J251" s="61" t="s">
        <v>10</v>
      </c>
      <c r="K251" s="68" t="s">
        <v>10</v>
      </c>
      <c r="L251" s="63" t="s">
        <v>10</v>
      </c>
      <c r="M251" s="61" t="s">
        <v>10</v>
      </c>
      <c r="N251" s="68" t="s">
        <v>10</v>
      </c>
      <c r="O251" s="52" t="s">
        <v>176</v>
      </c>
      <c r="P251" s="61" t="s">
        <v>10</v>
      </c>
      <c r="Q251" s="61" t="s">
        <v>10</v>
      </c>
      <c r="R251" s="61" t="s">
        <v>10</v>
      </c>
      <c r="S251" s="61" t="s">
        <v>10</v>
      </c>
      <c r="T251" s="61" t="s">
        <v>10</v>
      </c>
      <c r="U251" s="61" t="s">
        <v>10</v>
      </c>
      <c r="V251" s="61" t="s">
        <v>10</v>
      </c>
      <c r="W251" s="61" t="s">
        <v>10</v>
      </c>
      <c r="X251" s="69" t="s">
        <v>10</v>
      </c>
      <c r="Y251" s="1" t="s">
        <v>10</v>
      </c>
    </row>
    <row r="252" spans="2:26" x14ac:dyDescent="0.2">
      <c r="B252" s="216">
        <v>134</v>
      </c>
      <c r="C252" s="217">
        <v>133</v>
      </c>
      <c r="D252" s="58" t="s">
        <v>10</v>
      </c>
      <c r="E252" s="61">
        <f>IF(B252=0,cell_HGL,IF(VLOOKUP(B252,table_HGL_JCTS,17,FALSE)&lt;X252,X252,VLOOKUP(B252,table_HGL_JCTS,17,FALSE)))</f>
        <v>382.37294262376776</v>
      </c>
      <c r="F252" s="61">
        <f>IF(B252=0,(E252+K252),IF(VLOOKUP(B252,table_HGL_JCTS,13,FALSE)="T-INTERSECTION",(E252+K252),(IF(VLOOKUP(B252,table_HGL_JCTS,17,FALSE)&lt;X252,(E252+K252),VLOOKUP(B252,table_HGL_JCTS,18,FALSE)))))</f>
        <v>383.06717689008292</v>
      </c>
      <c r="G252" s="62">
        <f>VLOOKUP(C252,table_CIA_JCTS,18)</f>
        <v>66</v>
      </c>
      <c r="H252" s="60">
        <f>VLOOKUP(C252,table_CIA_JCTS,17)</f>
        <v>156.00799670667109</v>
      </c>
      <c r="I252" s="62">
        <f>VLOOKUP(C252,table_CIA_JCTS,21)</f>
        <v>34</v>
      </c>
      <c r="J252" s="61">
        <f>H252/((G252/12)^2*3.1416/4)</f>
        <v>6.5664491307970083</v>
      </c>
      <c r="K252" s="61">
        <f>(J252^2)/64.4</f>
        <v>0.66953810849914264</v>
      </c>
      <c r="L252" s="63">
        <f>(H252/((1.486/cell_NP)*((3.1416*(G252/12)^2)/4)*(G252/48)^(2/3)))^2</f>
        <v>2.1582743859158019E-3</v>
      </c>
      <c r="M252" s="61">
        <f>L252*I252</f>
        <v>7.3381329121137262E-2</v>
      </c>
      <c r="N252" s="68" t="s">
        <v>10</v>
      </c>
      <c r="O252" s="72" t="s">
        <v>131</v>
      </c>
      <c r="P252" s="61">
        <f>IF(ISBLANK(O252)=FALSE,(VLOOKUP(O252,table_MINOR,2,FALSE))*(K252)," ")</f>
        <v>0.16738452712478566</v>
      </c>
      <c r="Q252" s="61">
        <f>SUM(P252:P253)</f>
        <v>0.16738452712478566</v>
      </c>
      <c r="R252" s="61">
        <f>Q252+M252</f>
        <v>0.24076585624592292</v>
      </c>
      <c r="S252" s="61">
        <f>IF(O252="T-INTERSECTION",T252,(T252-K252))</f>
        <v>382.63840463782969</v>
      </c>
      <c r="T252" s="61">
        <f>IF(O252="T-INTERSECTION",(R252+F252-K252),(R252+F252))</f>
        <v>383.30794274632882</v>
      </c>
      <c r="U252" s="61">
        <f>VLOOKUP(C252,table_CIA_JCTS,26)</f>
        <v>388.82</v>
      </c>
      <c r="V252" s="61">
        <f>U252-0.5-S252</f>
        <v>5.6815953621702988</v>
      </c>
      <c r="W252" s="61" t="s">
        <v>10</v>
      </c>
      <c r="X252" s="69" t="str">
        <f>IF(B252&gt;0,VLOOKUP(B252,table_CIA_JCTS,28)," ")</f>
        <v xml:space="preserve"> </v>
      </c>
      <c r="Y252" s="1">
        <v>5.79</v>
      </c>
      <c r="Z252" s="88">
        <f t="shared" ref="Z252:Z386" si="0">V252-Y252</f>
        <v>-0.10840463782970122</v>
      </c>
    </row>
    <row r="253" spans="2:26" x14ac:dyDescent="0.2">
      <c r="B253" s="216" t="s">
        <v>10</v>
      </c>
      <c r="C253" s="217" t="s">
        <v>10</v>
      </c>
      <c r="D253" s="62" t="s">
        <v>10</v>
      </c>
      <c r="E253" s="61" t="s">
        <v>10</v>
      </c>
      <c r="F253" s="61" t="s">
        <v>10</v>
      </c>
      <c r="G253" s="62" t="s">
        <v>10</v>
      </c>
      <c r="H253" s="60" t="s">
        <v>10</v>
      </c>
      <c r="I253" s="62" t="s">
        <v>10</v>
      </c>
      <c r="J253" s="61" t="s">
        <v>10</v>
      </c>
      <c r="K253" s="68">
        <f>K252</f>
        <v>0.66953810849914264</v>
      </c>
      <c r="L253" s="63" t="s">
        <v>10</v>
      </c>
      <c r="M253" s="61" t="s">
        <v>10</v>
      </c>
      <c r="N253" s="68" t="s">
        <v>10</v>
      </c>
      <c r="O253" s="52" t="s">
        <v>10</v>
      </c>
      <c r="P253" s="257" t="s">
        <v>10</v>
      </c>
      <c r="Q253" s="61" t="s">
        <v>10</v>
      </c>
      <c r="R253" s="61" t="s">
        <v>10</v>
      </c>
      <c r="S253" s="61" t="s">
        <v>10</v>
      </c>
      <c r="T253" s="61" t="s">
        <v>10</v>
      </c>
      <c r="U253" s="61" t="s">
        <v>10</v>
      </c>
      <c r="V253" s="61" t="s">
        <v>10</v>
      </c>
      <c r="W253" s="61" t="s">
        <v>10</v>
      </c>
      <c r="X253" s="69" t="s">
        <v>10</v>
      </c>
      <c r="Y253" s="1" t="s">
        <v>10</v>
      </c>
    </row>
    <row r="254" spans="2:26" x14ac:dyDescent="0.2">
      <c r="B254" s="216">
        <v>133</v>
      </c>
      <c r="C254" s="217">
        <v>132</v>
      </c>
      <c r="D254" s="58" t="s">
        <v>10</v>
      </c>
      <c r="E254" s="61">
        <f>IF(B254=0,cell_HGL,IF(VLOOKUP(B254,table_HGL_JCTS,17,FALSE)&lt;X254,X254,VLOOKUP(B254,table_HGL_JCTS,17,FALSE)))</f>
        <v>382.95</v>
      </c>
      <c r="F254" s="61">
        <f>IF(B254=0,(E254+K254),IF(VLOOKUP(B254,table_HGL_JCTS,13,FALSE)="T-INTERSECTION",(E254+K254),(IF(VLOOKUP(B254,table_HGL_JCTS,17,FALSE)&lt;X254,(E254+K254),VLOOKUP(B254,table_HGL_JCTS,18,FALSE)))))</f>
        <v>383.90663313614505</v>
      </c>
      <c r="G254" s="62">
        <f>VLOOKUP(C254,table_CIA_JCTS,18)</f>
        <v>60</v>
      </c>
      <c r="H254" s="60">
        <f>VLOOKUP(C254,table_CIA_JCTS,17)</f>
        <v>154.11558150595931</v>
      </c>
      <c r="I254" s="62">
        <f>VLOOKUP(C254,table_CIA_JCTS,21)</f>
        <v>437</v>
      </c>
      <c r="J254" s="61">
        <f>H254/((G254/12)^2*3.1416/4)</f>
        <v>7.849023758897852</v>
      </c>
      <c r="K254" s="61">
        <f>(J254^2)/64.4</f>
        <v>0.95663313614507706</v>
      </c>
      <c r="L254" s="63">
        <f>(H254/((1.486/cell_NP)*((3.1416*(G254/12)^2)/4)*(G254/48)^(2/3)))^2</f>
        <v>3.5016039415552268E-3</v>
      </c>
      <c r="M254" s="61">
        <f>L254*I254</f>
        <v>1.5302009224596342</v>
      </c>
      <c r="N254" s="68" t="s">
        <v>10</v>
      </c>
      <c r="O254" s="72" t="s">
        <v>156</v>
      </c>
      <c r="P254" s="61">
        <f>IF(ISBLANK(O254)=FALSE,(VLOOKUP(O254,table_MINOR,2,FALSE))*(K254)," ")</f>
        <v>0.71747485210880779</v>
      </c>
      <c r="Q254" s="61">
        <f>SUM(P254:P255)</f>
        <v>0.71747485210880779</v>
      </c>
      <c r="R254" s="61">
        <f>Q254+M254</f>
        <v>2.2476757745684419</v>
      </c>
      <c r="S254" s="61">
        <f>IF(O254="T-INTERSECTION",T254,(T254-K254))</f>
        <v>385.19767577456844</v>
      </c>
      <c r="T254" s="61">
        <f>IF(O254="T-INTERSECTION",(R254+F254-K254),(R254+F254))</f>
        <v>386.1543089107135</v>
      </c>
      <c r="U254" s="61">
        <f>VLOOKUP(C254,table_CIA_JCTS,26)</f>
        <v>389.94</v>
      </c>
      <c r="V254" s="61">
        <f>U254-0.5-S254</f>
        <v>4.2423242254315596</v>
      </c>
      <c r="W254" s="61" t="s">
        <v>10</v>
      </c>
      <c r="X254" s="69">
        <f>IF(B254&gt;0,VLOOKUP(B254,table_CIA_JCTS,28)," ")</f>
        <v>382.95</v>
      </c>
      <c r="Y254" s="1">
        <v>4.8899999999999997</v>
      </c>
      <c r="Z254" s="88">
        <f t="shared" si="0"/>
        <v>-0.64767577456844005</v>
      </c>
    </row>
    <row r="255" spans="2:26" x14ac:dyDescent="0.2">
      <c r="B255" s="216" t="s">
        <v>10</v>
      </c>
      <c r="C255" s="217" t="s">
        <v>10</v>
      </c>
      <c r="D255" s="62" t="s">
        <v>10</v>
      </c>
      <c r="E255" s="61" t="s">
        <v>10</v>
      </c>
      <c r="F255" s="61" t="s">
        <v>10</v>
      </c>
      <c r="G255" s="62" t="s">
        <v>10</v>
      </c>
      <c r="H255" s="60" t="s">
        <v>10</v>
      </c>
      <c r="I255" s="62" t="s">
        <v>10</v>
      </c>
      <c r="J255" s="61" t="s">
        <v>10</v>
      </c>
      <c r="K255" s="68">
        <f>K254</f>
        <v>0.95663313614507706</v>
      </c>
      <c r="L255" s="63" t="s">
        <v>10</v>
      </c>
      <c r="M255" s="61" t="s">
        <v>10</v>
      </c>
      <c r="N255" s="68" t="s">
        <v>10</v>
      </c>
      <c r="O255" s="52" t="s">
        <v>10</v>
      </c>
      <c r="P255" s="257" t="s">
        <v>10</v>
      </c>
      <c r="Q255" s="61" t="s">
        <v>10</v>
      </c>
      <c r="R255" s="61" t="s">
        <v>10</v>
      </c>
      <c r="S255" s="61" t="s">
        <v>10</v>
      </c>
      <c r="T255" s="61" t="s">
        <v>10</v>
      </c>
      <c r="U255" s="61" t="s">
        <v>10</v>
      </c>
      <c r="V255" s="61" t="s">
        <v>10</v>
      </c>
      <c r="W255" s="61" t="s">
        <v>10</v>
      </c>
      <c r="X255" s="69" t="s">
        <v>10</v>
      </c>
      <c r="Y255" s="1" t="s">
        <v>10</v>
      </c>
    </row>
    <row r="256" spans="2:26" x14ac:dyDescent="0.2">
      <c r="B256" s="216">
        <v>132</v>
      </c>
      <c r="C256" s="217">
        <v>131</v>
      </c>
      <c r="D256" s="58" t="s">
        <v>10</v>
      </c>
      <c r="E256" s="61">
        <f>IF(B256=0,cell_HGL,IF(VLOOKUP(B256,table_HGL_JCTS,17,FALSE)&lt;X256,X256,VLOOKUP(B256,table_HGL_JCTS,17,FALSE)))</f>
        <v>385.19767577456844</v>
      </c>
      <c r="F256" s="61">
        <f>IF(B256=0,(E256+K256),IF(VLOOKUP(B256,table_HGL_JCTS,13,FALSE)="T-INTERSECTION",(E256+K256),(IF(VLOOKUP(B256,table_HGL_JCTS,17,FALSE)&lt;X256,(E256+K256),VLOOKUP(B256,table_HGL_JCTS,18,FALSE)))))</f>
        <v>386.1543089107135</v>
      </c>
      <c r="G256" s="62">
        <f>VLOOKUP(C256,table_CIA_JCTS,18)</f>
        <v>60</v>
      </c>
      <c r="H256" s="60">
        <f>VLOOKUP(C256,table_CIA_JCTS,17)</f>
        <v>89.154223509922787</v>
      </c>
      <c r="I256" s="62">
        <f>VLOOKUP(C256,table_CIA_JCTS,21)</f>
        <v>541</v>
      </c>
      <c r="J256" s="61">
        <f>H256/((G256/12)^2*3.1416/4)</f>
        <v>4.5405767002761799</v>
      </c>
      <c r="K256" s="61">
        <f>(J256^2)/64.4</f>
        <v>0.32013721694240554</v>
      </c>
      <c r="L256" s="63">
        <f>(H256/((1.486/cell_NP)*((3.1416*(G256/12)^2)/4)*(G256/48)^(2/3)))^2</f>
        <v>1.171811531849389E-3</v>
      </c>
      <c r="M256" s="61">
        <f>L256*I256</f>
        <v>0.63395003873051947</v>
      </c>
      <c r="N256" s="68" t="s">
        <v>10</v>
      </c>
      <c r="O256" s="72"/>
      <c r="P256" s="61" t="str">
        <f>IF(ISBLANK(O256)=FALSE,(VLOOKUP(O256,table_MINOR,2,FALSE))*(K256)," ")</f>
        <v xml:space="preserve"> </v>
      </c>
      <c r="Q256" s="61">
        <f>SUM(P256:P257)</f>
        <v>0</v>
      </c>
      <c r="R256" s="61">
        <f>Q256+M256</f>
        <v>0.63395003873051947</v>
      </c>
      <c r="S256" s="61">
        <f>IF(O256="T-INTERSECTION",T256,(T256-K256))</f>
        <v>386.46812173250163</v>
      </c>
      <c r="T256" s="61">
        <f>IF(O256="T-INTERSECTION",(R256+F256-K256),(R256+F256))</f>
        <v>386.46812173250163</v>
      </c>
      <c r="U256" s="61">
        <f>VLOOKUP(C256,table_CIA_JCTS,26)</f>
        <v>390.92</v>
      </c>
      <c r="V256" s="61">
        <f>U256-0.5-S256</f>
        <v>3.9518782674983868</v>
      </c>
      <c r="W256" s="61" t="s">
        <v>10</v>
      </c>
      <c r="X256" s="69">
        <f>IF(B256&gt;0,VLOOKUP(B256,table_CIA_JCTS,28)," ")</f>
        <v>384</v>
      </c>
      <c r="Y256" s="1">
        <v>4.97</v>
      </c>
      <c r="Z256" s="88">
        <f t="shared" si="0"/>
        <v>-1.018121732501613</v>
      </c>
    </row>
    <row r="257" spans="2:26" x14ac:dyDescent="0.2">
      <c r="B257" s="216" t="s">
        <v>10</v>
      </c>
      <c r="C257" s="217" t="s">
        <v>10</v>
      </c>
      <c r="D257" s="62" t="s">
        <v>10</v>
      </c>
      <c r="E257" s="61" t="s">
        <v>10</v>
      </c>
      <c r="F257" s="61" t="s">
        <v>10</v>
      </c>
      <c r="G257" s="62" t="s">
        <v>10</v>
      </c>
      <c r="H257" s="60" t="s">
        <v>10</v>
      </c>
      <c r="I257" s="62" t="s">
        <v>10</v>
      </c>
      <c r="J257" s="61" t="s">
        <v>10</v>
      </c>
      <c r="K257" s="68">
        <f>K256</f>
        <v>0.32013721694240554</v>
      </c>
      <c r="L257" s="63" t="s">
        <v>10</v>
      </c>
      <c r="M257" s="61" t="s">
        <v>10</v>
      </c>
      <c r="N257" s="68" t="s">
        <v>10</v>
      </c>
      <c r="O257" s="52" t="s">
        <v>10</v>
      </c>
      <c r="P257" s="257" t="s">
        <v>10</v>
      </c>
      <c r="Q257" s="61" t="s">
        <v>10</v>
      </c>
      <c r="R257" s="61" t="s">
        <v>10</v>
      </c>
      <c r="S257" s="61" t="s">
        <v>10</v>
      </c>
      <c r="T257" s="61" t="s">
        <v>10</v>
      </c>
      <c r="U257" s="61" t="s">
        <v>10</v>
      </c>
      <c r="V257" s="61" t="s">
        <v>10</v>
      </c>
      <c r="W257" s="61" t="s">
        <v>10</v>
      </c>
      <c r="X257" s="69" t="s">
        <v>10</v>
      </c>
      <c r="Y257" s="1" t="s">
        <v>10</v>
      </c>
    </row>
    <row r="258" spans="2:26" x14ac:dyDescent="0.2">
      <c r="B258" s="216">
        <v>131</v>
      </c>
      <c r="C258" s="217">
        <v>130</v>
      </c>
      <c r="D258" s="58" t="s">
        <v>10</v>
      </c>
      <c r="E258" s="61">
        <f>IF(B258=0,cell_HGL,IF(VLOOKUP(B258,table_HGL_JCTS,17,FALSE)&lt;X258,X258,VLOOKUP(B258,table_HGL_JCTS,17,FALSE)))</f>
        <v>386.46812173250163</v>
      </c>
      <c r="F258" s="61">
        <f>IF(B258=0,(E258+K258),IF(VLOOKUP(B258,table_HGL_JCTS,13,FALSE)="T-INTERSECTION",(E258+K258),(IF(VLOOKUP(B258,table_HGL_JCTS,17,FALSE)&lt;X258,(E258+K258),VLOOKUP(B258,table_HGL_JCTS,18,FALSE)))))</f>
        <v>386.9478800015201</v>
      </c>
      <c r="G258" s="62">
        <f>VLOOKUP(C258,table_CIA_JCTS,18)</f>
        <v>54</v>
      </c>
      <c r="H258" s="60">
        <f>VLOOKUP(C258,table_CIA_JCTS,17)</f>
        <v>88.403628855049178</v>
      </c>
      <c r="I258" s="62">
        <f>VLOOKUP(C258,table_CIA_JCTS,21)</f>
        <v>294</v>
      </c>
      <c r="J258" s="61">
        <f>H258/((G258/12)^2*3.1416/4)</f>
        <v>5.5584559479041387</v>
      </c>
      <c r="K258" s="61">
        <f>(J258^2)/64.4</f>
        <v>0.47975826901849211</v>
      </c>
      <c r="L258" s="63">
        <f>(H258/((1.486/cell_NP)*((3.1416*(G258/12)^2)/4)*(G258/48)^(2/3)))^2</f>
        <v>2.0209429729398129E-3</v>
      </c>
      <c r="M258" s="61">
        <f>L258*I258</f>
        <v>0.59415723404430498</v>
      </c>
      <c r="N258" s="68" t="s">
        <v>10</v>
      </c>
      <c r="O258" s="72" t="s">
        <v>156</v>
      </c>
      <c r="P258" s="61">
        <f>IF(ISBLANK(O258)=FALSE,(VLOOKUP(O258,table_MINOR,2,FALSE))*(K258)," ")</f>
        <v>0.3598187017638691</v>
      </c>
      <c r="Q258" s="61">
        <f>SUM(P258:P259)</f>
        <v>0.3598187017638691</v>
      </c>
      <c r="R258" s="61">
        <f>Q258+M258</f>
        <v>0.95397593580817408</v>
      </c>
      <c r="S258" s="61">
        <f>IF(O258="T-INTERSECTION",T258,(T258-K258))</f>
        <v>387.42209766830979</v>
      </c>
      <c r="T258" s="61">
        <f>IF(O258="T-INTERSECTION",(R258+F258-K258),(R258+F258))</f>
        <v>387.90185593732826</v>
      </c>
      <c r="U258" s="61">
        <f>VLOOKUP(C258,table_CIA_JCTS,26)</f>
        <v>392.8</v>
      </c>
      <c r="V258" s="61">
        <f>U258-0.5-S258</f>
        <v>4.8779023316902226</v>
      </c>
      <c r="W258" s="61" t="s">
        <v>10</v>
      </c>
      <c r="X258" s="69">
        <f>IF(B258&gt;0,VLOOKUP(B258,table_CIA_JCTS,28)," ")</f>
        <v>383.81</v>
      </c>
      <c r="Y258" s="1">
        <v>6.2</v>
      </c>
      <c r="Z258" s="88">
        <f t="shared" si="0"/>
        <v>-1.3220976683097776</v>
      </c>
    </row>
    <row r="259" spans="2:26" x14ac:dyDescent="0.2">
      <c r="B259" s="216" t="s">
        <v>10</v>
      </c>
      <c r="C259" s="217" t="s">
        <v>10</v>
      </c>
      <c r="D259" s="62" t="s">
        <v>10</v>
      </c>
      <c r="E259" s="61" t="s">
        <v>10</v>
      </c>
      <c r="F259" s="61" t="s">
        <v>10</v>
      </c>
      <c r="G259" s="62" t="s">
        <v>10</v>
      </c>
      <c r="H259" s="60" t="s">
        <v>10</v>
      </c>
      <c r="I259" s="62" t="s">
        <v>10</v>
      </c>
      <c r="J259" s="61" t="s">
        <v>10</v>
      </c>
      <c r="K259" s="68">
        <f>K258</f>
        <v>0.47975826901849211</v>
      </c>
      <c r="L259" s="63" t="s">
        <v>10</v>
      </c>
      <c r="M259" s="61" t="s">
        <v>10</v>
      </c>
      <c r="N259" s="68" t="s">
        <v>10</v>
      </c>
      <c r="O259" s="52" t="s">
        <v>10</v>
      </c>
      <c r="P259" s="257" t="s">
        <v>10</v>
      </c>
      <c r="Q259" s="61" t="s">
        <v>10</v>
      </c>
      <c r="R259" s="61" t="s">
        <v>10</v>
      </c>
      <c r="S259" s="61" t="s">
        <v>10</v>
      </c>
      <c r="T259" s="61" t="s">
        <v>10</v>
      </c>
      <c r="U259" s="61" t="s">
        <v>10</v>
      </c>
      <c r="V259" s="61" t="s">
        <v>10</v>
      </c>
      <c r="W259" s="61" t="s">
        <v>10</v>
      </c>
      <c r="X259" s="69" t="s">
        <v>10</v>
      </c>
      <c r="Y259" s="1" t="s">
        <v>10</v>
      </c>
    </row>
    <row r="260" spans="2:26" x14ac:dyDescent="0.2">
      <c r="B260" s="216">
        <v>130</v>
      </c>
      <c r="C260" s="217">
        <v>121</v>
      </c>
      <c r="D260" s="58" t="s">
        <v>10</v>
      </c>
      <c r="E260" s="61">
        <f>IF(B260=0,cell_HGL,IF(VLOOKUP(B260,table_HGL_JCTS,17,FALSE)&lt;X260,X260,VLOOKUP(B260,table_HGL_JCTS,17,FALSE)))</f>
        <v>387.42209766830979</v>
      </c>
      <c r="F260" s="61">
        <f>IF(B260=0,(E260+K260),IF(VLOOKUP(B260,table_HGL_JCTS,13,FALSE)="T-INTERSECTION",(E260+K260),(IF(VLOOKUP(B260,table_HGL_JCTS,17,FALSE)&lt;X260,(E260+K260),VLOOKUP(B260,table_HGL_JCTS,18,FALSE)))))</f>
        <v>387.90185593732826</v>
      </c>
      <c r="G260" s="62">
        <f>VLOOKUP(C260,table_CIA_JCTS,18)</f>
        <v>54</v>
      </c>
      <c r="H260" s="60">
        <f>VLOOKUP(C260,table_CIA_JCTS,17)</f>
        <v>69.36185664465664</v>
      </c>
      <c r="I260" s="62">
        <f>VLOOKUP(C260,table_CIA_JCTS,21)</f>
        <v>93</v>
      </c>
      <c r="J260" s="61">
        <f>H260/((G260/12)^2*3.1416/4)</f>
        <v>4.3611877659040861</v>
      </c>
      <c r="K260" s="61">
        <f>(J260^2)/64.4</f>
        <v>0.295340974060116</v>
      </c>
      <c r="L260" s="63">
        <f>(H260/((1.486/cell_NP)*((3.1416*(G260/12)^2)/4)*(G260/48)^(2/3)))^2</f>
        <v>1.2441000076331879E-3</v>
      </c>
      <c r="M260" s="61">
        <f>L260*I260</f>
        <v>0.11570130070988648</v>
      </c>
      <c r="N260" s="68" t="s">
        <v>10</v>
      </c>
      <c r="O260" s="52" t="s">
        <v>10</v>
      </c>
      <c r="P260" s="257" t="s">
        <v>10</v>
      </c>
      <c r="Q260" s="61">
        <f>SUM(P260)</f>
        <v>0</v>
      </c>
      <c r="R260" s="61">
        <f>Q260+M260</f>
        <v>0.11570130070988648</v>
      </c>
      <c r="S260" s="61">
        <f>IF(O260="T-INTERSECTION",T260,(T260-K260))</f>
        <v>387.722216263978</v>
      </c>
      <c r="T260" s="61">
        <f>IF(O260="T-INTERSECTION",(R260+F260-K260),(R260+F260))</f>
        <v>388.01755723803814</v>
      </c>
      <c r="U260" s="61">
        <f>VLOOKUP(C260,table_CIA_JCTS,26)</f>
        <v>392.8</v>
      </c>
      <c r="V260" s="61">
        <f>U260-0.5-S260</f>
        <v>4.5777837360220133</v>
      </c>
      <c r="W260" s="61" t="s">
        <v>10</v>
      </c>
      <c r="X260" s="69">
        <f>IF(B260&gt;0,VLOOKUP(B260,table_CIA_JCTS,28)," ")</f>
        <v>384.52</v>
      </c>
      <c r="Y260" s="1">
        <v>5.99</v>
      </c>
      <c r="Z260" s="88">
        <f t="shared" si="0"/>
        <v>-1.4122162639779869</v>
      </c>
    </row>
    <row r="261" spans="2:26" x14ac:dyDescent="0.2">
      <c r="B261" s="216" t="s">
        <v>10</v>
      </c>
      <c r="C261" s="217" t="s">
        <v>10</v>
      </c>
      <c r="D261" s="62" t="s">
        <v>10</v>
      </c>
      <c r="E261" s="61" t="s">
        <v>10</v>
      </c>
      <c r="F261" s="61" t="s">
        <v>10</v>
      </c>
      <c r="G261" s="62" t="s">
        <v>10</v>
      </c>
      <c r="H261" s="60" t="s">
        <v>10</v>
      </c>
      <c r="I261" s="62" t="s">
        <v>10</v>
      </c>
      <c r="J261" s="61" t="s">
        <v>10</v>
      </c>
      <c r="K261" s="68" t="s">
        <v>10</v>
      </c>
      <c r="L261" s="63" t="s">
        <v>10</v>
      </c>
      <c r="M261" s="61" t="s">
        <v>10</v>
      </c>
      <c r="N261" s="68" t="s">
        <v>10</v>
      </c>
      <c r="O261" s="52" t="s">
        <v>176</v>
      </c>
      <c r="P261" s="61" t="s">
        <v>10</v>
      </c>
      <c r="Q261" s="61" t="s">
        <v>10</v>
      </c>
      <c r="R261" s="61" t="s">
        <v>10</v>
      </c>
      <c r="S261" s="61" t="s">
        <v>10</v>
      </c>
      <c r="T261" s="61" t="s">
        <v>10</v>
      </c>
      <c r="U261" s="61" t="s">
        <v>10</v>
      </c>
      <c r="V261" s="61" t="s">
        <v>10</v>
      </c>
      <c r="W261" s="61" t="s">
        <v>10</v>
      </c>
      <c r="X261" s="69" t="s">
        <v>10</v>
      </c>
      <c r="Y261" s="1" t="s">
        <v>10</v>
      </c>
    </row>
    <row r="262" spans="2:26" x14ac:dyDescent="0.2">
      <c r="B262" s="216">
        <v>121</v>
      </c>
      <c r="C262" s="217">
        <v>119</v>
      </c>
      <c r="D262" s="58" t="s">
        <v>10</v>
      </c>
      <c r="E262" s="61">
        <f>IF(B262=0,cell_HGL,IF(VLOOKUP(B262,table_HGL_JCTS,17,FALSE)&lt;X262,X262,VLOOKUP(B262,table_HGL_JCTS,17,FALSE)))</f>
        <v>387.722216263978</v>
      </c>
      <c r="F262" s="61">
        <f>IF(B262=0,(E262+K262),IF(VLOOKUP(B262,table_HGL_JCTS,13,FALSE)="T-INTERSECTION",(E262+K262),(IF(VLOOKUP(B262,table_HGL_JCTS,17,FALSE)&lt;X262,(E262+K262),VLOOKUP(B262,table_HGL_JCTS,18,FALSE)))))</f>
        <v>388.01755723803814</v>
      </c>
      <c r="G262" s="62">
        <f>VLOOKUP(C262,table_CIA_JCTS,18)</f>
        <v>48</v>
      </c>
      <c r="H262" s="60">
        <f>VLOOKUP(C262,table_CIA_JCTS,17)</f>
        <v>66.405926889623629</v>
      </c>
      <c r="I262" s="62">
        <f>VLOOKUP(C262,table_CIA_JCTS,21)</f>
        <v>479</v>
      </c>
      <c r="J262" s="61">
        <f>H262/((G262/12)^2*3.1416/4)</f>
        <v>5.2844034003074576</v>
      </c>
      <c r="K262" s="61">
        <f>(J262^2)/64.4</f>
        <v>0.4336167592729972</v>
      </c>
      <c r="L262" s="63">
        <f>(H262/((1.486/cell_NP)*((3.1416*(G262/12)^2)/4)*(G262/48)^(2/3)))^2</f>
        <v>2.137179562513288E-3</v>
      </c>
      <c r="M262" s="61">
        <f>L262*I262</f>
        <v>1.0237090104438649</v>
      </c>
      <c r="N262" s="68" t="s">
        <v>10</v>
      </c>
      <c r="O262" s="52" t="s">
        <v>10</v>
      </c>
      <c r="P262" s="257" t="s">
        <v>10</v>
      </c>
      <c r="Q262" s="61">
        <f>SUM(P262)</f>
        <v>0</v>
      </c>
      <c r="R262" s="61">
        <f>Q262+M262</f>
        <v>1.0237090104438649</v>
      </c>
      <c r="S262" s="61">
        <f>IF(O262="T-INTERSECTION",T262,(T262-K262))</f>
        <v>388.607649489209</v>
      </c>
      <c r="T262" s="61">
        <f>IF(O262="T-INTERSECTION",(R262+F262-K262),(R262+F262))</f>
        <v>389.04126624848197</v>
      </c>
      <c r="U262" s="61">
        <f>VLOOKUP(C262,table_CIA_JCTS,26)</f>
        <v>394.26</v>
      </c>
      <c r="V262" s="61">
        <f>U262-0.5-S262</f>
        <v>5.1523505107909955</v>
      </c>
      <c r="W262" s="61" t="s">
        <v>10</v>
      </c>
      <c r="X262" s="69">
        <f>IF(B262&gt;0,VLOOKUP(B262,table_CIA_JCTS,28)," ")</f>
        <v>384.58</v>
      </c>
      <c r="Y262" s="1">
        <v>6.86</v>
      </c>
      <c r="Z262" s="88">
        <f t="shared" si="0"/>
        <v>-1.7076494892090048</v>
      </c>
    </row>
    <row r="263" spans="2:26" x14ac:dyDescent="0.2">
      <c r="B263" s="216" t="s">
        <v>10</v>
      </c>
      <c r="C263" s="217" t="s">
        <v>10</v>
      </c>
      <c r="D263" s="62" t="s">
        <v>10</v>
      </c>
      <c r="E263" s="61" t="s">
        <v>10</v>
      </c>
      <c r="F263" s="61" t="s">
        <v>10</v>
      </c>
      <c r="G263" s="62" t="s">
        <v>10</v>
      </c>
      <c r="H263" s="60" t="s">
        <v>10</v>
      </c>
      <c r="I263" s="62" t="s">
        <v>10</v>
      </c>
      <c r="J263" s="61" t="s">
        <v>10</v>
      </c>
      <c r="K263" s="68" t="s">
        <v>10</v>
      </c>
      <c r="L263" s="63" t="s">
        <v>10</v>
      </c>
      <c r="M263" s="61" t="s">
        <v>10</v>
      </c>
      <c r="N263" s="68" t="s">
        <v>10</v>
      </c>
      <c r="O263" s="52" t="s">
        <v>176</v>
      </c>
      <c r="P263" s="61" t="s">
        <v>10</v>
      </c>
      <c r="Q263" s="61" t="s">
        <v>10</v>
      </c>
      <c r="R263" s="61" t="s">
        <v>10</v>
      </c>
      <c r="S263" s="61" t="s">
        <v>10</v>
      </c>
      <c r="T263" s="61" t="s">
        <v>10</v>
      </c>
      <c r="U263" s="61" t="s">
        <v>10</v>
      </c>
      <c r="V263" s="61" t="s">
        <v>10</v>
      </c>
      <c r="W263" s="61" t="s">
        <v>10</v>
      </c>
      <c r="X263" s="69" t="s">
        <v>10</v>
      </c>
      <c r="Y263" s="1" t="s">
        <v>10</v>
      </c>
    </row>
    <row r="264" spans="2:26" x14ac:dyDescent="0.2">
      <c r="B264" s="216">
        <v>119</v>
      </c>
      <c r="C264" s="217">
        <v>117</v>
      </c>
      <c r="D264" s="58" t="s">
        <v>10</v>
      </c>
      <c r="E264" s="61">
        <f>IF(B264=0,cell_HGL,IF(VLOOKUP(B264,table_HGL_JCTS,17,FALSE)&lt;X264,X264,VLOOKUP(B264,table_HGL_JCTS,17,FALSE)))</f>
        <v>388.607649489209</v>
      </c>
      <c r="F264" s="61">
        <f>IF(B264=0,(E264+K264),IF(VLOOKUP(B264,table_HGL_JCTS,13,FALSE)="T-INTERSECTION",(E264+K264),(IF(VLOOKUP(B264,table_HGL_JCTS,17,FALSE)&lt;X264,(E264+K264),VLOOKUP(B264,table_HGL_JCTS,18,FALSE)))))</f>
        <v>389.04126624848197</v>
      </c>
      <c r="G264" s="62">
        <f>VLOOKUP(C264,table_CIA_JCTS,18)</f>
        <v>48</v>
      </c>
      <c r="H264" s="60">
        <f>VLOOKUP(C264,table_CIA_JCTS,17)</f>
        <v>66.270735851402932</v>
      </c>
      <c r="I264" s="62">
        <f>VLOOKUP(C264,table_CIA_JCTS,21)</f>
        <v>813</v>
      </c>
      <c r="J264" s="61">
        <f>H264/((G264/12)^2*3.1416/4)</f>
        <v>5.2736452644673841</v>
      </c>
      <c r="K264" s="61">
        <f>(J264^2)/64.4</f>
        <v>0.43185301825216249</v>
      </c>
      <c r="L264" s="63">
        <f>(H264/((1.486/cell_NP)*((3.1416*(G264/12)^2)/4)*(G264/48)^(2/3)))^2</f>
        <v>2.1284865607261476E-3</v>
      </c>
      <c r="M264" s="61">
        <f>L264*I264</f>
        <v>1.7304595738703579</v>
      </c>
      <c r="N264" s="68" t="s">
        <v>10</v>
      </c>
      <c r="O264" s="72" t="s">
        <v>156</v>
      </c>
      <c r="P264" s="61">
        <f>IF(ISBLANK(O264)=FALSE,(VLOOKUP(O264,table_MINOR,2,FALSE))*(K264)," ")</f>
        <v>0.32388976368912187</v>
      </c>
      <c r="Q264" s="61">
        <f>SUM(P264:P265)</f>
        <v>0.32388976368912187</v>
      </c>
      <c r="R264" s="61">
        <f>Q264+M264</f>
        <v>2.0543493375594797</v>
      </c>
      <c r="S264" s="61">
        <f>IF(O264="T-INTERSECTION",T264,(T264-K264))</f>
        <v>390.66376256778926</v>
      </c>
      <c r="T264" s="61">
        <f>IF(O264="T-INTERSECTION",(R264+F264-K264),(R264+F264))</f>
        <v>391.09561558604145</v>
      </c>
      <c r="U264" s="61">
        <f>VLOOKUP(C264,table_CIA_JCTS,26)</f>
        <v>396.86</v>
      </c>
      <c r="V264" s="61">
        <f>U264-0.5-S264</f>
        <v>5.6962374322107507</v>
      </c>
      <c r="W264" s="61" t="s">
        <v>10</v>
      </c>
      <c r="X264" s="69">
        <f>IF(B264&gt;0,VLOOKUP(B264,table_CIA_JCTS,28)," ")</f>
        <v>385.33</v>
      </c>
      <c r="Y264" s="1">
        <v>8.5299999999999994</v>
      </c>
      <c r="Z264" s="88">
        <f t="shared" si="0"/>
        <v>-2.8337625677892486</v>
      </c>
    </row>
    <row r="265" spans="2:26" ht="15.75" thickBot="1" x14ac:dyDescent="0.25">
      <c r="B265" s="216" t="s">
        <v>10</v>
      </c>
      <c r="C265" s="217" t="s">
        <v>10</v>
      </c>
      <c r="D265" s="62" t="s">
        <v>10</v>
      </c>
      <c r="E265" s="61" t="s">
        <v>10</v>
      </c>
      <c r="F265" s="61" t="s">
        <v>10</v>
      </c>
      <c r="G265" s="62" t="s">
        <v>10</v>
      </c>
      <c r="H265" s="60" t="s">
        <v>10</v>
      </c>
      <c r="I265" s="62" t="s">
        <v>10</v>
      </c>
      <c r="J265" s="61" t="s">
        <v>10</v>
      </c>
      <c r="K265" s="68">
        <f>K264</f>
        <v>0.43185301825216249</v>
      </c>
      <c r="L265" s="63" t="s">
        <v>10</v>
      </c>
      <c r="M265" s="61" t="s">
        <v>10</v>
      </c>
      <c r="N265" s="68" t="s">
        <v>10</v>
      </c>
      <c r="O265" s="52" t="s">
        <v>10</v>
      </c>
      <c r="P265" s="257" t="s">
        <v>10</v>
      </c>
      <c r="Q265" s="61" t="s">
        <v>10</v>
      </c>
      <c r="R265" s="61" t="s">
        <v>10</v>
      </c>
      <c r="S265" s="61" t="s">
        <v>10</v>
      </c>
      <c r="T265" s="61" t="s">
        <v>10</v>
      </c>
      <c r="U265" s="61" t="s">
        <v>10</v>
      </c>
      <c r="V265" s="61" t="s">
        <v>10</v>
      </c>
      <c r="W265" s="61" t="s">
        <v>10</v>
      </c>
      <c r="X265" s="69" t="s">
        <v>10</v>
      </c>
      <c r="Y265" s="1" t="s">
        <v>10</v>
      </c>
    </row>
    <row r="266" spans="2:26" x14ac:dyDescent="0.2">
      <c r="B266" s="633">
        <v>117</v>
      </c>
      <c r="C266" s="640">
        <v>111</v>
      </c>
      <c r="D266" s="650" t="s">
        <v>10</v>
      </c>
      <c r="E266" s="622">
        <f>IF(B266=0,cell_HGL,IF(VLOOKUP(B266,table_HGL_JCTS,17,FALSE)&lt;X266,X266,VLOOKUP(B266,table_HGL_JCTS,17,FALSE)))</f>
        <v>390.66376256778926</v>
      </c>
      <c r="F266" s="622">
        <f>IF(B266=0,(E266+K266),IF(VLOOKUP(B266,table_HGL_JCTS,13,FALSE)="T-INTERSECTION",(E266+K266),(IF(VLOOKUP(B266,table_HGL_JCTS,17,FALSE)&lt;X266,(E266+K266),VLOOKUP(B266,table_HGL_JCTS,18,FALSE)))))</f>
        <v>391.09561558604145</v>
      </c>
      <c r="G266" s="624">
        <f>VLOOKUP(C266,table_CIA_JCTS,18)</f>
        <v>48</v>
      </c>
      <c r="H266" s="627">
        <f>VLOOKUP(C266,table_CIA_JCTS,17)</f>
        <v>56.450259544733065</v>
      </c>
      <c r="I266" s="624">
        <f>VLOOKUP(C266,table_CIA_JCTS,21)</f>
        <v>108</v>
      </c>
      <c r="J266" s="622">
        <f>H266/((G266/12)^2*3.1416/4)</f>
        <v>4.4921584180619005</v>
      </c>
      <c r="K266" s="622">
        <f>(J266^2)/64.4</f>
        <v>0.31334607535658998</v>
      </c>
      <c r="L266" s="625">
        <f>(H266/((1.486/cell_NP)*((3.1416*(G266/12)^2)/4)*(G266/48)^(2/3)))^2</f>
        <v>1.5443979364834386E-3</v>
      </c>
      <c r="M266" s="622">
        <f>L266*I266</f>
        <v>0.16679497714021138</v>
      </c>
      <c r="N266" s="651" t="s">
        <v>10</v>
      </c>
      <c r="O266" s="652" t="s">
        <v>130</v>
      </c>
      <c r="P266" s="622">
        <f>IF(ISBLANK(O266)=FALSE,(VLOOKUP(O266,table_MINOR,2,FALSE))*(K266)," ")</f>
        <v>9.4003822606976997E-2</v>
      </c>
      <c r="Q266" s="622">
        <f>SUM(P266:P267)</f>
        <v>9.4003822606976997E-2</v>
      </c>
      <c r="R266" s="622">
        <f>Q266+M266</f>
        <v>0.26079879974718839</v>
      </c>
      <c r="S266" s="622">
        <f>IF(O266="T-INTERSECTION",T266,(T266-K266))</f>
        <v>391.04306831043203</v>
      </c>
      <c r="T266" s="622">
        <f>IF(O266="T-INTERSECTION",(R266+F266-K266),(R266+F266))</f>
        <v>391.35641438578864</v>
      </c>
      <c r="U266" s="622">
        <f>VLOOKUP(C266,table_CIA_JCTS,26)</f>
        <v>396.9</v>
      </c>
      <c r="V266" s="622">
        <f>U266-0.5-S266</f>
        <v>5.3569316895679435</v>
      </c>
      <c r="W266" s="622" t="s">
        <v>10</v>
      </c>
      <c r="X266" s="622">
        <f>IF(B266&gt;0,VLOOKUP(B266,table_CIA_JCTS,28)," ")</f>
        <v>386.19</v>
      </c>
      <c r="Y266" s="656">
        <v>8.3699999999999992</v>
      </c>
      <c r="Z266" s="657">
        <f t="shared" si="0"/>
        <v>-3.0130683104320557</v>
      </c>
    </row>
    <row r="267" spans="2:26" ht="15.75" thickBot="1" x14ac:dyDescent="0.25">
      <c r="B267" s="633" t="s">
        <v>10</v>
      </c>
      <c r="C267" s="640" t="s">
        <v>10</v>
      </c>
      <c r="D267" s="624" t="s">
        <v>10</v>
      </c>
      <c r="E267" s="622" t="s">
        <v>10</v>
      </c>
      <c r="F267" s="622" t="s">
        <v>10</v>
      </c>
      <c r="G267" s="624" t="s">
        <v>10</v>
      </c>
      <c r="H267" s="627" t="s">
        <v>10</v>
      </c>
      <c r="I267" s="624" t="s">
        <v>10</v>
      </c>
      <c r="J267" s="622" t="s">
        <v>10</v>
      </c>
      <c r="K267" s="651">
        <f>K266</f>
        <v>0.31334607535658998</v>
      </c>
      <c r="L267" s="625" t="s">
        <v>10</v>
      </c>
      <c r="M267" s="622" t="s">
        <v>10</v>
      </c>
      <c r="N267" s="651" t="s">
        <v>10</v>
      </c>
      <c r="O267" s="654" t="s">
        <v>10</v>
      </c>
      <c r="P267" s="655" t="s">
        <v>10</v>
      </c>
      <c r="Q267" s="622" t="s">
        <v>10</v>
      </c>
      <c r="R267" s="622" t="s">
        <v>10</v>
      </c>
      <c r="S267" s="622" t="s">
        <v>10</v>
      </c>
      <c r="T267" s="622" t="s">
        <v>10</v>
      </c>
      <c r="U267" s="622" t="s">
        <v>10</v>
      </c>
      <c r="V267" s="622" t="s">
        <v>10</v>
      </c>
      <c r="W267" s="622" t="s">
        <v>10</v>
      </c>
      <c r="X267" s="622" t="s">
        <v>10</v>
      </c>
      <c r="Y267" s="658" t="s">
        <v>597</v>
      </c>
      <c r="Z267" s="659"/>
    </row>
    <row r="268" spans="2:26" x14ac:dyDescent="0.2">
      <c r="B268" s="633">
        <v>111</v>
      </c>
      <c r="C268" s="640">
        <v>110.3</v>
      </c>
      <c r="D268" s="650" t="s">
        <v>10</v>
      </c>
      <c r="E268" s="622">
        <f>IF(B268=0,cell_HGL,IF(VLOOKUP(B268,table_HGL_JCTS,17,FALSE)&lt;X268,X268,VLOOKUP(B268,table_HGL_JCTS,17,FALSE)))</f>
        <v>391.04306831043203</v>
      </c>
      <c r="F268" s="622">
        <f>IF(B268=0,(E268+K268),IF(VLOOKUP(B268,table_HGL_JCTS,13,FALSE)="T-INTERSECTION",(E268+K268),(IF(VLOOKUP(B268,table_HGL_JCTS,17,FALSE)&lt;X268,(E268+K268),VLOOKUP(B268,table_HGL_JCTS,18,FALSE)))))</f>
        <v>391.35641438578864</v>
      </c>
      <c r="G268" s="624">
        <f>VLOOKUP(C268,table_CIA_JCTS,18)</f>
        <v>48</v>
      </c>
      <c r="H268" s="627">
        <f>VLOOKUP(C268,table_CIA_JCTS,17)</f>
        <v>48.854665188389738</v>
      </c>
      <c r="I268" s="624">
        <f>VLOOKUP(C268,table_CIA_JCTS,21)</f>
        <v>415</v>
      </c>
      <c r="J268" s="622">
        <f>H268/((G268/12)^2*3.1416/4)</f>
        <v>3.8877216377315493</v>
      </c>
      <c r="K268" s="622">
        <f>(J268^2)/64.4</f>
        <v>0.23469533435537387</v>
      </c>
      <c r="L268" s="625">
        <f>(H268/((1.486/cell_NP)*((3.1416*(G268/12)^2)/4)*(G268/48)^(2/3)))^2</f>
        <v>1.156749736431978E-3</v>
      </c>
      <c r="M268" s="622">
        <f>L268*I268</f>
        <v>0.48005114061927084</v>
      </c>
      <c r="N268" s="651" t="s">
        <v>10</v>
      </c>
      <c r="O268" s="652"/>
      <c r="P268" s="622" t="str">
        <f>IF(ISBLANK(O268)=FALSE,(VLOOKUP(O268,table_MINOR,2,FALSE))*(K268)," ")</f>
        <v xml:space="preserve"> </v>
      </c>
      <c r="Q268" s="622">
        <f>SUM(P268:P269)</f>
        <v>0</v>
      </c>
      <c r="R268" s="622">
        <f>Q268+M268</f>
        <v>0.48005114061927084</v>
      </c>
      <c r="S268" s="622">
        <f>IF(O268="T-INTERSECTION",T268,(T268-K268))</f>
        <v>391.60177019205253</v>
      </c>
      <c r="T268" s="622">
        <f>IF(O268="T-INTERSECTION",(R268+F268-K268),(R268+F268))</f>
        <v>391.60177019205253</v>
      </c>
      <c r="U268" s="622">
        <f>VLOOKUP(C268,table_CIA_JCTS,26)</f>
        <v>400.69</v>
      </c>
      <c r="V268" s="622">
        <f>U268-0.5-S268</f>
        <v>8.5882298079474708</v>
      </c>
      <c r="W268" s="622" t="s">
        <v>10</v>
      </c>
      <c r="X268" s="653">
        <f>IF(B268&gt;0,VLOOKUP(B268,table_CIA_JCTS,28)," ")</f>
        <v>385.69</v>
      </c>
    </row>
    <row r="269" spans="2:26" x14ac:dyDescent="0.2">
      <c r="B269" s="633" t="s">
        <v>10</v>
      </c>
      <c r="C269" s="640" t="s">
        <v>10</v>
      </c>
      <c r="D269" s="624" t="s">
        <v>10</v>
      </c>
      <c r="E269" s="622" t="s">
        <v>10</v>
      </c>
      <c r="F269" s="622" t="s">
        <v>10</v>
      </c>
      <c r="G269" s="624" t="s">
        <v>10</v>
      </c>
      <c r="H269" s="627" t="s">
        <v>10</v>
      </c>
      <c r="I269" s="624" t="s">
        <v>10</v>
      </c>
      <c r="J269" s="622" t="s">
        <v>10</v>
      </c>
      <c r="K269" s="651">
        <f>K268</f>
        <v>0.23469533435537387</v>
      </c>
      <c r="L269" s="625" t="s">
        <v>10</v>
      </c>
      <c r="M269" s="622" t="s">
        <v>10</v>
      </c>
      <c r="N269" s="651" t="s">
        <v>10</v>
      </c>
      <c r="O269" s="654" t="s">
        <v>10</v>
      </c>
      <c r="P269" s="655" t="s">
        <v>10</v>
      </c>
      <c r="Q269" s="622" t="s">
        <v>10</v>
      </c>
      <c r="R269" s="622" t="s">
        <v>10</v>
      </c>
      <c r="S269" s="622" t="s">
        <v>10</v>
      </c>
      <c r="T269" s="622" t="s">
        <v>10</v>
      </c>
      <c r="U269" s="622" t="s">
        <v>10</v>
      </c>
      <c r="V269" s="622" t="s">
        <v>10</v>
      </c>
      <c r="W269" s="622" t="s">
        <v>10</v>
      </c>
      <c r="X269" s="653" t="s">
        <v>10</v>
      </c>
    </row>
    <row r="270" spans="2:26" x14ac:dyDescent="0.2">
      <c r="B270" s="633">
        <v>110.3</v>
      </c>
      <c r="C270" s="640">
        <v>110.2</v>
      </c>
      <c r="D270" s="650" t="s">
        <v>10</v>
      </c>
      <c r="E270" s="622">
        <f>IF(B270=0,cell_HGL,IF(VLOOKUP(B270,table_HGL_JCTS,17,FALSE)&lt;X270,X270,VLOOKUP(B270,table_HGL_JCTS,17,FALSE)))</f>
        <v>391.60177019205253</v>
      </c>
      <c r="F270" s="622">
        <f>IF(B270=0,(E270+K270),IF(VLOOKUP(B270,table_HGL_JCTS,13,FALSE)="T-INTERSECTION",(E270+K270),(IF(VLOOKUP(B270,table_HGL_JCTS,17,FALSE)&lt;X270,(E270+K270),VLOOKUP(B270,table_HGL_JCTS,18,FALSE)))))</f>
        <v>391.834392700634</v>
      </c>
      <c r="G270" s="624">
        <f>VLOOKUP(C270,table_CIA_JCTS,18)</f>
        <v>48</v>
      </c>
      <c r="H270" s="627">
        <f>VLOOKUP(C270,table_CIA_JCTS,17)</f>
        <v>48.638444870303239</v>
      </c>
      <c r="I270" s="624">
        <f>VLOOKUP(C270,table_CIA_JCTS,21)</f>
        <v>115</v>
      </c>
      <c r="J270" s="622">
        <f>H270/((G270/12)^2*3.1416/4)</f>
        <v>3.870515411757006</v>
      </c>
      <c r="K270" s="622">
        <f>(J270^2)/64.4</f>
        <v>0.23262250858149852</v>
      </c>
      <c r="L270" s="625">
        <f>(H270/((1.486/cell_NP)*((3.1416*(G270/12)^2)/4)*(G270/48)^(2/3)))^2</f>
        <v>1.1465333396118811E-3</v>
      </c>
      <c r="M270" s="622">
        <f>L270*I270</f>
        <v>0.13185133405536634</v>
      </c>
      <c r="N270" s="651" t="s">
        <v>10</v>
      </c>
      <c r="O270" s="654" t="s">
        <v>129</v>
      </c>
      <c r="P270" s="622">
        <f t="shared" ref="P270" si="1">IF(ISBLANK(O270)=FALSE,(VLOOKUP(O270,table_MINOR,2,FALSE))*(K270)," ")</f>
        <v>0.11631125429074926</v>
      </c>
      <c r="Q270" s="622">
        <f>SUM(P270:P271)</f>
        <v>0.11631125429074926</v>
      </c>
      <c r="R270" s="622">
        <f>Q270+M270</f>
        <v>0.2481625883461156</v>
      </c>
      <c r="S270" s="622">
        <f>IF(O270="T-INTERSECTION",T270,(T270-K270))</f>
        <v>391.84993278039866</v>
      </c>
      <c r="T270" s="622">
        <f>IF(O270="T-INTERSECTION",(R270+F270-K270),(R270+F270))</f>
        <v>392.08255528898013</v>
      </c>
      <c r="U270" s="622">
        <f>VLOOKUP(C270,table_CIA_JCTS,26)</f>
        <v>400.95</v>
      </c>
      <c r="V270" s="622">
        <f>U270-0.5-S270</f>
        <v>8.6000672196013284</v>
      </c>
      <c r="W270" s="622" t="s">
        <v>10</v>
      </c>
      <c r="X270" s="653" t="str">
        <f>IF(B270&gt;0,VLOOKUP(B270,table_CIA_JCTS,28)," ")</f>
        <v xml:space="preserve"> </v>
      </c>
      <c r="Y270" s="1"/>
    </row>
    <row r="271" spans="2:26" x14ac:dyDescent="0.2">
      <c r="B271" s="633" t="s">
        <v>10</v>
      </c>
      <c r="C271" s="640" t="s">
        <v>10</v>
      </c>
      <c r="D271" s="624" t="s">
        <v>10</v>
      </c>
      <c r="E271" s="622" t="s">
        <v>10</v>
      </c>
      <c r="F271" s="622" t="s">
        <v>10</v>
      </c>
      <c r="G271" s="624" t="s">
        <v>10</v>
      </c>
      <c r="H271" s="627" t="s">
        <v>10</v>
      </c>
      <c r="I271" s="624" t="s">
        <v>10</v>
      </c>
      <c r="J271" s="622" t="s">
        <v>10</v>
      </c>
      <c r="K271" s="651">
        <f>K270</f>
        <v>0.23262250858149852</v>
      </c>
      <c r="L271" s="625" t="s">
        <v>10</v>
      </c>
      <c r="M271" s="622" t="s">
        <v>10</v>
      </c>
      <c r="N271" s="651" t="s">
        <v>10</v>
      </c>
      <c r="O271" s="654" t="s">
        <v>10</v>
      </c>
      <c r="P271" s="655" t="s">
        <v>10</v>
      </c>
      <c r="Q271" s="622" t="s">
        <v>10</v>
      </c>
      <c r="R271" s="622" t="s">
        <v>10</v>
      </c>
      <c r="S271" s="622" t="s">
        <v>10</v>
      </c>
      <c r="T271" s="622" t="s">
        <v>10</v>
      </c>
      <c r="U271" s="622" t="s">
        <v>10</v>
      </c>
      <c r="V271" s="622" t="s">
        <v>10</v>
      </c>
      <c r="W271" s="622" t="s">
        <v>10</v>
      </c>
      <c r="X271" s="653" t="s">
        <v>10</v>
      </c>
      <c r="Y271" s="1" t="s">
        <v>10</v>
      </c>
    </row>
    <row r="272" spans="2:26" x14ac:dyDescent="0.2">
      <c r="B272" s="633">
        <v>110.2</v>
      </c>
      <c r="C272" s="640">
        <v>110</v>
      </c>
      <c r="D272" s="650" t="s">
        <v>10</v>
      </c>
      <c r="E272" s="622">
        <f>IF(B272=0,cell_HGL,IF(VLOOKUP(B272,table_HGL_JCTS,17,FALSE)&lt;X272,X272,VLOOKUP(B272,table_HGL_JCTS,17,FALSE)))</f>
        <v>391.84993278039866</v>
      </c>
      <c r="F272" s="622">
        <f>IF(B272=0,(E272+K272),IF(VLOOKUP(B272,table_HGL_JCTS,13,FALSE)="T-INTERSECTION",(E272+K272),(IF(VLOOKUP(B272,table_HGL_JCTS,17,FALSE)&lt;X272,(E272+K272),VLOOKUP(B272,table_HGL_JCTS,18,FALSE)))))</f>
        <v>392.08255528898013</v>
      </c>
      <c r="G272" s="624">
        <f>VLOOKUP(C272,table_CIA_JCTS,18)</f>
        <v>48</v>
      </c>
      <c r="H272" s="627">
        <f>VLOOKUP(C272,table_CIA_JCTS,17)</f>
        <v>47.642193944419994</v>
      </c>
      <c r="I272" s="624">
        <f>VLOOKUP(C272,table_CIA_JCTS,21)</f>
        <v>73</v>
      </c>
      <c r="J272" s="622">
        <f>H272/((G272/12)^2*3.1416/4)</f>
        <v>3.7912364674385657</v>
      </c>
      <c r="K272" s="622">
        <f>(J272^2)/64.4</f>
        <v>0.22319058931733002</v>
      </c>
      <c r="L272" s="625">
        <f>(H272/((1.486/cell_NP)*((3.1416*(G272/12)^2)/4)*(G272/48)^(2/3)))^2</f>
        <v>1.1000459641689838E-3</v>
      </c>
      <c r="M272" s="622">
        <f>L272*I272</f>
        <v>8.030335538433582E-2</v>
      </c>
      <c r="N272" s="651" t="s">
        <v>10</v>
      </c>
      <c r="O272" s="654" t="s">
        <v>129</v>
      </c>
      <c r="P272" s="622">
        <f t="shared" ref="P272" si="2">IF(ISBLANK(O272)=FALSE,(VLOOKUP(O272,table_MINOR,2,FALSE))*(K272)," ")</f>
        <v>0.11159529465866501</v>
      </c>
      <c r="Q272" s="622">
        <f>SUM(P272:P273)</f>
        <v>0.11159529465866501</v>
      </c>
      <c r="R272" s="622">
        <f>Q272+M272</f>
        <v>0.19189865004300083</v>
      </c>
      <c r="S272" s="622">
        <f>IF(O272="T-INTERSECTION",T272,(T272-K272))</f>
        <v>392.05126334970583</v>
      </c>
      <c r="T272" s="622">
        <f>IF(O272="T-INTERSECTION",(R272+F272-K272),(R272+F272))</f>
        <v>392.27445393902315</v>
      </c>
      <c r="U272" s="622">
        <f>VLOOKUP(C272,table_CIA_JCTS,26)</f>
        <v>400.95</v>
      </c>
      <c r="V272" s="622">
        <f>U272-0.5-S272</f>
        <v>8.3987366502941541</v>
      </c>
      <c r="W272" s="622" t="s">
        <v>10</v>
      </c>
      <c r="X272" s="653" t="str">
        <f>IF(B272&gt;0,VLOOKUP(B272,table_CIA_JCTS,28)," ")</f>
        <v xml:space="preserve"> </v>
      </c>
    </row>
    <row r="273" spans="2:25" x14ac:dyDescent="0.2">
      <c r="B273" s="633" t="s">
        <v>10</v>
      </c>
      <c r="C273" s="640" t="s">
        <v>10</v>
      </c>
      <c r="D273" s="624" t="s">
        <v>10</v>
      </c>
      <c r="E273" s="622" t="s">
        <v>10</v>
      </c>
      <c r="F273" s="622" t="s">
        <v>10</v>
      </c>
      <c r="G273" s="624" t="s">
        <v>10</v>
      </c>
      <c r="H273" s="627" t="s">
        <v>10</v>
      </c>
      <c r="I273" s="624" t="s">
        <v>10</v>
      </c>
      <c r="J273" s="622" t="s">
        <v>10</v>
      </c>
      <c r="K273" s="651">
        <f>K272</f>
        <v>0.22319058931733002</v>
      </c>
      <c r="L273" s="625" t="s">
        <v>10</v>
      </c>
      <c r="M273" s="622" t="s">
        <v>10</v>
      </c>
      <c r="N273" s="651" t="s">
        <v>10</v>
      </c>
      <c r="O273" s="654" t="s">
        <v>10</v>
      </c>
      <c r="P273" s="655" t="s">
        <v>10</v>
      </c>
      <c r="Q273" s="622" t="s">
        <v>10</v>
      </c>
      <c r="R273" s="622" t="s">
        <v>10</v>
      </c>
      <c r="S273" s="622" t="s">
        <v>10</v>
      </c>
      <c r="T273" s="622" t="s">
        <v>10</v>
      </c>
      <c r="U273" s="622" t="s">
        <v>10</v>
      </c>
      <c r="V273" s="622" t="s">
        <v>10</v>
      </c>
      <c r="W273" s="622" t="s">
        <v>10</v>
      </c>
      <c r="X273" s="653" t="s">
        <v>10</v>
      </c>
    </row>
    <row r="274" spans="2:25" x14ac:dyDescent="0.2">
      <c r="B274" s="633">
        <v>110</v>
      </c>
      <c r="C274" s="640">
        <v>108.4</v>
      </c>
      <c r="D274" s="650" t="s">
        <v>10</v>
      </c>
      <c r="E274" s="622">
        <f>IF(B274=0,cell_HGL,IF(VLOOKUP(B274,table_HGL_JCTS,17,FALSE)&lt;X274,X274,VLOOKUP(B274,table_HGL_JCTS,17,FALSE)))</f>
        <v>392.05126334970583</v>
      </c>
      <c r="F274" s="622">
        <f>IF(B274=0,(E274+K274),IF(VLOOKUP(B274,table_HGL_JCTS,13,FALSE)="T-INTERSECTION",(E274+K274),(IF(VLOOKUP(B274,table_HGL_JCTS,17,FALSE)&lt;X274,(E274+K274),VLOOKUP(B274,table_HGL_JCTS,18,FALSE)))))</f>
        <v>392.27445393902315</v>
      </c>
      <c r="G274" s="624">
        <f>VLOOKUP(C274,table_CIA_JCTS,18)</f>
        <v>48</v>
      </c>
      <c r="H274" s="627">
        <f>VLOOKUP(C274,table_CIA_JCTS,17)</f>
        <v>44.540512062134972</v>
      </c>
      <c r="I274" s="624">
        <f>VLOOKUP(C274,table_CIA_JCTS,21)</f>
        <v>147</v>
      </c>
      <c r="J274" s="622">
        <f>H274/((G274/12)^2*3.1416/4)</f>
        <v>3.544413042886982</v>
      </c>
      <c r="K274" s="622">
        <f>(J274^2)/64.4</f>
        <v>0.195075525133344</v>
      </c>
      <c r="L274" s="625">
        <f>(H274/((1.486/cell_NP)*((3.1416*(G274/12)^2)/4)*(G274/48)^(2/3)))^2</f>
        <v>9.6147442769630212E-4</v>
      </c>
      <c r="M274" s="622">
        <f>L274*I274</f>
        <v>0.14133674087135642</v>
      </c>
      <c r="N274" s="651" t="s">
        <v>10</v>
      </c>
      <c r="O274" s="652" t="s">
        <v>129</v>
      </c>
      <c r="P274" s="622">
        <f>IF(ISBLANK(O274)=FALSE,(VLOOKUP(O274,table_MINOR,2,FALSE))*(K274)," ")</f>
        <v>9.7537762566672001E-2</v>
      </c>
      <c r="Q274" s="622">
        <f>SUM(P274:P275)</f>
        <v>9.7537762566672001E-2</v>
      </c>
      <c r="R274" s="622">
        <f>Q274+M274</f>
        <v>0.23887450343802841</v>
      </c>
      <c r="S274" s="622">
        <f>IF(O274="T-INTERSECTION",T274,(T274-K274))</f>
        <v>392.31825291732781</v>
      </c>
      <c r="T274" s="622">
        <f>IF(O274="T-INTERSECTION",(R274+F274-K274),(R274+F274))</f>
        <v>392.51332844246116</v>
      </c>
      <c r="U274" s="622">
        <f>VLOOKUP(C274,table_CIA_JCTS,26)</f>
        <v>400.45</v>
      </c>
      <c r="V274" s="622">
        <f>U274-0.5-S274</f>
        <v>7.6317470826721774</v>
      </c>
      <c r="W274" s="622" t="s">
        <v>10</v>
      </c>
      <c r="X274" s="653" t="str">
        <f>IF(B274&gt;0,VLOOKUP(B274,table_CIA_JCTS,28)," ")</f>
        <v xml:space="preserve"> </v>
      </c>
      <c r="Y274" s="1"/>
    </row>
    <row r="275" spans="2:25" x14ac:dyDescent="0.2">
      <c r="B275" s="633" t="s">
        <v>10</v>
      </c>
      <c r="C275" s="640" t="s">
        <v>10</v>
      </c>
      <c r="D275" s="624" t="s">
        <v>10</v>
      </c>
      <c r="E275" s="622" t="s">
        <v>10</v>
      </c>
      <c r="F275" s="622" t="s">
        <v>10</v>
      </c>
      <c r="G275" s="624" t="s">
        <v>10</v>
      </c>
      <c r="H275" s="627" t="s">
        <v>10</v>
      </c>
      <c r="I275" s="624" t="s">
        <v>10</v>
      </c>
      <c r="J275" s="622" t="s">
        <v>10</v>
      </c>
      <c r="K275" s="651">
        <f>K274</f>
        <v>0.195075525133344</v>
      </c>
      <c r="L275" s="625" t="s">
        <v>10</v>
      </c>
      <c r="M275" s="622" t="s">
        <v>10</v>
      </c>
      <c r="N275" s="651" t="s">
        <v>10</v>
      </c>
      <c r="O275" s="652"/>
      <c r="P275" s="622"/>
      <c r="Q275" s="622" t="s">
        <v>10</v>
      </c>
      <c r="R275" s="622" t="s">
        <v>10</v>
      </c>
      <c r="S275" s="622" t="s">
        <v>10</v>
      </c>
      <c r="T275" s="622" t="s">
        <v>10</v>
      </c>
      <c r="U275" s="622" t="s">
        <v>10</v>
      </c>
      <c r="V275" s="622" t="s">
        <v>10</v>
      </c>
      <c r="W275" s="622" t="s">
        <v>10</v>
      </c>
      <c r="X275" s="653" t="s">
        <v>10</v>
      </c>
      <c r="Y275" s="1"/>
    </row>
    <row r="276" spans="2:25" x14ac:dyDescent="0.2">
      <c r="B276" s="633">
        <v>108.4</v>
      </c>
      <c r="C276" s="640">
        <v>107</v>
      </c>
      <c r="D276" s="650" t="s">
        <v>10</v>
      </c>
      <c r="E276" s="622">
        <f>IF(B276=0,cell_HGL,IF(VLOOKUP(B276,table_HGL_JCTS,17,FALSE)&lt;X276,X276,VLOOKUP(B276,table_HGL_JCTS,17,FALSE)))</f>
        <v>392.31825291732781</v>
      </c>
      <c r="F276" s="622">
        <f>IF(B276=0,(E276+K276),IF(VLOOKUP(B276,table_HGL_JCTS,13,FALSE)="T-INTERSECTION",(E276+K276),(IF(VLOOKUP(B276,table_HGL_JCTS,17,FALSE)&lt;X276,(E276+K276),VLOOKUP(B276,table_HGL_JCTS,18,FALSE)))))</f>
        <v>392.51332844246116</v>
      </c>
      <c r="G276" s="624">
        <f>VLOOKUP(C276,table_CIA_JCTS,18)</f>
        <v>48</v>
      </c>
      <c r="H276" s="627">
        <f>VLOOKUP(C276,table_CIA_JCTS,17)</f>
        <v>42.55331844720537</v>
      </c>
      <c r="I276" s="624">
        <f>VLOOKUP(C276,table_CIA_JCTS,21)</f>
        <v>551</v>
      </c>
      <c r="J276" s="622">
        <f>H276/((G276/12)^2*3.1416/4)</f>
        <v>3.3862775693281586</v>
      </c>
      <c r="K276" s="622">
        <f>(J276^2)/64.4</f>
        <v>0.1780570772753885</v>
      </c>
      <c r="L276" s="625">
        <f>(H276/((1.486/cell_NP)*((3.1416*(G276/12)^2)/4)*(G276/48)^(2/3)))^2</f>
        <v>8.7759510760567405E-4</v>
      </c>
      <c r="M276" s="622">
        <f>L276*I276</f>
        <v>0.4835549042907264</v>
      </c>
      <c r="N276" s="651" t="s">
        <v>10</v>
      </c>
      <c r="O276" s="652" t="s">
        <v>156</v>
      </c>
      <c r="P276" s="622">
        <f>IF(ISBLANK(O276)=FALSE,(VLOOKUP(O276,table_MINOR,2,FALSE))*(K276)," ")</f>
        <v>0.13354280795654139</v>
      </c>
      <c r="Q276" s="622">
        <f>SUM(P276)</f>
        <v>0.13354280795654139</v>
      </c>
      <c r="R276" s="622">
        <f>Q276+M276</f>
        <v>0.61709771224726784</v>
      </c>
      <c r="S276" s="622">
        <f>IF(O276="T-INTERSECTION",T276,(T276-K276))</f>
        <v>392.95236907743299</v>
      </c>
      <c r="T276" s="622">
        <f>IF(O276="T-INTERSECTION",(R276+F276-K276),(R276+F276))</f>
        <v>393.1304261547084</v>
      </c>
      <c r="U276" s="622">
        <f>VLOOKUP(C276,table_CIA_JCTS,26)</f>
        <v>401.98</v>
      </c>
      <c r="V276" s="622">
        <f>U276-0.5-S276</f>
        <v>8.5276309225670275</v>
      </c>
      <c r="W276" s="622" t="s">
        <v>10</v>
      </c>
      <c r="X276" s="653" t="str">
        <f>IF(B276&gt;0,VLOOKUP(B276,table_CIA_JCTS,28)," ")</f>
        <v xml:space="preserve"> </v>
      </c>
      <c r="Y276" s="1"/>
    </row>
    <row r="277" spans="2:25" x14ac:dyDescent="0.2">
      <c r="B277" s="633" t="s">
        <v>10</v>
      </c>
      <c r="C277" s="640" t="s">
        <v>10</v>
      </c>
      <c r="D277" s="624" t="s">
        <v>10</v>
      </c>
      <c r="E277" s="622" t="s">
        <v>10</v>
      </c>
      <c r="F277" s="622" t="s">
        <v>10</v>
      </c>
      <c r="G277" s="624" t="s">
        <v>10</v>
      </c>
      <c r="H277" s="627" t="s">
        <v>10</v>
      </c>
      <c r="I277" s="624" t="s">
        <v>10</v>
      </c>
      <c r="J277" s="622" t="s">
        <v>10</v>
      </c>
      <c r="K277" s="651" t="s">
        <v>10</v>
      </c>
      <c r="L277" s="625" t="s">
        <v>10</v>
      </c>
      <c r="M277" s="622" t="s">
        <v>10</v>
      </c>
      <c r="N277" s="651" t="s">
        <v>10</v>
      </c>
      <c r="O277" s="654" t="s">
        <v>176</v>
      </c>
      <c r="P277" s="622" t="s">
        <v>10</v>
      </c>
      <c r="Q277" s="622" t="s">
        <v>10</v>
      </c>
      <c r="R277" s="622" t="s">
        <v>10</v>
      </c>
      <c r="S277" s="622" t="s">
        <v>10</v>
      </c>
      <c r="T277" s="622" t="s">
        <v>10</v>
      </c>
      <c r="U277" s="622" t="s">
        <v>10</v>
      </c>
      <c r="V277" s="622" t="s">
        <v>10</v>
      </c>
      <c r="W277" s="622" t="s">
        <v>10</v>
      </c>
      <c r="X277" s="653" t="s">
        <v>10</v>
      </c>
      <c r="Y277" s="1"/>
    </row>
    <row r="278" spans="2:25" x14ac:dyDescent="0.2">
      <c r="B278" s="633">
        <v>107</v>
      </c>
      <c r="C278" s="640">
        <v>101.1</v>
      </c>
      <c r="D278" s="650" t="s">
        <v>10</v>
      </c>
      <c r="E278" s="622">
        <f>IF(B278=0,cell_HGL,IF(VLOOKUP(B278,table_HGL_JCTS,17,FALSE)&lt;X278,X278,VLOOKUP(B278,table_HGL_JCTS,17,FALSE)))</f>
        <v>392.95236907743299</v>
      </c>
      <c r="F278" s="622">
        <f>IF(B278=0,(E278+K278),IF(VLOOKUP(B278,table_HGL_JCTS,13,FALSE)="T-INTERSECTION",(E278+K278),(IF(VLOOKUP(B278,table_HGL_JCTS,17,FALSE)&lt;X278,(E278+K278),VLOOKUP(B278,table_HGL_JCTS,18,FALSE)))))</f>
        <v>393.1304261547084</v>
      </c>
      <c r="G278" s="624">
        <f>VLOOKUP(C278,table_CIA_JCTS,18)</f>
        <v>24</v>
      </c>
      <c r="H278" s="627">
        <f>VLOOKUP(C278,table_CIA_JCTS,17)</f>
        <v>8.589719126583466</v>
      </c>
      <c r="I278" s="624">
        <f>VLOOKUP(C278,table_CIA_JCTS,21)</f>
        <v>1716</v>
      </c>
      <c r="J278" s="622">
        <f>H278/((G278/12)^2*3.1416/4)</f>
        <v>2.7341861238169933</v>
      </c>
      <c r="K278" s="622">
        <f>(J278^2)/64.4</f>
        <v>0.11608344347318934</v>
      </c>
      <c r="L278" s="625">
        <f>(H278/((1.486/cell_NP)*((3.1416*(G278/12)^2)/4)*(G278/48)^(2/3)))^2</f>
        <v>1.4417121653755895E-3</v>
      </c>
      <c r="M278" s="622">
        <f>L278*I278</f>
        <v>2.4739780757845113</v>
      </c>
      <c r="N278" s="651" t="s">
        <v>10</v>
      </c>
      <c r="O278" s="652" t="s">
        <v>131</v>
      </c>
      <c r="P278" s="622">
        <f t="shared" ref="P278:P284" si="3">IF(ISBLANK(O278)=FALSE,(VLOOKUP(O278,table_MINOR,2,FALSE))*(K278)," ")</f>
        <v>2.9020860868297336E-2</v>
      </c>
      <c r="Q278" s="622">
        <f>SUM(P278:P285)</f>
        <v>0.23797105912003816</v>
      </c>
      <c r="R278" s="622">
        <f>Q278+M278</f>
        <v>2.7119491349045495</v>
      </c>
      <c r="S278" s="622">
        <f>IF(O278="T-INTERSECTION",T278,(T278-K278))</f>
        <v>395.72629184613976</v>
      </c>
      <c r="T278" s="622">
        <f>IF(O278="T-INTERSECTION",(R278+F278-K278),(R278+F278))</f>
        <v>395.84237528961296</v>
      </c>
      <c r="U278" s="622">
        <f>VLOOKUP(C278,table_CIA_JCTS,26)</f>
        <v>401.51</v>
      </c>
      <c r="V278" s="622">
        <f>U278-0.5-S278</f>
        <v>5.283708153860232</v>
      </c>
      <c r="W278" s="622" t="s">
        <v>10</v>
      </c>
      <c r="X278" s="653" t="str">
        <f>IF(B278&gt;0,VLOOKUP(B278,table_CIA_JCTS,28)," ")</f>
        <v xml:space="preserve"> </v>
      </c>
    </row>
    <row r="279" spans="2:25" x14ac:dyDescent="0.2">
      <c r="B279" s="633" t="s">
        <v>10</v>
      </c>
      <c r="C279" s="640" t="s">
        <v>10</v>
      </c>
      <c r="D279" s="624" t="s">
        <v>10</v>
      </c>
      <c r="E279" s="622" t="s">
        <v>10</v>
      </c>
      <c r="F279" s="622" t="s">
        <v>10</v>
      </c>
      <c r="G279" s="624" t="s">
        <v>10</v>
      </c>
      <c r="H279" s="627" t="s">
        <v>10</v>
      </c>
      <c r="I279" s="624" t="s">
        <v>10</v>
      </c>
      <c r="J279" s="622" t="s">
        <v>10</v>
      </c>
      <c r="K279" s="651">
        <f>K278</f>
        <v>0.11608344347318934</v>
      </c>
      <c r="L279" s="625" t="s">
        <v>10</v>
      </c>
      <c r="M279" s="622" t="s">
        <v>10</v>
      </c>
      <c r="N279" s="651" t="s">
        <v>10</v>
      </c>
      <c r="O279" s="654" t="s">
        <v>131</v>
      </c>
      <c r="P279" s="622">
        <f t="shared" si="3"/>
        <v>2.9020860868297336E-2</v>
      </c>
      <c r="Q279" s="622" t="s">
        <v>10</v>
      </c>
      <c r="R279" s="622" t="s">
        <v>10</v>
      </c>
      <c r="S279" s="622" t="s">
        <v>10</v>
      </c>
      <c r="T279" s="622" t="s">
        <v>10</v>
      </c>
      <c r="U279" s="622" t="s">
        <v>10</v>
      </c>
      <c r="V279" s="622" t="s">
        <v>10</v>
      </c>
      <c r="W279" s="622" t="s">
        <v>10</v>
      </c>
      <c r="X279" s="653" t="s">
        <v>10</v>
      </c>
    </row>
    <row r="280" spans="2:25" x14ac:dyDescent="0.2">
      <c r="B280" s="633" t="s">
        <v>10</v>
      </c>
      <c r="C280" s="640" t="s">
        <v>10</v>
      </c>
      <c r="D280" s="624" t="s">
        <v>10</v>
      </c>
      <c r="E280" s="622" t="s">
        <v>10</v>
      </c>
      <c r="F280" s="622" t="s">
        <v>10</v>
      </c>
      <c r="G280" s="624" t="s">
        <v>10</v>
      </c>
      <c r="H280" s="627" t="s">
        <v>10</v>
      </c>
      <c r="I280" s="624" t="s">
        <v>10</v>
      </c>
      <c r="J280" s="622" t="s">
        <v>10</v>
      </c>
      <c r="K280" s="651">
        <f>K279</f>
        <v>0.11608344347318934</v>
      </c>
      <c r="L280" s="625" t="s">
        <v>10</v>
      </c>
      <c r="M280" s="622" t="s">
        <v>10</v>
      </c>
      <c r="N280" s="651" t="s">
        <v>10</v>
      </c>
      <c r="O280" s="654" t="s">
        <v>131</v>
      </c>
      <c r="P280" s="622">
        <f t="shared" si="3"/>
        <v>2.9020860868297336E-2</v>
      </c>
      <c r="Q280" s="622" t="s">
        <v>10</v>
      </c>
      <c r="R280" s="622" t="s">
        <v>10</v>
      </c>
      <c r="S280" s="622" t="s">
        <v>10</v>
      </c>
      <c r="T280" s="622" t="s">
        <v>10</v>
      </c>
      <c r="U280" s="622" t="s">
        <v>10</v>
      </c>
      <c r="V280" s="622" t="s">
        <v>10</v>
      </c>
      <c r="W280" s="622" t="s">
        <v>10</v>
      </c>
      <c r="X280" s="653" t="s">
        <v>10</v>
      </c>
    </row>
    <row r="281" spans="2:25" x14ac:dyDescent="0.2">
      <c r="B281" s="633" t="s">
        <v>10</v>
      </c>
      <c r="C281" s="640" t="s">
        <v>10</v>
      </c>
      <c r="D281" s="624" t="s">
        <v>10</v>
      </c>
      <c r="E281" s="622" t="s">
        <v>10</v>
      </c>
      <c r="F281" s="622" t="s">
        <v>10</v>
      </c>
      <c r="G281" s="624" t="s">
        <v>10</v>
      </c>
      <c r="H281" s="627" t="s">
        <v>10</v>
      </c>
      <c r="I281" s="624" t="s">
        <v>10</v>
      </c>
      <c r="J281" s="622" t="s">
        <v>10</v>
      </c>
      <c r="K281" s="651">
        <f>K280</f>
        <v>0.11608344347318934</v>
      </c>
      <c r="L281" s="625" t="s">
        <v>10</v>
      </c>
      <c r="M281" s="622" t="s">
        <v>10</v>
      </c>
      <c r="N281" s="651" t="s">
        <v>10</v>
      </c>
      <c r="O281" s="654" t="s">
        <v>131</v>
      </c>
      <c r="P281" s="622">
        <f t="shared" si="3"/>
        <v>2.9020860868297336E-2</v>
      </c>
      <c r="Q281" s="622" t="s">
        <v>10</v>
      </c>
      <c r="R281" s="622" t="s">
        <v>10</v>
      </c>
      <c r="S281" s="622" t="s">
        <v>10</v>
      </c>
      <c r="T281" s="622" t="s">
        <v>10</v>
      </c>
      <c r="U281" s="622" t="s">
        <v>10</v>
      </c>
      <c r="V281" s="622" t="s">
        <v>10</v>
      </c>
      <c r="W281" s="622" t="s">
        <v>10</v>
      </c>
      <c r="X281" s="653" t="s">
        <v>10</v>
      </c>
    </row>
    <row r="282" spans="2:25" x14ac:dyDescent="0.2">
      <c r="B282" s="633" t="s">
        <v>10</v>
      </c>
      <c r="C282" s="640" t="s">
        <v>10</v>
      </c>
      <c r="D282" s="624" t="s">
        <v>10</v>
      </c>
      <c r="E282" s="622" t="s">
        <v>10</v>
      </c>
      <c r="F282" s="622" t="s">
        <v>10</v>
      </c>
      <c r="G282" s="624" t="s">
        <v>10</v>
      </c>
      <c r="H282" s="627" t="s">
        <v>10</v>
      </c>
      <c r="I282" s="624" t="s">
        <v>10</v>
      </c>
      <c r="J282" s="622" t="s">
        <v>10</v>
      </c>
      <c r="K282" s="651">
        <f>K281</f>
        <v>0.11608344347318934</v>
      </c>
      <c r="L282" s="625" t="s">
        <v>10</v>
      </c>
      <c r="M282" s="622" t="s">
        <v>10</v>
      </c>
      <c r="N282" s="651" t="s">
        <v>10</v>
      </c>
      <c r="O282" s="654" t="s">
        <v>131</v>
      </c>
      <c r="P282" s="622">
        <f t="shared" si="3"/>
        <v>2.9020860868297336E-2</v>
      </c>
      <c r="Q282" s="622" t="s">
        <v>10</v>
      </c>
      <c r="R282" s="622" t="s">
        <v>10</v>
      </c>
      <c r="S282" s="622" t="s">
        <v>10</v>
      </c>
      <c r="T282" s="622" t="s">
        <v>10</v>
      </c>
      <c r="U282" s="622" t="s">
        <v>10</v>
      </c>
      <c r="V282" s="622" t="s">
        <v>10</v>
      </c>
      <c r="W282" s="622" t="s">
        <v>10</v>
      </c>
      <c r="X282" s="653" t="s">
        <v>10</v>
      </c>
    </row>
    <row r="283" spans="2:25" x14ac:dyDescent="0.2">
      <c r="B283" s="633" t="s">
        <v>10</v>
      </c>
      <c r="C283" s="640" t="s">
        <v>10</v>
      </c>
      <c r="D283" s="624" t="s">
        <v>10</v>
      </c>
      <c r="E283" s="622" t="s">
        <v>10</v>
      </c>
      <c r="F283" s="622" t="s">
        <v>10</v>
      </c>
      <c r="G283" s="624" t="s">
        <v>10</v>
      </c>
      <c r="H283" s="627" t="s">
        <v>10</v>
      </c>
      <c r="I283" s="624" t="s">
        <v>10</v>
      </c>
      <c r="J283" s="622" t="s">
        <v>10</v>
      </c>
      <c r="K283" s="651">
        <f>K281</f>
        <v>0.11608344347318934</v>
      </c>
      <c r="L283" s="625" t="s">
        <v>10</v>
      </c>
      <c r="M283" s="622" t="s">
        <v>10</v>
      </c>
      <c r="N283" s="651" t="s">
        <v>10</v>
      </c>
      <c r="O283" s="654" t="s">
        <v>129</v>
      </c>
      <c r="P283" s="622">
        <f t="shared" si="3"/>
        <v>5.8041721736594672E-2</v>
      </c>
      <c r="Q283" s="622" t="s">
        <v>10</v>
      </c>
      <c r="R283" s="622" t="s">
        <v>10</v>
      </c>
      <c r="S283" s="622" t="s">
        <v>10</v>
      </c>
      <c r="T283" s="622" t="s">
        <v>10</v>
      </c>
      <c r="U283" s="622" t="s">
        <v>10</v>
      </c>
      <c r="V283" s="622" t="s">
        <v>10</v>
      </c>
      <c r="W283" s="622" t="s">
        <v>10</v>
      </c>
      <c r="X283" s="653" t="s">
        <v>10</v>
      </c>
    </row>
    <row r="284" spans="2:25" x14ac:dyDescent="0.2">
      <c r="B284" s="633" t="s">
        <v>10</v>
      </c>
      <c r="C284" s="640" t="s">
        <v>10</v>
      </c>
      <c r="D284" s="624" t="s">
        <v>10</v>
      </c>
      <c r="E284" s="622" t="s">
        <v>10</v>
      </c>
      <c r="F284" s="622" t="s">
        <v>10</v>
      </c>
      <c r="G284" s="624" t="s">
        <v>10</v>
      </c>
      <c r="H284" s="627" t="s">
        <v>10</v>
      </c>
      <c r="I284" s="624" t="s">
        <v>10</v>
      </c>
      <c r="J284" s="622" t="s">
        <v>10</v>
      </c>
      <c r="K284" s="651">
        <f>K283</f>
        <v>0.11608344347318934</v>
      </c>
      <c r="L284" s="625" t="s">
        <v>10</v>
      </c>
      <c r="M284" s="622" t="s">
        <v>10</v>
      </c>
      <c r="N284" s="651" t="s">
        <v>10</v>
      </c>
      <c r="O284" s="654" t="s">
        <v>130</v>
      </c>
      <c r="P284" s="622">
        <f t="shared" si="3"/>
        <v>3.4825033041956804E-2</v>
      </c>
      <c r="Q284" s="622" t="s">
        <v>10</v>
      </c>
      <c r="R284" s="622" t="s">
        <v>10</v>
      </c>
      <c r="S284" s="622" t="s">
        <v>10</v>
      </c>
      <c r="T284" s="622" t="s">
        <v>10</v>
      </c>
      <c r="U284" s="622" t="s">
        <v>10</v>
      </c>
      <c r="V284" s="622" t="s">
        <v>10</v>
      </c>
      <c r="W284" s="622" t="s">
        <v>10</v>
      </c>
      <c r="X284" s="653" t="s">
        <v>10</v>
      </c>
    </row>
    <row r="285" spans="2:25" x14ac:dyDescent="0.2">
      <c r="B285" s="633" t="s">
        <v>10</v>
      </c>
      <c r="C285" s="640" t="s">
        <v>10</v>
      </c>
      <c r="D285" s="624" t="s">
        <v>10</v>
      </c>
      <c r="E285" s="622" t="s">
        <v>10</v>
      </c>
      <c r="F285" s="622" t="s">
        <v>10</v>
      </c>
      <c r="G285" s="624" t="s">
        <v>10</v>
      </c>
      <c r="H285" s="627" t="s">
        <v>10</v>
      </c>
      <c r="I285" s="624" t="s">
        <v>10</v>
      </c>
      <c r="J285" s="622" t="s">
        <v>10</v>
      </c>
      <c r="K285" s="651">
        <f>K283</f>
        <v>0.11608344347318934</v>
      </c>
      <c r="L285" s="625" t="s">
        <v>10</v>
      </c>
      <c r="M285" s="622" t="s">
        <v>10</v>
      </c>
      <c r="N285" s="651" t="s">
        <v>10</v>
      </c>
      <c r="O285" s="654" t="s">
        <v>10</v>
      </c>
      <c r="P285" s="655" t="s">
        <v>10</v>
      </c>
      <c r="Q285" s="622" t="s">
        <v>10</v>
      </c>
      <c r="R285" s="622" t="s">
        <v>10</v>
      </c>
      <c r="S285" s="622" t="s">
        <v>10</v>
      </c>
      <c r="T285" s="622" t="s">
        <v>10</v>
      </c>
      <c r="U285" s="622" t="s">
        <v>10</v>
      </c>
      <c r="V285" s="622" t="s">
        <v>10</v>
      </c>
      <c r="W285" s="622" t="s">
        <v>10</v>
      </c>
      <c r="X285" s="653" t="s">
        <v>10</v>
      </c>
    </row>
    <row r="286" spans="2:25" x14ac:dyDescent="0.2">
      <c r="B286" s="633">
        <v>101.1</v>
      </c>
      <c r="C286" s="640">
        <v>101</v>
      </c>
      <c r="D286" s="650" t="s">
        <v>10</v>
      </c>
      <c r="E286" s="622">
        <f>IF(B286=0,cell_HGL,IF(VLOOKUP(B286,table_HGL_JCTS,17,FALSE)&lt;X286,X286,VLOOKUP(B286,table_HGL_JCTS,17,FALSE)))</f>
        <v>395.72629184613976</v>
      </c>
      <c r="F286" s="622">
        <f>IF(B286=0,(E286+K286),IF(VLOOKUP(B286,table_HGL_JCTS,13,FALSE)="T-INTERSECTION",(E286+K286),(IF(VLOOKUP(B286,table_HGL_JCTS,17,FALSE)&lt;X286,(E286+K286),VLOOKUP(B286,table_HGL_JCTS,18,FALSE)))))</f>
        <v>395.84237528961296</v>
      </c>
      <c r="G286" s="624">
        <f>VLOOKUP(C286,table_CIA_JCTS,18)</f>
        <v>18</v>
      </c>
      <c r="H286" s="627">
        <f>VLOOKUP(C286,table_CIA_JCTS,17)</f>
        <v>4.1373706904438992</v>
      </c>
      <c r="I286" s="624">
        <f>VLOOKUP(C286,table_CIA_JCTS,21)</f>
        <v>626</v>
      </c>
      <c r="J286" s="622">
        <f>H286/((G286/12)^2*3.1416/4)</f>
        <v>2.3412674025656561</v>
      </c>
      <c r="K286" s="622">
        <f>(J286^2)/64.4</f>
        <v>8.5116972831002072E-2</v>
      </c>
      <c r="L286" s="625">
        <f>(H286/((1.486/cell_NP)*((3.1416*(G286/12)^2)/4)*(G286/48)^(2/3)))^2</f>
        <v>1.5513487226833805E-3</v>
      </c>
      <c r="M286" s="622">
        <f>L286*I286</f>
        <v>0.97114430039979616</v>
      </c>
      <c r="N286" s="651" t="s">
        <v>10</v>
      </c>
      <c r="O286" s="654" t="s">
        <v>10</v>
      </c>
      <c r="P286" s="655" t="s">
        <v>10</v>
      </c>
      <c r="Q286" s="622">
        <f>SUM(P286)</f>
        <v>0</v>
      </c>
      <c r="R286" s="622">
        <f>Q286+M286</f>
        <v>0.97114430039979616</v>
      </c>
      <c r="S286" s="622">
        <f>IF(O286="T-INTERSECTION",T286,(T286-K286))</f>
        <v>396.72840261718176</v>
      </c>
      <c r="T286" s="622">
        <f>IF(O286="T-INTERSECTION",(R286+F286-K286),(R286+F286))</f>
        <v>396.81351959001273</v>
      </c>
      <c r="U286" s="622">
        <f>VLOOKUP(C286,table_CIA_JCTS,26)</f>
        <v>401.35</v>
      </c>
      <c r="V286" s="622">
        <f>U286-0.5-S286</f>
        <v>4.1215973828182655</v>
      </c>
      <c r="W286" s="622" t="s">
        <v>10</v>
      </c>
      <c r="X286" s="653" t="str">
        <f>IF(B286&gt;0,VLOOKUP(B286,table_CIA_JCTS,28)," ")</f>
        <v xml:space="preserve"> </v>
      </c>
    </row>
    <row r="287" spans="2:25" x14ac:dyDescent="0.2">
      <c r="B287" s="633" t="s">
        <v>10</v>
      </c>
      <c r="C287" s="640" t="s">
        <v>10</v>
      </c>
      <c r="D287" s="624" t="s">
        <v>10</v>
      </c>
      <c r="E287" s="622" t="s">
        <v>10</v>
      </c>
      <c r="F287" s="622" t="s">
        <v>10</v>
      </c>
      <c r="G287" s="624" t="s">
        <v>10</v>
      </c>
      <c r="H287" s="627" t="s">
        <v>10</v>
      </c>
      <c r="I287" s="624" t="s">
        <v>10</v>
      </c>
      <c r="J287" s="622" t="s">
        <v>10</v>
      </c>
      <c r="K287" s="651" t="s">
        <v>10</v>
      </c>
      <c r="L287" s="625" t="s">
        <v>10</v>
      </c>
      <c r="M287" s="622" t="s">
        <v>10</v>
      </c>
      <c r="N287" s="651" t="s">
        <v>10</v>
      </c>
      <c r="O287" s="654" t="s">
        <v>176</v>
      </c>
      <c r="P287" s="622" t="s">
        <v>10</v>
      </c>
      <c r="Q287" s="622" t="s">
        <v>10</v>
      </c>
      <c r="R287" s="622" t="s">
        <v>10</v>
      </c>
      <c r="S287" s="622" t="s">
        <v>10</v>
      </c>
      <c r="T287" s="622" t="s">
        <v>10</v>
      </c>
      <c r="U287" s="622" t="s">
        <v>10</v>
      </c>
      <c r="V287" s="622" t="s">
        <v>10</v>
      </c>
      <c r="W287" s="622" t="s">
        <v>10</v>
      </c>
      <c r="X287" s="653" t="s">
        <v>10</v>
      </c>
    </row>
    <row r="288" spans="2:25" x14ac:dyDescent="0.2">
      <c r="B288" s="633" t="s">
        <v>10</v>
      </c>
      <c r="C288" s="640" t="s">
        <v>10</v>
      </c>
      <c r="D288" s="624" t="s">
        <v>10</v>
      </c>
      <c r="E288" s="622" t="s">
        <v>10</v>
      </c>
      <c r="F288" s="622" t="s">
        <v>10</v>
      </c>
      <c r="G288" s="624" t="s">
        <v>10</v>
      </c>
      <c r="H288" s="627" t="s">
        <v>10</v>
      </c>
      <c r="I288" s="624" t="s">
        <v>10</v>
      </c>
      <c r="J288" s="622" t="s">
        <v>10</v>
      </c>
      <c r="K288" s="651" t="s">
        <v>10</v>
      </c>
      <c r="L288" s="625" t="s">
        <v>10</v>
      </c>
      <c r="M288" s="622" t="s">
        <v>10</v>
      </c>
      <c r="N288" s="651" t="s">
        <v>10</v>
      </c>
      <c r="O288" s="654" t="s">
        <v>176</v>
      </c>
      <c r="P288" s="622" t="s">
        <v>10</v>
      </c>
      <c r="Q288" s="622" t="s">
        <v>10</v>
      </c>
      <c r="R288" s="622" t="s">
        <v>10</v>
      </c>
      <c r="S288" s="622" t="s">
        <v>10</v>
      </c>
      <c r="T288" s="622" t="s">
        <v>10</v>
      </c>
      <c r="U288" s="622" t="s">
        <v>10</v>
      </c>
      <c r="V288" s="622" t="s">
        <v>10</v>
      </c>
      <c r="W288" s="622" t="s">
        <v>10</v>
      </c>
      <c r="X288" s="653" t="s">
        <v>10</v>
      </c>
      <c r="Y288" s="1"/>
    </row>
    <row r="289" spans="2:25" x14ac:dyDescent="0.2">
      <c r="B289" s="633" t="s">
        <v>10</v>
      </c>
      <c r="C289" s="640" t="s">
        <v>10</v>
      </c>
      <c r="D289" s="624" t="s">
        <v>10</v>
      </c>
      <c r="E289" s="622" t="s">
        <v>10</v>
      </c>
      <c r="F289" s="622" t="s">
        <v>10</v>
      </c>
      <c r="G289" s="624" t="s">
        <v>10</v>
      </c>
      <c r="H289" s="627" t="s">
        <v>10</v>
      </c>
      <c r="I289" s="624" t="s">
        <v>10</v>
      </c>
      <c r="J289" s="622" t="s">
        <v>10</v>
      </c>
      <c r="K289" s="651" t="s">
        <v>10</v>
      </c>
      <c r="L289" s="625" t="s">
        <v>10</v>
      </c>
      <c r="M289" s="622" t="s">
        <v>10</v>
      </c>
      <c r="N289" s="651" t="s">
        <v>10</v>
      </c>
      <c r="O289" s="654" t="s">
        <v>176</v>
      </c>
      <c r="P289" s="622" t="s">
        <v>10</v>
      </c>
      <c r="Q289" s="622" t="s">
        <v>10</v>
      </c>
      <c r="R289" s="622" t="s">
        <v>10</v>
      </c>
      <c r="S289" s="622" t="s">
        <v>10</v>
      </c>
      <c r="T289" s="622" t="s">
        <v>10</v>
      </c>
      <c r="U289" s="622" t="s">
        <v>10</v>
      </c>
      <c r="V289" s="622" t="s">
        <v>10</v>
      </c>
      <c r="W289" s="622" t="s">
        <v>10</v>
      </c>
      <c r="X289" s="653" t="s">
        <v>10</v>
      </c>
      <c r="Y289" s="1"/>
    </row>
    <row r="290" spans="2:25" x14ac:dyDescent="0.2">
      <c r="B290" s="633">
        <v>107</v>
      </c>
      <c r="C290" s="640">
        <v>104</v>
      </c>
      <c r="D290" s="650" t="s">
        <v>10</v>
      </c>
      <c r="E290" s="622">
        <f>IF(B290=0,cell_HGL,IF(VLOOKUP(B290,table_HGL_JCTS,17,FALSE)&lt;X290,X290,VLOOKUP(B290,table_HGL_JCTS,17,FALSE)))</f>
        <v>392.95236907743299</v>
      </c>
      <c r="F290" s="622">
        <f>IF(B290=0,(E290+K290),IF(VLOOKUP(B290,table_HGL_JCTS,13,FALSE)="T-INTERSECTION",(E290+K290),(IF(VLOOKUP(B290,table_HGL_JCTS,17,FALSE)&lt;X290,(E290+K290),VLOOKUP(B290,table_HGL_JCTS,18,FALSE)))))</f>
        <v>393.1304261547084</v>
      </c>
      <c r="G290" s="624">
        <f>VLOOKUP(C290,table_CIA_JCTS,18)</f>
        <v>36</v>
      </c>
      <c r="H290" s="627">
        <f>VLOOKUP(C290,table_CIA_JCTS,17)</f>
        <v>22.059951294200136</v>
      </c>
      <c r="I290" s="624">
        <f>VLOOKUP(C290,table_CIA_JCTS,21)</f>
        <v>482</v>
      </c>
      <c r="J290" s="622">
        <f>H290/((G290/12)^2*3.1416/4)</f>
        <v>3.1208374068698377</v>
      </c>
      <c r="K290" s="622">
        <f>(J290^2)/64.4</f>
        <v>0.15123643043661572</v>
      </c>
      <c r="L290" s="625">
        <f>(H290/((1.486/cell_NP)*((3.1416*(G290/12)^2)/4)*(G290/48)^(2/3)))^2</f>
        <v>1.0938968043961387E-3</v>
      </c>
      <c r="M290" s="622">
        <f>L290*I290</f>
        <v>0.5272582597189388</v>
      </c>
      <c r="N290" s="651" t="s">
        <v>10</v>
      </c>
      <c r="O290" s="652" t="s">
        <v>156</v>
      </c>
      <c r="P290" s="622">
        <f>IF(ISBLANK(O290)=FALSE,(VLOOKUP(O290,table_MINOR,2,FALSE))*(K290)," ")</f>
        <v>0.11342732282746179</v>
      </c>
      <c r="Q290" s="622">
        <f>SUM(P290:P291)</f>
        <v>0.11342732282746179</v>
      </c>
      <c r="R290" s="622">
        <f>Q290+M290</f>
        <v>0.64068558254640062</v>
      </c>
      <c r="S290" s="622">
        <f>IF(O290="T-INTERSECTION",T290,(T290-K290))</f>
        <v>393.61987530681819</v>
      </c>
      <c r="T290" s="622">
        <f>IF(O290="T-INTERSECTION",(R290+F290-K290),(R290+F290))</f>
        <v>393.77111173725478</v>
      </c>
      <c r="U290" s="622">
        <f>VLOOKUP(C290,table_CIA_JCTS,26)</f>
        <v>400.59</v>
      </c>
      <c r="V290" s="622">
        <f>U290-0.5-S290</f>
        <v>6.4701246931817877</v>
      </c>
      <c r="W290" s="622" t="s">
        <v>10</v>
      </c>
      <c r="X290" s="653" t="str">
        <f>IF(B290&gt;0,VLOOKUP(B290,table_CIA_JCTS,28)," ")</f>
        <v xml:space="preserve"> </v>
      </c>
      <c r="Y290"/>
    </row>
    <row r="291" spans="2:25" x14ac:dyDescent="0.2">
      <c r="B291" s="633" t="s">
        <v>10</v>
      </c>
      <c r="C291" s="640" t="s">
        <v>10</v>
      </c>
      <c r="D291" s="624" t="s">
        <v>10</v>
      </c>
      <c r="E291" s="622" t="s">
        <v>10</v>
      </c>
      <c r="F291" s="622" t="s">
        <v>10</v>
      </c>
      <c r="G291" s="624" t="s">
        <v>10</v>
      </c>
      <c r="H291" s="627" t="s">
        <v>10</v>
      </c>
      <c r="I291" s="624" t="s">
        <v>10</v>
      </c>
      <c r="J291" s="622" t="s">
        <v>10</v>
      </c>
      <c r="K291" s="651">
        <f>K290</f>
        <v>0.15123643043661572</v>
      </c>
      <c r="L291" s="625" t="s">
        <v>10</v>
      </c>
      <c r="M291" s="622" t="s">
        <v>10</v>
      </c>
      <c r="N291" s="651" t="s">
        <v>10</v>
      </c>
      <c r="O291" s="654" t="s">
        <v>10</v>
      </c>
      <c r="P291" s="655" t="s">
        <v>10</v>
      </c>
      <c r="Q291" s="622" t="s">
        <v>10</v>
      </c>
      <c r="R291" s="622" t="s">
        <v>10</v>
      </c>
      <c r="S291" s="622" t="s">
        <v>10</v>
      </c>
      <c r="T291" s="622" t="s">
        <v>10</v>
      </c>
      <c r="U291" s="622" t="s">
        <v>10</v>
      </c>
      <c r="V291" s="622" t="s">
        <v>10</v>
      </c>
      <c r="W291" s="622" t="s">
        <v>10</v>
      </c>
      <c r="X291" s="653" t="s">
        <v>10</v>
      </c>
      <c r="Y291" s="1"/>
    </row>
    <row r="292" spans="2:25" x14ac:dyDescent="0.2">
      <c r="B292" s="633">
        <v>104</v>
      </c>
      <c r="C292" s="640">
        <v>103.4</v>
      </c>
      <c r="D292" s="650" t="s">
        <v>10</v>
      </c>
      <c r="E292" s="622">
        <f>IF(B292=0,cell_HGL,IF(VLOOKUP(B292,table_HGL_JCTS,17,FALSE)&lt;X292,X292,VLOOKUP(B292,table_HGL_JCTS,17,FALSE)))</f>
        <v>393.61987530681819</v>
      </c>
      <c r="F292" s="622">
        <f>IF(B292=0,(E292+K292),IF(VLOOKUP(B292,table_HGL_JCTS,13,FALSE)="T-INTERSECTION",(E292+K292),(IF(VLOOKUP(B292,table_HGL_JCTS,17,FALSE)&lt;X292,(E292+K292),VLOOKUP(B292,table_HGL_JCTS,18,FALSE)))))</f>
        <v>393.77111173725478</v>
      </c>
      <c r="G292" s="624">
        <f>VLOOKUP(C292,table_CIA_JCTS,18)</f>
        <v>36</v>
      </c>
      <c r="H292" s="627">
        <f>VLOOKUP(C292,table_CIA_JCTS,17)</f>
        <v>20.531334181428225</v>
      </c>
      <c r="I292" s="624">
        <f>VLOOKUP(C292,table_CIA_JCTS,21)</f>
        <v>113</v>
      </c>
      <c r="J292" s="622">
        <f>H292/((G292/12)^2*3.1416/4)</f>
        <v>2.9045828284848803</v>
      </c>
      <c r="K292" s="622">
        <f>(J292^2)/64.4</f>
        <v>0.13100312744610601</v>
      </c>
      <c r="L292" s="625">
        <f>(H292/((1.486/cell_NP)*((3.1416*(G292/12)^2)/4)*(G292/48)^(2/3)))^2</f>
        <v>9.4754882845013433E-4</v>
      </c>
      <c r="M292" s="622">
        <f>L292*I292</f>
        <v>0.10707301761486518</v>
      </c>
      <c r="N292" s="651" t="s">
        <v>10</v>
      </c>
      <c r="O292" s="652" t="s">
        <v>130</v>
      </c>
      <c r="P292" s="622">
        <f>IF(ISBLANK(O292)=FALSE,(VLOOKUP(O292,table_MINOR,2,FALSE))*(K292)," ")</f>
        <v>3.9300938233831802E-2</v>
      </c>
      <c r="Q292" s="622">
        <f>SUM(P292:P293)</f>
        <v>3.9300938233831802E-2</v>
      </c>
      <c r="R292" s="622">
        <f>Q292+M292</f>
        <v>0.14637395584869697</v>
      </c>
      <c r="S292" s="622">
        <f>IF(O292="T-INTERSECTION",T292,(T292-K292))</f>
        <v>393.78648256565737</v>
      </c>
      <c r="T292" s="622">
        <f>IF(O292="T-INTERSECTION",(R292+F292-K292),(R292+F292))</f>
        <v>393.91748569310346</v>
      </c>
      <c r="U292" s="622">
        <f>VLOOKUP(C292,table_CIA_JCTS,26)</f>
        <v>400.27</v>
      </c>
      <c r="V292" s="622">
        <f>U292-0.5-S292</f>
        <v>5.9835174343426161</v>
      </c>
      <c r="W292" s="622" t="s">
        <v>10</v>
      </c>
      <c r="X292" s="653" t="str">
        <f>IF(B292&gt;0,VLOOKUP(B292,table_CIA_JCTS,28)," ")</f>
        <v xml:space="preserve"> </v>
      </c>
      <c r="Y292" s="1"/>
    </row>
    <row r="293" spans="2:25" x14ac:dyDescent="0.2">
      <c r="B293" s="633" t="s">
        <v>10</v>
      </c>
      <c r="C293" s="640" t="s">
        <v>10</v>
      </c>
      <c r="D293" s="624" t="s">
        <v>10</v>
      </c>
      <c r="E293" s="622" t="s">
        <v>10</v>
      </c>
      <c r="F293" s="622" t="s">
        <v>10</v>
      </c>
      <c r="G293" s="624" t="s">
        <v>10</v>
      </c>
      <c r="H293" s="627" t="s">
        <v>10</v>
      </c>
      <c r="I293" s="624" t="s">
        <v>10</v>
      </c>
      <c r="J293" s="622" t="s">
        <v>10</v>
      </c>
      <c r="K293" s="651">
        <f>K292</f>
        <v>0.13100312744610601</v>
      </c>
      <c r="L293" s="625" t="s">
        <v>10</v>
      </c>
      <c r="M293" s="622" t="s">
        <v>10</v>
      </c>
      <c r="N293" s="651" t="s">
        <v>10</v>
      </c>
      <c r="O293" s="654" t="s">
        <v>10</v>
      </c>
      <c r="P293" s="655" t="s">
        <v>10</v>
      </c>
      <c r="Q293" s="622" t="s">
        <v>10</v>
      </c>
      <c r="R293" s="622" t="s">
        <v>10</v>
      </c>
      <c r="S293" s="622" t="s">
        <v>10</v>
      </c>
      <c r="T293" s="622" t="s">
        <v>10</v>
      </c>
      <c r="U293" s="622" t="s">
        <v>10</v>
      </c>
      <c r="V293" s="622" t="s">
        <v>10</v>
      </c>
      <c r="W293" s="622" t="s">
        <v>10</v>
      </c>
      <c r="X293" s="653" t="s">
        <v>10</v>
      </c>
      <c r="Y293" s="1"/>
    </row>
    <row r="294" spans="2:25" x14ac:dyDescent="0.2">
      <c r="B294" s="633" t="s">
        <v>10</v>
      </c>
      <c r="C294" s="640" t="s">
        <v>10</v>
      </c>
      <c r="D294" s="624" t="s">
        <v>10</v>
      </c>
      <c r="E294" s="622" t="s">
        <v>10</v>
      </c>
      <c r="F294" s="622" t="s">
        <v>10</v>
      </c>
      <c r="G294" s="624" t="s">
        <v>10</v>
      </c>
      <c r="H294" s="627" t="s">
        <v>10</v>
      </c>
      <c r="I294" s="624" t="s">
        <v>10</v>
      </c>
      <c r="J294" s="622" t="s">
        <v>10</v>
      </c>
      <c r="K294" s="651" t="s">
        <v>10</v>
      </c>
      <c r="L294" s="625" t="s">
        <v>10</v>
      </c>
      <c r="M294" s="622" t="s">
        <v>10</v>
      </c>
      <c r="N294" s="651" t="s">
        <v>10</v>
      </c>
      <c r="O294" s="654" t="s">
        <v>176</v>
      </c>
      <c r="P294" s="622" t="s">
        <v>10</v>
      </c>
      <c r="Q294" s="622" t="s">
        <v>10</v>
      </c>
      <c r="R294" s="622" t="s">
        <v>10</v>
      </c>
      <c r="S294" s="622" t="s">
        <v>10</v>
      </c>
      <c r="T294" s="622" t="s">
        <v>10</v>
      </c>
      <c r="U294" s="622" t="s">
        <v>10</v>
      </c>
      <c r="V294" s="622" t="s">
        <v>10</v>
      </c>
      <c r="W294" s="622" t="s">
        <v>10</v>
      </c>
      <c r="X294" s="653" t="s">
        <v>10</v>
      </c>
      <c r="Y294" s="1"/>
    </row>
    <row r="295" spans="2:25" x14ac:dyDescent="0.2">
      <c r="B295" s="633">
        <v>103.4</v>
      </c>
      <c r="C295" s="640">
        <v>103.3</v>
      </c>
      <c r="D295" s="650" t="s">
        <v>10</v>
      </c>
      <c r="E295" s="622">
        <f>IF(B295=0,cell_HGL,IF(VLOOKUP(B295,table_HGL_JCTS,17,FALSE)&lt;X295,X295,VLOOKUP(B295,table_HGL_JCTS,17,FALSE)))</f>
        <v>393.78648256565737</v>
      </c>
      <c r="F295" s="622">
        <f>IF(B295=0,(E295+K295),IF(VLOOKUP(B295,table_HGL_JCTS,13,FALSE)="T-INTERSECTION",(E295+K295),(IF(VLOOKUP(B295,table_HGL_JCTS,17,FALSE)&lt;X295,(E295+K295),VLOOKUP(B295,table_HGL_JCTS,18,FALSE)))))</f>
        <v>393.91748569310346</v>
      </c>
      <c r="G295" s="624">
        <f>VLOOKUP(C295,table_CIA_JCTS,18)</f>
        <v>30</v>
      </c>
      <c r="H295" s="627">
        <f>VLOOKUP(C295,table_CIA_JCTS,17)</f>
        <v>16.740867523322219</v>
      </c>
      <c r="I295" s="624">
        <f>VLOOKUP(C295,table_CIA_JCTS,21)</f>
        <v>97</v>
      </c>
      <c r="J295" s="622">
        <f>H295/((G295/12)^2*3.1416/4)</f>
        <v>3.4104135519882295</v>
      </c>
      <c r="K295" s="622">
        <f>(J295^2)/64.4</f>
        <v>0.18060435707430078</v>
      </c>
      <c r="L295" s="625">
        <f>(H295/((1.486/cell_NP)*((3.1416*(G295/12)^2)/4)*(G295/48)^(2/3)))^2</f>
        <v>1.6658011341795676E-3</v>
      </c>
      <c r="M295" s="622">
        <f>L295*I295</f>
        <v>0.16158271001541805</v>
      </c>
      <c r="N295" s="651" t="s">
        <v>10</v>
      </c>
      <c r="O295" s="652" t="s">
        <v>156</v>
      </c>
      <c r="P295" s="622">
        <f>IF(ISBLANK(O295)=FALSE,(VLOOKUP(O295,table_MINOR,2,FALSE))*(K295)," ")</f>
        <v>0.13545326780572559</v>
      </c>
      <c r="Q295" s="622">
        <f>SUM(P295)</f>
        <v>0.13545326780572559</v>
      </c>
      <c r="R295" s="622">
        <f>Q295+M295</f>
        <v>0.29703597782114366</v>
      </c>
      <c r="S295" s="622">
        <f>IF(O295="T-INTERSECTION",T295,(T295-K295))</f>
        <v>394.03391731385034</v>
      </c>
      <c r="T295" s="622">
        <f>IF(O295="T-INTERSECTION",(R295+F295-K295),(R295+F295))</f>
        <v>394.21452167092463</v>
      </c>
      <c r="U295" s="622">
        <f>VLOOKUP(C295,table_CIA_JCTS,26)</f>
        <v>401.27</v>
      </c>
      <c r="V295" s="622">
        <f>U295-0.5-S295</f>
        <v>6.7360826861496435</v>
      </c>
      <c r="W295" s="622" t="s">
        <v>10</v>
      </c>
      <c r="X295" s="653" t="str">
        <f>IF(B295&gt;0,VLOOKUP(B295,table_CIA_JCTS,28)," ")</f>
        <v xml:space="preserve"> </v>
      </c>
      <c r="Y295" s="1"/>
    </row>
    <row r="296" spans="2:25" x14ac:dyDescent="0.2">
      <c r="B296" s="633" t="s">
        <v>10</v>
      </c>
      <c r="C296" s="640" t="s">
        <v>10</v>
      </c>
      <c r="D296" s="624" t="s">
        <v>10</v>
      </c>
      <c r="E296" s="622" t="s">
        <v>10</v>
      </c>
      <c r="F296" s="622" t="s">
        <v>10</v>
      </c>
      <c r="G296" s="624" t="s">
        <v>10</v>
      </c>
      <c r="H296" s="627" t="s">
        <v>10</v>
      </c>
      <c r="I296" s="624" t="s">
        <v>10</v>
      </c>
      <c r="J296" s="622" t="s">
        <v>10</v>
      </c>
      <c r="K296" s="651" t="s">
        <v>10</v>
      </c>
      <c r="L296" s="625" t="s">
        <v>10</v>
      </c>
      <c r="M296" s="622" t="s">
        <v>10</v>
      </c>
      <c r="N296" s="651" t="s">
        <v>10</v>
      </c>
      <c r="O296" s="654" t="s">
        <v>176</v>
      </c>
      <c r="P296" s="622" t="s">
        <v>10</v>
      </c>
      <c r="Q296" s="622" t="s">
        <v>10</v>
      </c>
      <c r="R296" s="622" t="s">
        <v>10</v>
      </c>
      <c r="S296" s="622" t="s">
        <v>10</v>
      </c>
      <c r="T296" s="622" t="s">
        <v>10</v>
      </c>
      <c r="U296" s="622" t="s">
        <v>10</v>
      </c>
      <c r="V296" s="622" t="s">
        <v>10</v>
      </c>
      <c r="W296" s="622" t="s">
        <v>10</v>
      </c>
      <c r="X296" s="653" t="s">
        <v>10</v>
      </c>
      <c r="Y296" s="1"/>
    </row>
    <row r="297" spans="2:25" x14ac:dyDescent="0.2">
      <c r="B297" s="633" t="s">
        <v>10</v>
      </c>
      <c r="C297" s="640" t="s">
        <v>10</v>
      </c>
      <c r="D297" s="624" t="s">
        <v>10</v>
      </c>
      <c r="E297" s="622" t="s">
        <v>10</v>
      </c>
      <c r="F297" s="622" t="s">
        <v>10</v>
      </c>
      <c r="G297" s="624" t="s">
        <v>10</v>
      </c>
      <c r="H297" s="627" t="s">
        <v>10</v>
      </c>
      <c r="I297" s="624" t="s">
        <v>10</v>
      </c>
      <c r="J297" s="622" t="s">
        <v>10</v>
      </c>
      <c r="K297" s="651" t="s">
        <v>10</v>
      </c>
      <c r="L297" s="625" t="s">
        <v>10</v>
      </c>
      <c r="M297" s="622" t="s">
        <v>10</v>
      </c>
      <c r="N297" s="651" t="s">
        <v>10</v>
      </c>
      <c r="O297" s="654" t="s">
        <v>176</v>
      </c>
      <c r="P297" s="622" t="s">
        <v>10</v>
      </c>
      <c r="Q297" s="622" t="s">
        <v>10</v>
      </c>
      <c r="R297" s="622" t="s">
        <v>10</v>
      </c>
      <c r="S297" s="622" t="s">
        <v>10</v>
      </c>
      <c r="T297" s="622" t="s">
        <v>10</v>
      </c>
      <c r="U297" s="622" t="s">
        <v>10</v>
      </c>
      <c r="V297" s="622" t="s">
        <v>10</v>
      </c>
      <c r="W297" s="622" t="s">
        <v>10</v>
      </c>
      <c r="X297" s="653" t="s">
        <v>10</v>
      </c>
      <c r="Y297" s="1"/>
    </row>
    <row r="298" spans="2:25" x14ac:dyDescent="0.2">
      <c r="B298" s="633">
        <v>103.3</v>
      </c>
      <c r="C298" s="640">
        <v>102.4</v>
      </c>
      <c r="D298" s="650" t="s">
        <v>10</v>
      </c>
      <c r="E298" s="622">
        <f>IF(B298=0,cell_HGL,IF(VLOOKUP(B298,table_HGL_JCTS,17,FALSE)&lt;X298,X298,VLOOKUP(B298,table_HGL_JCTS,17,FALSE)))</f>
        <v>394.03391731385034</v>
      </c>
      <c r="F298" s="622">
        <f>IF(B298=0,(E298+K298),IF(VLOOKUP(B298,table_HGL_JCTS,13,FALSE)="T-INTERSECTION",(E298+K298),(IF(VLOOKUP(B298,table_HGL_JCTS,17,FALSE)&lt;X298,(E298+K298),VLOOKUP(B298,table_HGL_JCTS,18,FALSE)))))</f>
        <v>394.21452167092463</v>
      </c>
      <c r="G298" s="624">
        <f>VLOOKUP(C298,table_CIA_JCTS,18)</f>
        <v>24</v>
      </c>
      <c r="H298" s="627">
        <f>VLOOKUP(C298,table_CIA_JCTS,17)</f>
        <v>5.9491601899609874</v>
      </c>
      <c r="I298" s="624">
        <f>VLOOKUP(C298,table_CIA_JCTS,21)</f>
        <v>315</v>
      </c>
      <c r="J298" s="622">
        <f>H298/((G298/12)^2*3.1416/4)</f>
        <v>1.8936720747265685</v>
      </c>
      <c r="K298" s="622">
        <f>(J298^2)/64.4</f>
        <v>5.5683135506199161E-2</v>
      </c>
      <c r="L298" s="625">
        <f>(H298/((1.486/cell_NP)*((3.1416*(G298/12)^2)/4)*(G298/48)^(2/3)))^2</f>
        <v>6.9156333981500152E-4</v>
      </c>
      <c r="M298" s="622">
        <f>L298*I298</f>
        <v>0.21784245204172548</v>
      </c>
      <c r="N298" s="651" t="s">
        <v>10</v>
      </c>
      <c r="O298" s="652" t="s">
        <v>130</v>
      </c>
      <c r="P298" s="622">
        <f>IF(ISBLANK(O298)=FALSE,(VLOOKUP(O298,table_MINOR,2,FALSE))*(K298)," ")</f>
        <v>1.6704940651859748E-2</v>
      </c>
      <c r="Q298" s="622">
        <f>SUM(P298:P299)</f>
        <v>1.6704940651859748E-2</v>
      </c>
      <c r="R298" s="622">
        <f>Q298+M298</f>
        <v>0.23454739269358521</v>
      </c>
      <c r="S298" s="622">
        <f>IF(O298="T-INTERSECTION",T298,(T298-K298))</f>
        <v>394.39338592811202</v>
      </c>
      <c r="T298" s="622">
        <f>IF(O298="T-INTERSECTION",(R298+F298-K298),(R298+F298))</f>
        <v>394.4490690636182</v>
      </c>
      <c r="U298" s="622">
        <f>VLOOKUP(C298,table_CIA_JCTS,26)</f>
        <v>403</v>
      </c>
      <c r="V298" s="622">
        <f>U298-0.5-S298</f>
        <v>8.1066140718879751</v>
      </c>
      <c r="W298" s="622" t="s">
        <v>10</v>
      </c>
      <c r="X298" s="653" t="str">
        <f>IF(B298&gt;0,VLOOKUP(B298,table_CIA_JCTS,28)," ")</f>
        <v xml:space="preserve"> </v>
      </c>
      <c r="Y298" s="1"/>
    </row>
    <row r="299" spans="2:25" x14ac:dyDescent="0.2">
      <c r="B299" s="633" t="s">
        <v>10</v>
      </c>
      <c r="C299" s="640" t="s">
        <v>10</v>
      </c>
      <c r="D299" s="624" t="s">
        <v>10</v>
      </c>
      <c r="E299" s="622" t="s">
        <v>10</v>
      </c>
      <c r="F299" s="622" t="s">
        <v>10</v>
      </c>
      <c r="G299" s="624" t="s">
        <v>10</v>
      </c>
      <c r="H299" s="627" t="s">
        <v>10</v>
      </c>
      <c r="I299" s="624" t="s">
        <v>10</v>
      </c>
      <c r="J299" s="622" t="s">
        <v>10</v>
      </c>
      <c r="K299" s="651">
        <f>K298</f>
        <v>5.5683135506199161E-2</v>
      </c>
      <c r="L299" s="625" t="s">
        <v>10</v>
      </c>
      <c r="M299" s="622" t="s">
        <v>10</v>
      </c>
      <c r="N299" s="651" t="s">
        <v>10</v>
      </c>
      <c r="O299" s="654" t="s">
        <v>10</v>
      </c>
      <c r="P299" s="655" t="s">
        <v>10</v>
      </c>
      <c r="Q299" s="622" t="s">
        <v>10</v>
      </c>
      <c r="R299" s="622" t="s">
        <v>10</v>
      </c>
      <c r="S299" s="622" t="s">
        <v>10</v>
      </c>
      <c r="T299" s="622" t="s">
        <v>10</v>
      </c>
      <c r="U299" s="622" t="s">
        <v>10</v>
      </c>
      <c r="V299" s="622" t="s">
        <v>10</v>
      </c>
      <c r="W299" s="622" t="s">
        <v>10</v>
      </c>
      <c r="X299" s="653" t="s">
        <v>10</v>
      </c>
      <c r="Y299" s="1"/>
    </row>
    <row r="300" spans="2:25" x14ac:dyDescent="0.2">
      <c r="B300" s="633">
        <v>102.4</v>
      </c>
      <c r="C300" s="640">
        <v>102.3</v>
      </c>
      <c r="D300" s="650" t="s">
        <v>10</v>
      </c>
      <c r="E300" s="622">
        <f>IF(B300=0,cell_HGL,IF(VLOOKUP(B300,table_HGL_JCTS,17,FALSE)&lt;X300,X300,VLOOKUP(B300,table_HGL_JCTS,17,FALSE)))</f>
        <v>394.39338592811202</v>
      </c>
      <c r="F300" s="622">
        <f>IF(B300=0,(E300+K300),IF(VLOOKUP(B300,table_HGL_JCTS,13,FALSE)="T-INTERSECTION",(E300+K300),(IF(VLOOKUP(B300,table_HGL_JCTS,17,FALSE)&lt;X300,(E300+K300),VLOOKUP(B300,table_HGL_JCTS,18,FALSE)))))</f>
        <v>394.4490690636182</v>
      </c>
      <c r="G300" s="624">
        <f>VLOOKUP(C300,table_CIA_JCTS,18)</f>
        <v>24</v>
      </c>
      <c r="H300" s="627">
        <f>VLOOKUP(C300,table_CIA_JCTS,17)</f>
        <v>5.2668643216076552</v>
      </c>
      <c r="I300" s="624">
        <f>VLOOKUP(C300,table_CIA_JCTS,21)</f>
        <v>567</v>
      </c>
      <c r="J300" s="622">
        <f>H300/((G300/12)^2*3.1416/4)</f>
        <v>1.6764910623910285</v>
      </c>
      <c r="K300" s="622">
        <f>(J300^2)/64.4</f>
        <v>4.3643203140947197E-2</v>
      </c>
      <c r="L300" s="625">
        <f>(H300/((1.486/cell_NP)*((3.1416*(G300/12)^2)/4)*(G300/48)^(2/3)))^2</f>
        <v>5.420319644359443E-4</v>
      </c>
      <c r="M300" s="622">
        <f>L300*I300</f>
        <v>0.30733212383518044</v>
      </c>
      <c r="N300" s="651" t="s">
        <v>10</v>
      </c>
      <c r="O300" s="652" t="s">
        <v>129</v>
      </c>
      <c r="P300" s="622">
        <f>IF(ISBLANK(O300)=FALSE,(VLOOKUP(O300,table_MINOR,2,FALSE))*(K300)," ")</f>
        <v>2.1821601570473598E-2</v>
      </c>
      <c r="Q300" s="622">
        <f>SUM(P300:P301)</f>
        <v>2.1821601570473598E-2</v>
      </c>
      <c r="R300" s="622">
        <f>Q300+M300</f>
        <v>0.32915372540565402</v>
      </c>
      <c r="S300" s="622">
        <f>IF(O300="T-INTERSECTION",T300,(T300-K300))</f>
        <v>394.7345795858829</v>
      </c>
      <c r="T300" s="622">
        <f>IF(O300="T-INTERSECTION",(R300+F300-K300),(R300+F300))</f>
        <v>394.77822278902386</v>
      </c>
      <c r="U300" s="622">
        <f>VLOOKUP(C300,table_CIA_JCTS,26)</f>
        <v>403.03</v>
      </c>
      <c r="V300" s="622">
        <f>U300-0.5-S300</f>
        <v>7.7954204141170749</v>
      </c>
      <c r="W300" s="622" t="s">
        <v>10</v>
      </c>
      <c r="X300" s="653" t="str">
        <f>IF(B300&gt;0,VLOOKUP(B300,table_CIA_JCTS,28)," ")</f>
        <v xml:space="preserve"> </v>
      </c>
    </row>
    <row r="301" spans="2:25" x14ac:dyDescent="0.2">
      <c r="B301" s="633" t="s">
        <v>10</v>
      </c>
      <c r="C301" s="640" t="s">
        <v>10</v>
      </c>
      <c r="D301" s="624" t="s">
        <v>10</v>
      </c>
      <c r="E301" s="622" t="s">
        <v>10</v>
      </c>
      <c r="F301" s="622" t="s">
        <v>10</v>
      </c>
      <c r="G301" s="624" t="s">
        <v>10</v>
      </c>
      <c r="H301" s="627" t="s">
        <v>10</v>
      </c>
      <c r="I301" s="624" t="s">
        <v>10</v>
      </c>
      <c r="J301" s="622" t="s">
        <v>10</v>
      </c>
      <c r="K301" s="651">
        <f>K300</f>
        <v>4.3643203140947197E-2</v>
      </c>
      <c r="L301" s="625" t="s">
        <v>10</v>
      </c>
      <c r="M301" s="622" t="s">
        <v>10</v>
      </c>
      <c r="N301" s="651" t="s">
        <v>10</v>
      </c>
      <c r="O301" s="652"/>
      <c r="P301" s="622" t="str">
        <f>IF(ISBLANK(O301)=FALSE,(VLOOKUP(O301,table_MINOR,2,FALSE))*(K301)," ")</f>
        <v xml:space="preserve"> </v>
      </c>
      <c r="Q301" s="622" t="s">
        <v>10</v>
      </c>
      <c r="R301" s="622" t="s">
        <v>10</v>
      </c>
      <c r="S301" s="622" t="s">
        <v>10</v>
      </c>
      <c r="T301" s="622" t="s">
        <v>10</v>
      </c>
      <c r="U301" s="622" t="s">
        <v>10</v>
      </c>
      <c r="V301" s="622" t="s">
        <v>10</v>
      </c>
      <c r="W301" s="622" t="s">
        <v>10</v>
      </c>
      <c r="X301" s="653" t="s">
        <v>10</v>
      </c>
    </row>
    <row r="302" spans="2:25" x14ac:dyDescent="0.2">
      <c r="B302" s="633">
        <v>102.3</v>
      </c>
      <c r="C302" s="640">
        <v>102.1</v>
      </c>
      <c r="D302" s="650" t="s">
        <v>10</v>
      </c>
      <c r="E302" s="622">
        <f>IF(B302=0,cell_HGL,IF(VLOOKUP(B302,table_HGL_JCTS,17,FALSE)&lt;X302,X302,VLOOKUP(B302,table_HGL_JCTS,17,FALSE)))</f>
        <v>394.7345795858829</v>
      </c>
      <c r="F302" s="622">
        <f>IF(B302=0,(E302+K302),IF(VLOOKUP(B302,table_HGL_JCTS,13,FALSE)="T-INTERSECTION",(E302+K302),(IF(VLOOKUP(B302,table_HGL_JCTS,17,FALSE)&lt;X302,(E302+K302),VLOOKUP(B302,table_HGL_JCTS,18,FALSE)))))</f>
        <v>394.77822278902386</v>
      </c>
      <c r="G302" s="624">
        <f>VLOOKUP(C302,table_CIA_JCTS,18)</f>
        <v>24</v>
      </c>
      <c r="H302" s="627">
        <f>VLOOKUP(C302,table_CIA_JCTS,17)</f>
        <v>5.1785410857924807</v>
      </c>
      <c r="I302" s="624">
        <f>VLOOKUP(C302,table_CIA_JCTS,21)</f>
        <v>38</v>
      </c>
      <c r="J302" s="622">
        <f>H302/((G302/12)^2*3.1416/4)</f>
        <v>1.6483769689942962</v>
      </c>
      <c r="K302" s="622">
        <f>(J302^2)/64.4</f>
        <v>4.2191717886814015E-2</v>
      </c>
      <c r="L302" s="625">
        <f>(H302/((1.486/cell_NP)*((3.1416*(G302/12)^2)/4)*(G302/48)^(2/3)))^2</f>
        <v>5.2400507028001404E-4</v>
      </c>
      <c r="M302" s="622">
        <f>L302*I302</f>
        <v>1.9912192670640535E-2</v>
      </c>
      <c r="N302" s="651" t="s">
        <v>10</v>
      </c>
      <c r="O302" s="652" t="s">
        <v>130</v>
      </c>
      <c r="P302" s="622">
        <f>IF(ISBLANK(O302)=FALSE,(VLOOKUP(O302,table_MINOR,2,FALSE))*(K302)," ")</f>
        <v>1.2657515366044205E-2</v>
      </c>
      <c r="Q302" s="622">
        <f>SUM(P302)</f>
        <v>1.2657515366044205E-2</v>
      </c>
      <c r="R302" s="622">
        <f>Q302+M302</f>
        <v>3.2569708036684741E-2</v>
      </c>
      <c r="S302" s="622">
        <f>IF(O302="T-INTERSECTION",T302,(T302-K302))</f>
        <v>394.76860077917377</v>
      </c>
      <c r="T302" s="622">
        <f>IF(O302="T-INTERSECTION",(R302+F302-K302),(R302+F302))</f>
        <v>394.81079249706056</v>
      </c>
      <c r="U302" s="622">
        <f>VLOOKUP(C302,table_CIA_JCTS,26)</f>
        <v>402.4</v>
      </c>
      <c r="V302" s="622">
        <f>U302-0.5-S302</f>
        <v>7.1313992208262107</v>
      </c>
      <c r="W302" s="622" t="s">
        <v>10</v>
      </c>
      <c r="X302" s="653" t="str">
        <f>IF(B302&gt;0,VLOOKUP(B302,table_CIA_JCTS,28)," ")</f>
        <v xml:space="preserve"> </v>
      </c>
    </row>
    <row r="303" spans="2:25" x14ac:dyDescent="0.2">
      <c r="B303" s="633" t="s">
        <v>10</v>
      </c>
      <c r="C303" s="640" t="s">
        <v>10</v>
      </c>
      <c r="D303" s="624" t="s">
        <v>10</v>
      </c>
      <c r="E303" s="622" t="s">
        <v>10</v>
      </c>
      <c r="F303" s="622" t="s">
        <v>10</v>
      </c>
      <c r="G303" s="624" t="s">
        <v>10</v>
      </c>
      <c r="H303" s="627" t="s">
        <v>10</v>
      </c>
      <c r="I303" s="624" t="s">
        <v>10</v>
      </c>
      <c r="J303" s="622" t="s">
        <v>10</v>
      </c>
      <c r="K303" s="651" t="s">
        <v>10</v>
      </c>
      <c r="L303" s="625" t="s">
        <v>10</v>
      </c>
      <c r="M303" s="622" t="s">
        <v>10</v>
      </c>
      <c r="N303" s="651" t="s">
        <v>10</v>
      </c>
      <c r="O303" s="654" t="s">
        <v>176</v>
      </c>
      <c r="P303" s="622" t="s">
        <v>10</v>
      </c>
      <c r="Q303" s="622" t="s">
        <v>10</v>
      </c>
      <c r="R303" s="622" t="s">
        <v>10</v>
      </c>
      <c r="S303" s="622" t="s">
        <v>10</v>
      </c>
      <c r="T303" s="622" t="s">
        <v>10</v>
      </c>
      <c r="U303" s="622" t="s">
        <v>10</v>
      </c>
      <c r="V303" s="622" t="s">
        <v>10</v>
      </c>
      <c r="W303" s="622" t="s">
        <v>10</v>
      </c>
      <c r="X303" s="653" t="s">
        <v>10</v>
      </c>
    </row>
    <row r="304" spans="2:25" x14ac:dyDescent="0.2">
      <c r="B304" s="633">
        <v>102.1</v>
      </c>
      <c r="C304" s="640">
        <v>102</v>
      </c>
      <c r="D304" s="650" t="s">
        <v>10</v>
      </c>
      <c r="E304" s="622">
        <f>IF(B304=0,cell_HGL,IF(VLOOKUP(B304,table_HGL_JCTS,17,FALSE)&lt;X304,X304,VLOOKUP(B304,table_HGL_JCTS,17,FALSE)))</f>
        <v>394.76860077917377</v>
      </c>
      <c r="F304" s="622">
        <f>IF(B304=0,(E304+K304),IF(VLOOKUP(B304,table_HGL_JCTS,13,FALSE)="T-INTERSECTION",(E304+K304),(IF(VLOOKUP(B304,table_HGL_JCTS,17,FALSE)&lt;X304,(E304+K304),VLOOKUP(B304,table_HGL_JCTS,18,FALSE)))))</f>
        <v>394.81079249706056</v>
      </c>
      <c r="G304" s="624">
        <f>VLOOKUP(C304,table_CIA_JCTS,18)</f>
        <v>18</v>
      </c>
      <c r="H304" s="627">
        <f>VLOOKUP(C304,table_CIA_JCTS,17)</f>
        <v>3.0987868670682142</v>
      </c>
      <c r="I304" s="624">
        <f>VLOOKUP(C304,table_CIA_JCTS,21)</f>
        <v>89</v>
      </c>
      <c r="J304" s="622">
        <f>H304/((G304/12)^2*3.1416/4)</f>
        <v>1.7535505571503349</v>
      </c>
      <c r="K304" s="622">
        <f>(J304^2)/64.4</f>
        <v>4.7747508641028724E-2</v>
      </c>
      <c r="L304" s="625">
        <f>(H304/((1.486/cell_NP)*((3.1416*(G304/12)^2)/4)*(G304/48)^(2/3)))^2</f>
        <v>8.7024989350413117E-4</v>
      </c>
      <c r="M304" s="622">
        <f>L304*I304</f>
        <v>7.745224052186768E-2</v>
      </c>
      <c r="N304" s="651" t="s">
        <v>10</v>
      </c>
      <c r="O304" s="654" t="s">
        <v>10</v>
      </c>
      <c r="P304" s="655" t="s">
        <v>10</v>
      </c>
      <c r="Q304" s="622">
        <f>SUM(P304)</f>
        <v>0</v>
      </c>
      <c r="R304" s="622">
        <f>Q304+M304</f>
        <v>7.745224052186768E-2</v>
      </c>
      <c r="S304" s="622">
        <f>IF(O304="T-INTERSECTION",T304,(T304-K304))</f>
        <v>394.84049722894144</v>
      </c>
      <c r="T304" s="622">
        <f>IF(O304="T-INTERSECTION",(R304+F304-K304),(R304+F304))</f>
        <v>394.88824473758245</v>
      </c>
      <c r="U304" s="622">
        <f>VLOOKUP(C304,table_CIA_JCTS,26)</f>
        <v>402.4</v>
      </c>
      <c r="V304" s="622">
        <f>U304-0.5-S304</f>
        <v>7.0595027710585327</v>
      </c>
      <c r="W304" s="622" t="s">
        <v>10</v>
      </c>
      <c r="X304" s="653" t="str">
        <f>IF(B304&gt;0,VLOOKUP(B304,table_CIA_JCTS,28)," ")</f>
        <v xml:space="preserve"> </v>
      </c>
    </row>
    <row r="305" spans="2:24" x14ac:dyDescent="0.2">
      <c r="B305" s="633" t="s">
        <v>10</v>
      </c>
      <c r="C305" s="640" t="s">
        <v>10</v>
      </c>
      <c r="D305" s="624" t="s">
        <v>10</v>
      </c>
      <c r="E305" s="622" t="s">
        <v>10</v>
      </c>
      <c r="F305" s="622" t="s">
        <v>10</v>
      </c>
      <c r="G305" s="624" t="s">
        <v>10</v>
      </c>
      <c r="H305" s="627" t="s">
        <v>10</v>
      </c>
      <c r="I305" s="624" t="s">
        <v>10</v>
      </c>
      <c r="J305" s="622" t="s">
        <v>10</v>
      </c>
      <c r="K305" s="651" t="s">
        <v>10</v>
      </c>
      <c r="L305" s="625" t="s">
        <v>10</v>
      </c>
      <c r="M305" s="622" t="s">
        <v>10</v>
      </c>
      <c r="N305" s="651" t="s">
        <v>10</v>
      </c>
      <c r="O305" s="654" t="s">
        <v>176</v>
      </c>
      <c r="P305" s="622" t="s">
        <v>10</v>
      </c>
      <c r="Q305" s="622" t="s">
        <v>10</v>
      </c>
      <c r="R305" s="622" t="s">
        <v>10</v>
      </c>
      <c r="S305" s="622" t="s">
        <v>10</v>
      </c>
      <c r="T305" s="622" t="s">
        <v>10</v>
      </c>
      <c r="U305" s="622" t="s">
        <v>10</v>
      </c>
      <c r="V305" s="622" t="s">
        <v>10</v>
      </c>
      <c r="W305" s="622" t="s">
        <v>10</v>
      </c>
      <c r="X305" s="653" t="s">
        <v>10</v>
      </c>
    </row>
    <row r="306" spans="2:24" x14ac:dyDescent="0.2">
      <c r="B306" s="633" t="s">
        <v>10</v>
      </c>
      <c r="C306" s="640" t="s">
        <v>10</v>
      </c>
      <c r="D306" s="624" t="s">
        <v>10</v>
      </c>
      <c r="E306" s="622" t="s">
        <v>10</v>
      </c>
      <c r="F306" s="622" t="s">
        <v>10</v>
      </c>
      <c r="G306" s="624" t="s">
        <v>10</v>
      </c>
      <c r="H306" s="627" t="s">
        <v>10</v>
      </c>
      <c r="I306" s="624" t="s">
        <v>10</v>
      </c>
      <c r="J306" s="622" t="s">
        <v>10</v>
      </c>
      <c r="K306" s="651" t="s">
        <v>10</v>
      </c>
      <c r="L306" s="625" t="s">
        <v>10</v>
      </c>
      <c r="M306" s="622" t="s">
        <v>10</v>
      </c>
      <c r="N306" s="651" t="s">
        <v>10</v>
      </c>
      <c r="O306" s="654" t="s">
        <v>176</v>
      </c>
      <c r="P306" s="622" t="s">
        <v>10</v>
      </c>
      <c r="Q306" s="622" t="s">
        <v>10</v>
      </c>
      <c r="R306" s="622" t="s">
        <v>10</v>
      </c>
      <c r="S306" s="622" t="s">
        <v>10</v>
      </c>
      <c r="T306" s="622" t="s">
        <v>10</v>
      </c>
      <c r="U306" s="622" t="s">
        <v>10</v>
      </c>
      <c r="V306" s="622" t="s">
        <v>10</v>
      </c>
      <c r="W306" s="622" t="s">
        <v>10</v>
      </c>
      <c r="X306" s="653" t="s">
        <v>10</v>
      </c>
    </row>
    <row r="307" spans="2:24" x14ac:dyDescent="0.2">
      <c r="B307" s="633" t="s">
        <v>10</v>
      </c>
      <c r="C307" s="640" t="s">
        <v>10</v>
      </c>
      <c r="D307" s="624" t="s">
        <v>10</v>
      </c>
      <c r="E307" s="622" t="s">
        <v>10</v>
      </c>
      <c r="F307" s="622" t="s">
        <v>10</v>
      </c>
      <c r="G307" s="624" t="s">
        <v>10</v>
      </c>
      <c r="H307" s="627" t="s">
        <v>10</v>
      </c>
      <c r="I307" s="624" t="s">
        <v>10</v>
      </c>
      <c r="J307" s="622" t="s">
        <v>10</v>
      </c>
      <c r="K307" s="651" t="s">
        <v>10</v>
      </c>
      <c r="L307" s="625" t="s">
        <v>10</v>
      </c>
      <c r="M307" s="622" t="s">
        <v>10</v>
      </c>
      <c r="N307" s="651" t="s">
        <v>10</v>
      </c>
      <c r="O307" s="654" t="s">
        <v>176</v>
      </c>
      <c r="P307" s="622" t="s">
        <v>10</v>
      </c>
      <c r="Q307" s="622" t="s">
        <v>10</v>
      </c>
      <c r="R307" s="622" t="s">
        <v>10</v>
      </c>
      <c r="S307" s="622" t="s">
        <v>10</v>
      </c>
      <c r="T307" s="622" t="s">
        <v>10</v>
      </c>
      <c r="U307" s="622" t="s">
        <v>10</v>
      </c>
      <c r="V307" s="622" t="s">
        <v>10</v>
      </c>
      <c r="W307" s="622" t="s">
        <v>10</v>
      </c>
      <c r="X307" s="653" t="s">
        <v>10</v>
      </c>
    </row>
    <row r="308" spans="2:24" x14ac:dyDescent="0.2">
      <c r="B308" s="633">
        <v>103.3</v>
      </c>
      <c r="C308" s="640">
        <v>103.2</v>
      </c>
      <c r="D308" s="650" t="s">
        <v>10</v>
      </c>
      <c r="E308" s="622">
        <f>IF(B308=0,cell_HGL,IF(VLOOKUP(B308,table_HGL_JCTS,17,FALSE)&lt;X308,X308,VLOOKUP(B308,table_HGL_JCTS,17,FALSE)))</f>
        <v>394.03391731385034</v>
      </c>
      <c r="F308" s="622">
        <f>IF(B308=0,(E308+K308),IF(VLOOKUP(B308,table_HGL_JCTS,13,FALSE)="T-INTERSECTION",(E308+K308),(IF(VLOOKUP(B308,table_HGL_JCTS,17,FALSE)&lt;X308,(E308+K308),VLOOKUP(B308,table_HGL_JCTS,18,FALSE)))))</f>
        <v>394.21452167092463</v>
      </c>
      <c r="G308" s="624">
        <f>VLOOKUP(C308,table_CIA_JCTS,18)</f>
        <v>24</v>
      </c>
      <c r="H308" s="627">
        <f>VLOOKUP(C308,table_CIA_JCTS,17)</f>
        <v>11.820509900219989</v>
      </c>
      <c r="I308" s="624">
        <f>VLOOKUP(C308,table_CIA_JCTS,21)</f>
        <v>111</v>
      </c>
      <c r="J308" s="622">
        <f>H308/((G308/12)^2*3.1416/4)</f>
        <v>3.7625763624331516</v>
      </c>
      <c r="K308" s="622">
        <f>(J308^2)/64.4</f>
        <v>0.21982889570094233</v>
      </c>
      <c r="L308" s="625">
        <f>(H308/((1.486/cell_NP)*((3.1416*(G308/12)^2)/4)*(G308/48)^(2/3)))^2</f>
        <v>2.7301911775758823E-3</v>
      </c>
      <c r="M308" s="622">
        <f>L308*I308</f>
        <v>0.30305122071092294</v>
      </c>
      <c r="N308" s="651" t="s">
        <v>10</v>
      </c>
      <c r="O308" s="652" t="s">
        <v>156</v>
      </c>
      <c r="P308" s="622">
        <f>IF(ISBLANK(O308)=FALSE,(VLOOKUP(O308,table_MINOR,2,FALSE))*(K308)," ")</f>
        <v>0.16487167177570675</v>
      </c>
      <c r="Q308" s="622">
        <f>SUM(P308)</f>
        <v>0.16487167177570675</v>
      </c>
      <c r="R308" s="622">
        <f>Q308+M308</f>
        <v>0.46792289248662966</v>
      </c>
      <c r="S308" s="622">
        <f>IF(O308="T-INTERSECTION",T308,(T308-K308))</f>
        <v>394.46261566771034</v>
      </c>
      <c r="T308" s="622">
        <f>IF(O308="T-INTERSECTION",(R308+F308-K308),(R308+F308))</f>
        <v>394.68244456341125</v>
      </c>
      <c r="U308" s="622">
        <f>VLOOKUP(C308,table_CIA_JCTS,26)</f>
        <v>401.65</v>
      </c>
      <c r="V308" s="622">
        <f>U308-0.5-S308</f>
        <v>6.6873843322896391</v>
      </c>
      <c r="W308" s="622" t="s">
        <v>10</v>
      </c>
      <c r="X308" s="653" t="str">
        <f>IF(B308&gt;0,VLOOKUP(B308,table_CIA_JCTS,28)," ")</f>
        <v xml:space="preserve"> </v>
      </c>
    </row>
    <row r="309" spans="2:24" x14ac:dyDescent="0.2">
      <c r="B309" s="633" t="s">
        <v>10</v>
      </c>
      <c r="C309" s="640" t="s">
        <v>10</v>
      </c>
      <c r="D309" s="624" t="s">
        <v>10</v>
      </c>
      <c r="E309" s="622" t="s">
        <v>10</v>
      </c>
      <c r="F309" s="622" t="s">
        <v>10</v>
      </c>
      <c r="G309" s="624" t="s">
        <v>10</v>
      </c>
      <c r="H309" s="627" t="s">
        <v>10</v>
      </c>
      <c r="I309" s="624" t="s">
        <v>10</v>
      </c>
      <c r="J309" s="622" t="s">
        <v>10</v>
      </c>
      <c r="K309" s="651" t="s">
        <v>10</v>
      </c>
      <c r="L309" s="625" t="s">
        <v>10</v>
      </c>
      <c r="M309" s="622" t="s">
        <v>10</v>
      </c>
      <c r="N309" s="651" t="s">
        <v>10</v>
      </c>
      <c r="O309" s="654" t="s">
        <v>176</v>
      </c>
      <c r="P309" s="622" t="s">
        <v>10</v>
      </c>
      <c r="Q309" s="622" t="s">
        <v>10</v>
      </c>
      <c r="R309" s="622" t="s">
        <v>10</v>
      </c>
      <c r="S309" s="622" t="s">
        <v>10</v>
      </c>
      <c r="T309" s="622" t="s">
        <v>10</v>
      </c>
      <c r="U309" s="622" t="s">
        <v>10</v>
      </c>
      <c r="V309" s="622" t="s">
        <v>10</v>
      </c>
      <c r="W309" s="622" t="s">
        <v>10</v>
      </c>
      <c r="X309" s="653" t="s">
        <v>10</v>
      </c>
    </row>
    <row r="310" spans="2:24" x14ac:dyDescent="0.2">
      <c r="B310" s="633">
        <v>103.2</v>
      </c>
      <c r="C310" s="640">
        <v>103</v>
      </c>
      <c r="D310" s="650" t="s">
        <v>10</v>
      </c>
      <c r="E310" s="622">
        <f>IF(B310=0,cell_HGL,IF(VLOOKUP(B310,table_HGL_JCTS,17,FALSE)&lt;X310,X310,VLOOKUP(B310,table_HGL_JCTS,17,FALSE)))</f>
        <v>394.46261566771034</v>
      </c>
      <c r="F310" s="622">
        <f>IF(B310=0,(E310+K310),IF(VLOOKUP(B310,table_HGL_JCTS,13,FALSE)="T-INTERSECTION",(E310+K310),(IF(VLOOKUP(B310,table_HGL_JCTS,17,FALSE)&lt;X310,(E310+K310),VLOOKUP(B310,table_HGL_JCTS,18,FALSE)))))</f>
        <v>394.68244456341125</v>
      </c>
      <c r="G310" s="624">
        <f>VLOOKUP(C310,table_CIA_JCTS,18)</f>
        <v>24</v>
      </c>
      <c r="H310" s="627">
        <f>VLOOKUP(C310,table_CIA_JCTS,17)</f>
        <v>10.173181751634074</v>
      </c>
      <c r="I310" s="624">
        <f>VLOOKUP(C310,table_CIA_JCTS,21)</f>
        <v>935</v>
      </c>
      <c r="J310" s="622">
        <f>H310/((G310/12)^2*3.1416/4)</f>
        <v>3.2382167531302755</v>
      </c>
      <c r="K310" s="622">
        <f>(J310^2)/64.4</f>
        <v>0.16282682826480718</v>
      </c>
      <c r="L310" s="625">
        <f>(H310/((1.486/cell_NP)*((3.1416*(G310/12)^2)/4)*(G310/48)^(2/3)))^2</f>
        <v>2.0222472054174738E-3</v>
      </c>
      <c r="M310" s="622">
        <f>L310*I310</f>
        <v>1.8908011370653381</v>
      </c>
      <c r="N310" s="651" t="s">
        <v>10</v>
      </c>
      <c r="O310" s="654" t="s">
        <v>10</v>
      </c>
      <c r="P310" s="655" t="s">
        <v>10</v>
      </c>
      <c r="Q310" s="622">
        <f>SUM(P310)</f>
        <v>0</v>
      </c>
      <c r="R310" s="622">
        <f>Q310+M310</f>
        <v>1.8908011370653381</v>
      </c>
      <c r="S310" s="622">
        <f>IF(O310="T-INTERSECTION",T310,(T310-K310))</f>
        <v>396.41041887221178</v>
      </c>
      <c r="T310" s="622">
        <f>IF(O310="T-INTERSECTION",(R310+F310-K310),(R310+F310))</f>
        <v>396.5732457004766</v>
      </c>
      <c r="U310" s="622">
        <f>VLOOKUP(C310,table_CIA_JCTS,26)</f>
        <v>401.04</v>
      </c>
      <c r="V310" s="622">
        <f>U310-0.5-S310</f>
        <v>4.1295811277882422</v>
      </c>
      <c r="W310" s="622" t="s">
        <v>10</v>
      </c>
      <c r="X310" s="653" t="str">
        <f>IF(B310&gt;0,VLOOKUP(B310,table_CIA_JCTS,28)," ")</f>
        <v xml:space="preserve"> </v>
      </c>
    </row>
    <row r="311" spans="2:24" x14ac:dyDescent="0.2">
      <c r="B311" s="633" t="s">
        <v>10</v>
      </c>
      <c r="C311" s="640" t="s">
        <v>10</v>
      </c>
      <c r="D311" s="624" t="s">
        <v>10</v>
      </c>
      <c r="E311" s="622" t="s">
        <v>10</v>
      </c>
      <c r="F311" s="622" t="s">
        <v>10</v>
      </c>
      <c r="G311" s="624" t="s">
        <v>10</v>
      </c>
      <c r="H311" s="627" t="s">
        <v>10</v>
      </c>
      <c r="I311" s="624" t="s">
        <v>10</v>
      </c>
      <c r="J311" s="622" t="s">
        <v>10</v>
      </c>
      <c r="K311" s="651" t="s">
        <v>10</v>
      </c>
      <c r="L311" s="625" t="s">
        <v>10</v>
      </c>
      <c r="M311" s="622" t="s">
        <v>10</v>
      </c>
      <c r="N311" s="651" t="s">
        <v>10</v>
      </c>
      <c r="O311" s="654" t="s">
        <v>176</v>
      </c>
      <c r="P311" s="622" t="s">
        <v>10</v>
      </c>
      <c r="Q311" s="622" t="s">
        <v>10</v>
      </c>
      <c r="R311" s="622" t="s">
        <v>10</v>
      </c>
      <c r="S311" s="622" t="s">
        <v>10</v>
      </c>
      <c r="T311" s="622" t="s">
        <v>10</v>
      </c>
      <c r="U311" s="622" t="s">
        <v>10</v>
      </c>
      <c r="V311" s="622" t="s">
        <v>10</v>
      </c>
      <c r="W311" s="622" t="s">
        <v>10</v>
      </c>
      <c r="X311" s="653" t="s">
        <v>10</v>
      </c>
    </row>
    <row r="312" spans="2:24" x14ac:dyDescent="0.2">
      <c r="B312" s="633" t="s">
        <v>10</v>
      </c>
      <c r="C312" s="640" t="s">
        <v>10</v>
      </c>
      <c r="D312" s="624" t="s">
        <v>10</v>
      </c>
      <c r="E312" s="622" t="s">
        <v>10</v>
      </c>
      <c r="F312" s="622" t="s">
        <v>10</v>
      </c>
      <c r="G312" s="624" t="s">
        <v>10</v>
      </c>
      <c r="H312" s="627" t="s">
        <v>10</v>
      </c>
      <c r="I312" s="624" t="s">
        <v>10</v>
      </c>
      <c r="J312" s="622" t="s">
        <v>10</v>
      </c>
      <c r="K312" s="651" t="s">
        <v>10</v>
      </c>
      <c r="L312" s="625" t="s">
        <v>10</v>
      </c>
      <c r="M312" s="622" t="s">
        <v>10</v>
      </c>
      <c r="N312" s="651" t="s">
        <v>10</v>
      </c>
      <c r="O312" s="654" t="s">
        <v>176</v>
      </c>
      <c r="P312" s="622" t="s">
        <v>10</v>
      </c>
      <c r="Q312" s="622" t="s">
        <v>10</v>
      </c>
      <c r="R312" s="622" t="s">
        <v>10</v>
      </c>
      <c r="S312" s="622" t="s">
        <v>10</v>
      </c>
      <c r="T312" s="622" t="s">
        <v>10</v>
      </c>
      <c r="U312" s="622" t="s">
        <v>10</v>
      </c>
      <c r="V312" s="622" t="s">
        <v>10</v>
      </c>
      <c r="W312" s="622" t="s">
        <v>10</v>
      </c>
      <c r="X312" s="653" t="s">
        <v>10</v>
      </c>
    </row>
    <row r="313" spans="2:24" x14ac:dyDescent="0.2">
      <c r="B313" s="633">
        <v>103.2</v>
      </c>
      <c r="C313" s="640">
        <v>103.1</v>
      </c>
      <c r="D313" s="650" t="s">
        <v>10</v>
      </c>
      <c r="E313" s="622">
        <f>IF(B313=0,cell_HGL,IF(VLOOKUP(B313,table_HGL_JCTS,17,FALSE)&lt;X313,X313,VLOOKUP(B313,table_HGL_JCTS,17,FALSE)))</f>
        <v>394.46261566771034</v>
      </c>
      <c r="F313" s="622">
        <f>IF(B313=0,(E313+K313),IF(VLOOKUP(B313,table_HGL_JCTS,13,FALSE)="T-INTERSECTION",(E313+K313),(IF(VLOOKUP(B313,table_HGL_JCTS,17,FALSE)&lt;X313,(E313+K313),VLOOKUP(B313,table_HGL_JCTS,18,FALSE)))))</f>
        <v>394.68244456341125</v>
      </c>
      <c r="G313" s="624">
        <f>VLOOKUP(C313,table_CIA_JCTS,18)</f>
        <v>18</v>
      </c>
      <c r="H313" s="627">
        <f>VLOOKUP(C313,table_CIA_JCTS,17)</f>
        <v>2.7853801191605263</v>
      </c>
      <c r="I313" s="624">
        <f>VLOOKUP(C313,table_CIA_JCTS,21)</f>
        <v>73</v>
      </c>
      <c r="J313" s="622">
        <f>H313/((G313/12)^2*3.1416/4)</f>
        <v>1.5761990318651651</v>
      </c>
      <c r="K313" s="622">
        <f>(J313^2)/64.4</f>
        <v>3.8577692361066514E-2</v>
      </c>
      <c r="L313" s="625">
        <f>(H313/((1.486/cell_NP)*((3.1416*(G313/12)^2)/4)*(G313/48)^(2/3)))^2</f>
        <v>7.0312009200842671E-4</v>
      </c>
      <c r="M313" s="622">
        <f>L313*I313</f>
        <v>5.1327766716615153E-2</v>
      </c>
      <c r="N313" s="651" t="s">
        <v>10</v>
      </c>
      <c r="O313" s="654" t="s">
        <v>10</v>
      </c>
      <c r="P313" s="655" t="s">
        <v>10</v>
      </c>
      <c r="Q313" s="622">
        <f>SUM(P313)</f>
        <v>0</v>
      </c>
      <c r="R313" s="622">
        <f>Q313+M313</f>
        <v>5.1327766716615153E-2</v>
      </c>
      <c r="S313" s="622">
        <f>IF(O313="T-INTERSECTION",T313,(T313-K313))</f>
        <v>394.6951946377668</v>
      </c>
      <c r="T313" s="622">
        <f>IF(O313="T-INTERSECTION",(R313+F313-K313),(R313+F313))</f>
        <v>394.73377233012786</v>
      </c>
      <c r="U313" s="622">
        <f>VLOOKUP(C313,table_CIA_JCTS,26)</f>
        <v>401.65</v>
      </c>
      <c r="V313" s="622">
        <f>U313-0.5-S313</f>
        <v>6.4548053622331736</v>
      </c>
      <c r="W313" s="622" t="s">
        <v>10</v>
      </c>
      <c r="X313" s="653" t="str">
        <f>IF(B313&gt;0,VLOOKUP(B313,table_CIA_JCTS,28)," ")</f>
        <v xml:space="preserve"> </v>
      </c>
    </row>
    <row r="314" spans="2:24" x14ac:dyDescent="0.2">
      <c r="B314" s="633" t="s">
        <v>10</v>
      </c>
      <c r="C314" s="640" t="s">
        <v>10</v>
      </c>
      <c r="D314" s="624" t="s">
        <v>10</v>
      </c>
      <c r="E314" s="622" t="s">
        <v>10</v>
      </c>
      <c r="F314" s="622" t="s">
        <v>10</v>
      </c>
      <c r="G314" s="624" t="s">
        <v>10</v>
      </c>
      <c r="H314" s="627" t="s">
        <v>10</v>
      </c>
      <c r="I314" s="624" t="s">
        <v>10</v>
      </c>
      <c r="J314" s="622" t="s">
        <v>10</v>
      </c>
      <c r="K314" s="651" t="s">
        <v>10</v>
      </c>
      <c r="L314" s="625" t="s">
        <v>10</v>
      </c>
      <c r="M314" s="622" t="s">
        <v>10</v>
      </c>
      <c r="N314" s="651" t="s">
        <v>10</v>
      </c>
      <c r="O314" s="654" t="s">
        <v>176</v>
      </c>
      <c r="P314" s="622" t="s">
        <v>10</v>
      </c>
      <c r="Q314" s="622" t="s">
        <v>10</v>
      </c>
      <c r="R314" s="622" t="s">
        <v>10</v>
      </c>
      <c r="S314" s="622" t="s">
        <v>10</v>
      </c>
      <c r="T314" s="622" t="s">
        <v>10</v>
      </c>
      <c r="U314" s="622" t="s">
        <v>10</v>
      </c>
      <c r="V314" s="622" t="s">
        <v>10</v>
      </c>
      <c r="W314" s="622" t="s">
        <v>10</v>
      </c>
      <c r="X314" s="653" t="s">
        <v>10</v>
      </c>
    </row>
    <row r="315" spans="2:24" x14ac:dyDescent="0.2">
      <c r="B315" s="633" t="s">
        <v>10</v>
      </c>
      <c r="C315" s="640" t="s">
        <v>10</v>
      </c>
      <c r="D315" s="624" t="s">
        <v>10</v>
      </c>
      <c r="E315" s="622" t="s">
        <v>10</v>
      </c>
      <c r="F315" s="622" t="s">
        <v>10</v>
      </c>
      <c r="G315" s="624" t="s">
        <v>10</v>
      </c>
      <c r="H315" s="627" t="s">
        <v>10</v>
      </c>
      <c r="I315" s="624" t="s">
        <v>10</v>
      </c>
      <c r="J315" s="622" t="s">
        <v>10</v>
      </c>
      <c r="K315" s="651" t="s">
        <v>10</v>
      </c>
      <c r="L315" s="625" t="s">
        <v>10</v>
      </c>
      <c r="M315" s="622" t="s">
        <v>10</v>
      </c>
      <c r="N315" s="651" t="s">
        <v>10</v>
      </c>
      <c r="O315" s="654" t="s">
        <v>176</v>
      </c>
      <c r="P315" s="622" t="s">
        <v>10</v>
      </c>
      <c r="Q315" s="622" t="s">
        <v>10</v>
      </c>
      <c r="R315" s="622" t="s">
        <v>10</v>
      </c>
      <c r="S315" s="622" t="s">
        <v>10</v>
      </c>
      <c r="T315" s="622" t="s">
        <v>10</v>
      </c>
      <c r="U315" s="622" t="s">
        <v>10</v>
      </c>
      <c r="V315" s="622" t="s">
        <v>10</v>
      </c>
      <c r="W315" s="622" t="s">
        <v>10</v>
      </c>
      <c r="X315" s="653" t="s">
        <v>10</v>
      </c>
    </row>
    <row r="316" spans="2:24" x14ac:dyDescent="0.2">
      <c r="B316" s="633">
        <v>104</v>
      </c>
      <c r="C316" s="640">
        <v>103.5</v>
      </c>
      <c r="D316" s="650" t="s">
        <v>10</v>
      </c>
      <c r="E316" s="622">
        <f>IF(B316=0,cell_HGL,IF(VLOOKUP(B316,table_HGL_JCTS,17,FALSE)&lt;X316,X316,VLOOKUP(B316,table_HGL_JCTS,17,FALSE)))</f>
        <v>393.61987530681819</v>
      </c>
      <c r="F316" s="622">
        <f>IF(B316=0,(E316+K316),IF(VLOOKUP(B316,table_HGL_JCTS,13,FALSE)="T-INTERSECTION",(E316+K316),(IF(VLOOKUP(B316,table_HGL_JCTS,17,FALSE)&lt;X316,(E316+K316),VLOOKUP(B316,table_HGL_JCTS,18,FALSE)))))</f>
        <v>393.77111173725478</v>
      </c>
      <c r="G316" s="624">
        <f>VLOOKUP(C316,table_CIA_JCTS,18)</f>
        <v>18</v>
      </c>
      <c r="H316" s="627">
        <f>VLOOKUP(C316,table_CIA_JCTS,17)</f>
        <v>1.9761083831453266</v>
      </c>
      <c r="I316" s="624">
        <f>VLOOKUP(C316,table_CIA_JCTS,21)</f>
        <v>196</v>
      </c>
      <c r="J316" s="622">
        <f>H316/((G316/12)^2*3.1416/4)</f>
        <v>1.118245979767041</v>
      </c>
      <c r="K316" s="622">
        <f>(J316^2)/64.4</f>
        <v>1.9417299243247661E-2</v>
      </c>
      <c r="L316" s="625">
        <f>(H316/((1.486/cell_NP)*((3.1416*(G316/12)^2)/4)*(G316/48)^(2/3)))^2</f>
        <v>3.5390124175094684E-4</v>
      </c>
      <c r="M316" s="622">
        <f>L316*I316</f>
        <v>6.9364643383185584E-2</v>
      </c>
      <c r="N316" s="651" t="s">
        <v>10</v>
      </c>
      <c r="O316" s="654" t="s">
        <v>10</v>
      </c>
      <c r="P316" s="655" t="s">
        <v>10</v>
      </c>
      <c r="Q316" s="622">
        <f>SUM(P316)</f>
        <v>0</v>
      </c>
      <c r="R316" s="622">
        <f>Q316+M316</f>
        <v>6.9364643383185584E-2</v>
      </c>
      <c r="S316" s="622">
        <f>IF(O316="T-INTERSECTION",T316,(T316-K316))</f>
        <v>393.82105908139476</v>
      </c>
      <c r="T316" s="622">
        <f>IF(O316="T-INTERSECTION",(R316+F316-K316),(R316+F316))</f>
        <v>393.84047638063799</v>
      </c>
      <c r="U316" s="622">
        <f>VLOOKUP(C316,table_CIA_JCTS,26)</f>
        <v>401.25</v>
      </c>
      <c r="V316" s="622">
        <f>U316-0.5-S316</f>
        <v>6.9289409186052353</v>
      </c>
      <c r="W316" s="622" t="s">
        <v>10</v>
      </c>
      <c r="X316" s="653" t="str">
        <f>IF(B316&gt;0,VLOOKUP(B316,table_CIA_JCTS,28)," ")</f>
        <v xml:space="preserve"> </v>
      </c>
    </row>
    <row r="317" spans="2:24" x14ac:dyDescent="0.2">
      <c r="B317" s="633" t="s">
        <v>10</v>
      </c>
      <c r="C317" s="640" t="s">
        <v>10</v>
      </c>
      <c r="D317" s="624" t="s">
        <v>10</v>
      </c>
      <c r="E317" s="622" t="s">
        <v>10</v>
      </c>
      <c r="F317" s="622" t="s">
        <v>10</v>
      </c>
      <c r="G317" s="624" t="s">
        <v>10</v>
      </c>
      <c r="H317" s="627" t="s">
        <v>10</v>
      </c>
      <c r="I317" s="624" t="s">
        <v>10</v>
      </c>
      <c r="J317" s="622" t="s">
        <v>10</v>
      </c>
      <c r="K317" s="651" t="s">
        <v>10</v>
      </c>
      <c r="L317" s="625" t="s">
        <v>10</v>
      </c>
      <c r="M317" s="622" t="s">
        <v>10</v>
      </c>
      <c r="N317" s="651" t="s">
        <v>10</v>
      </c>
      <c r="O317" s="654" t="s">
        <v>176</v>
      </c>
      <c r="P317" s="622" t="s">
        <v>10</v>
      </c>
      <c r="Q317" s="622" t="s">
        <v>10</v>
      </c>
      <c r="R317" s="622" t="s">
        <v>10</v>
      </c>
      <c r="S317" s="622" t="s">
        <v>10</v>
      </c>
      <c r="T317" s="622" t="s">
        <v>10</v>
      </c>
      <c r="U317" s="622" t="s">
        <v>10</v>
      </c>
      <c r="V317" s="622" t="s">
        <v>10</v>
      </c>
      <c r="W317" s="622" t="s">
        <v>10</v>
      </c>
      <c r="X317" s="653" t="s">
        <v>10</v>
      </c>
    </row>
    <row r="318" spans="2:24" x14ac:dyDescent="0.2">
      <c r="B318" s="633" t="s">
        <v>10</v>
      </c>
      <c r="C318" s="640" t="s">
        <v>10</v>
      </c>
      <c r="D318" s="624" t="s">
        <v>10</v>
      </c>
      <c r="E318" s="622" t="s">
        <v>10</v>
      </c>
      <c r="F318" s="622" t="s">
        <v>10</v>
      </c>
      <c r="G318" s="624" t="s">
        <v>10</v>
      </c>
      <c r="H318" s="627" t="s">
        <v>10</v>
      </c>
      <c r="I318" s="624" t="s">
        <v>10</v>
      </c>
      <c r="J318" s="622" t="s">
        <v>10</v>
      </c>
      <c r="K318" s="651" t="s">
        <v>10</v>
      </c>
      <c r="L318" s="625" t="s">
        <v>10</v>
      </c>
      <c r="M318" s="622" t="s">
        <v>10</v>
      </c>
      <c r="N318" s="651" t="s">
        <v>10</v>
      </c>
      <c r="O318" s="654" t="s">
        <v>176</v>
      </c>
      <c r="P318" s="622" t="s">
        <v>10</v>
      </c>
      <c r="Q318" s="622" t="s">
        <v>10</v>
      </c>
      <c r="R318" s="622" t="s">
        <v>10</v>
      </c>
      <c r="S318" s="622" t="s">
        <v>10</v>
      </c>
      <c r="T318" s="622" t="s">
        <v>10</v>
      </c>
      <c r="U318" s="622" t="s">
        <v>10</v>
      </c>
      <c r="V318" s="622" t="s">
        <v>10</v>
      </c>
      <c r="W318" s="622" t="s">
        <v>10</v>
      </c>
      <c r="X318" s="653" t="s">
        <v>10</v>
      </c>
    </row>
    <row r="319" spans="2:24" x14ac:dyDescent="0.2">
      <c r="B319" s="633">
        <v>107</v>
      </c>
      <c r="C319" s="640">
        <v>106</v>
      </c>
      <c r="D319" s="650" t="s">
        <v>10</v>
      </c>
      <c r="E319" s="622">
        <f>IF(B319=0,cell_HGL,IF(VLOOKUP(B319,table_HGL_JCTS,17,FALSE)&lt;X319,X319,VLOOKUP(B319,table_HGL_JCTS,17,FALSE)))</f>
        <v>392.95236907743299</v>
      </c>
      <c r="F319" s="622">
        <f>IF(B319=0,(E319+K319),IF(VLOOKUP(B319,table_HGL_JCTS,13,FALSE)="T-INTERSECTION",(E319+K319),(IF(VLOOKUP(B319,table_HGL_JCTS,17,FALSE)&lt;X319,(E319+K319),VLOOKUP(B319,table_HGL_JCTS,18,FALSE)))))</f>
        <v>393.1304261547084</v>
      </c>
      <c r="G319" s="624">
        <f>VLOOKUP(C319,table_CIA_JCTS,18)</f>
        <v>30</v>
      </c>
      <c r="H319" s="627">
        <f>VLOOKUP(C319,table_CIA_JCTS,17)</f>
        <v>13.211349823296358</v>
      </c>
      <c r="I319" s="624">
        <f>VLOOKUP(C319,table_CIA_JCTS,21)</f>
        <v>552</v>
      </c>
      <c r="J319" s="622">
        <f>H319/((G319/12)^2*3.1416/4)</f>
        <v>2.6913877918607301</v>
      </c>
      <c r="K319" s="622">
        <f>(J319^2)/64.4</f>
        <v>0.11247776779777913</v>
      </c>
      <c r="L319" s="625">
        <f>(H319/((1.486/cell_NP)*((3.1416*(G319/12)^2)/4)*(G319/48)^(2/3)))^2</f>
        <v>1.0374367274563823E-3</v>
      </c>
      <c r="M319" s="622">
        <f>L319*I319</f>
        <v>0.572665073555923</v>
      </c>
      <c r="N319" s="651" t="s">
        <v>10</v>
      </c>
      <c r="O319" s="652" t="s">
        <v>130</v>
      </c>
      <c r="P319" s="622">
        <f>IF(ISBLANK(O319)=FALSE,(VLOOKUP(O319,table_MINOR,2,FALSE))*(K319)," ")</f>
        <v>3.3743330339333737E-2</v>
      </c>
      <c r="Q319" s="622">
        <f>SUM(P319:P320)</f>
        <v>3.3743330339333737E-2</v>
      </c>
      <c r="R319" s="622">
        <f>Q319+M319</f>
        <v>0.60640840389525674</v>
      </c>
      <c r="S319" s="622">
        <f>IF(O319="T-INTERSECTION",T319,(T319-K319))</f>
        <v>393.6243567908059</v>
      </c>
      <c r="T319" s="622">
        <f>IF(O319="T-INTERSECTION",(R319+F319-K319),(R319+F319))</f>
        <v>393.73683455860368</v>
      </c>
      <c r="U319" s="622">
        <f>VLOOKUP(C319,table_CIA_JCTS,26)</f>
        <v>400.41</v>
      </c>
      <c r="V319" s="622">
        <f>U319-0.5-S319</f>
        <v>6.2856432091941201</v>
      </c>
      <c r="W319" s="622" t="s">
        <v>10</v>
      </c>
      <c r="X319" s="653" t="str">
        <f>IF(B319&gt;0,VLOOKUP(B319,table_CIA_JCTS,28)," ")</f>
        <v xml:space="preserve"> </v>
      </c>
    </row>
    <row r="320" spans="2:24" x14ac:dyDescent="0.2">
      <c r="B320" s="633" t="s">
        <v>10</v>
      </c>
      <c r="C320" s="640" t="s">
        <v>10</v>
      </c>
      <c r="D320" s="624" t="s">
        <v>10</v>
      </c>
      <c r="E320" s="622" t="s">
        <v>10</v>
      </c>
      <c r="F320" s="622" t="s">
        <v>10</v>
      </c>
      <c r="G320" s="624" t="s">
        <v>10</v>
      </c>
      <c r="H320" s="627" t="s">
        <v>10</v>
      </c>
      <c r="I320" s="624" t="s">
        <v>10</v>
      </c>
      <c r="J320" s="622" t="s">
        <v>10</v>
      </c>
      <c r="K320" s="651">
        <f>K319</f>
        <v>0.11247776779777913</v>
      </c>
      <c r="L320" s="625" t="s">
        <v>10</v>
      </c>
      <c r="M320" s="622" t="s">
        <v>10</v>
      </c>
      <c r="N320" s="651" t="s">
        <v>10</v>
      </c>
      <c r="O320" s="654" t="s">
        <v>10</v>
      </c>
      <c r="P320" s="655" t="s">
        <v>10</v>
      </c>
      <c r="Q320" s="622" t="s">
        <v>10</v>
      </c>
      <c r="R320" s="622" t="s">
        <v>10</v>
      </c>
      <c r="S320" s="622" t="s">
        <v>10</v>
      </c>
      <c r="T320" s="622" t="s">
        <v>10</v>
      </c>
      <c r="U320" s="622" t="s">
        <v>10</v>
      </c>
      <c r="V320" s="622" t="s">
        <v>10</v>
      </c>
      <c r="W320" s="622" t="s">
        <v>10</v>
      </c>
      <c r="X320" s="653" t="s">
        <v>10</v>
      </c>
    </row>
    <row r="321" spans="2:24" x14ac:dyDescent="0.2">
      <c r="B321" s="633">
        <v>106</v>
      </c>
      <c r="C321" s="640">
        <v>105.4</v>
      </c>
      <c r="D321" s="650" t="s">
        <v>10</v>
      </c>
      <c r="E321" s="622">
        <f>IF(B321=0,cell_HGL,IF(VLOOKUP(B321,table_HGL_JCTS,17,FALSE)&lt;X321,X321,VLOOKUP(B321,table_HGL_JCTS,17,FALSE)))</f>
        <v>393.6243567908059</v>
      </c>
      <c r="F321" s="622">
        <f>IF(B321=0,(E321+K321),IF(VLOOKUP(B321,table_HGL_JCTS,13,FALSE)="T-INTERSECTION",(E321+K321),(IF(VLOOKUP(B321,table_HGL_JCTS,17,FALSE)&lt;X321,(E321+K321),VLOOKUP(B321,table_HGL_JCTS,18,FALSE)))))</f>
        <v>393.73683455860368</v>
      </c>
      <c r="G321" s="624">
        <f>VLOOKUP(C321,table_CIA_JCTS,18)</f>
        <v>30</v>
      </c>
      <c r="H321" s="627">
        <f>VLOOKUP(C321,table_CIA_JCTS,17)</f>
        <v>11.59552196177545</v>
      </c>
      <c r="I321" s="624">
        <f>VLOOKUP(C321,table_CIA_JCTS,21)</f>
        <v>777</v>
      </c>
      <c r="J321" s="622">
        <f>H321/((G321/12)^2*3.1416/4)</f>
        <v>2.3622148126866209</v>
      </c>
      <c r="K321" s="622">
        <f>(J321^2)/64.4</f>
        <v>8.6646876106771534E-2</v>
      </c>
      <c r="L321" s="625">
        <f>(H321/((1.486/cell_NP)*((3.1416*(G321/12)^2)/4)*(G321/48)^(2/3)))^2</f>
        <v>7.9918594894361509E-4</v>
      </c>
      <c r="M321" s="622">
        <f>L321*I321</f>
        <v>0.62096748232918897</v>
      </c>
      <c r="N321" s="651" t="s">
        <v>10</v>
      </c>
      <c r="O321" s="652" t="s">
        <v>153</v>
      </c>
      <c r="P321" s="622">
        <f>IF(ISBLANK(O321)=FALSE,(VLOOKUP(O321,table_MINOR,2,FALSE))*(K321)," ")</f>
        <v>0.12997031416015731</v>
      </c>
      <c r="Q321" s="622">
        <f>SUM(P321:P324)</f>
        <v>0.1732937522135431</v>
      </c>
      <c r="R321" s="622">
        <f>Q321+M321</f>
        <v>0.79426123454273201</v>
      </c>
      <c r="S321" s="622">
        <f>IF(O321="T-INTERSECTION",T321,(T321-K321))</f>
        <v>394.44444891703961</v>
      </c>
      <c r="T321" s="622">
        <f>IF(O321="T-INTERSECTION",(R321+F321-K321),(R321+F321))</f>
        <v>394.44444891703961</v>
      </c>
      <c r="U321" s="622">
        <f>VLOOKUP(C321,table_CIA_JCTS,26)</f>
        <v>399.18</v>
      </c>
      <c r="V321" s="622">
        <f>U321-0.5-S321</f>
        <v>4.2355510829603986</v>
      </c>
      <c r="W321" s="622" t="s">
        <v>10</v>
      </c>
      <c r="X321" s="653" t="str">
        <f>IF(B321&gt;0,VLOOKUP(B321,table_CIA_JCTS,28)," ")</f>
        <v xml:space="preserve"> </v>
      </c>
    </row>
    <row r="322" spans="2:24" x14ac:dyDescent="0.2">
      <c r="B322" s="633" t="s">
        <v>10</v>
      </c>
      <c r="C322" s="640" t="s">
        <v>10</v>
      </c>
      <c r="D322" s="624" t="s">
        <v>10</v>
      </c>
      <c r="E322" s="622" t="s">
        <v>10</v>
      </c>
      <c r="F322" s="622" t="s">
        <v>10</v>
      </c>
      <c r="G322" s="624" t="s">
        <v>10</v>
      </c>
      <c r="H322" s="627" t="s">
        <v>10</v>
      </c>
      <c r="I322" s="624" t="s">
        <v>10</v>
      </c>
      <c r="J322" s="622" t="s">
        <v>10</v>
      </c>
      <c r="K322" s="651">
        <f>K321</f>
        <v>8.6646876106771534E-2</v>
      </c>
      <c r="L322" s="625" t="s">
        <v>10</v>
      </c>
      <c r="M322" s="622" t="s">
        <v>10</v>
      </c>
      <c r="N322" s="651" t="s">
        <v>10</v>
      </c>
      <c r="O322" s="654" t="s">
        <v>131</v>
      </c>
      <c r="P322" s="622">
        <f>IF(ISBLANK(O322)=FALSE,(VLOOKUP(O322,table_MINOR,2,FALSE))*(K322)," ")</f>
        <v>2.1661719026692883E-2</v>
      </c>
      <c r="Q322" s="622" t="s">
        <v>10</v>
      </c>
      <c r="R322" s="622" t="s">
        <v>10</v>
      </c>
      <c r="S322" s="622" t="s">
        <v>10</v>
      </c>
      <c r="T322" s="622" t="s">
        <v>10</v>
      </c>
      <c r="U322" s="622" t="s">
        <v>10</v>
      </c>
      <c r="V322" s="622" t="s">
        <v>10</v>
      </c>
      <c r="W322" s="622" t="s">
        <v>10</v>
      </c>
      <c r="X322" s="653" t="s">
        <v>10</v>
      </c>
    </row>
    <row r="323" spans="2:24" x14ac:dyDescent="0.2">
      <c r="B323" s="633" t="s">
        <v>10</v>
      </c>
      <c r="C323" s="640" t="s">
        <v>10</v>
      </c>
      <c r="D323" s="624" t="s">
        <v>10</v>
      </c>
      <c r="E323" s="622" t="s">
        <v>10</v>
      </c>
      <c r="F323" s="622" t="s">
        <v>10</v>
      </c>
      <c r="G323" s="624" t="s">
        <v>10</v>
      </c>
      <c r="H323" s="627" t="s">
        <v>10</v>
      </c>
      <c r="I323" s="624" t="s">
        <v>10</v>
      </c>
      <c r="J323" s="622" t="s">
        <v>10</v>
      </c>
      <c r="K323" s="651">
        <f>K322</f>
        <v>8.6646876106771534E-2</v>
      </c>
      <c r="L323" s="625" t="s">
        <v>10</v>
      </c>
      <c r="M323" s="622" t="s">
        <v>10</v>
      </c>
      <c r="N323" s="651" t="s">
        <v>10</v>
      </c>
      <c r="O323" s="654" t="s">
        <v>131</v>
      </c>
      <c r="P323" s="622">
        <f>IF(ISBLANK(O323)=FALSE,(VLOOKUP(O323,table_MINOR,2,FALSE))*(K323)," ")</f>
        <v>2.1661719026692883E-2</v>
      </c>
      <c r="Q323" s="622" t="s">
        <v>10</v>
      </c>
      <c r="R323" s="622" t="s">
        <v>10</v>
      </c>
      <c r="S323" s="622" t="s">
        <v>10</v>
      </c>
      <c r="T323" s="622" t="s">
        <v>10</v>
      </c>
      <c r="U323" s="622" t="s">
        <v>10</v>
      </c>
      <c r="V323" s="622" t="s">
        <v>10</v>
      </c>
      <c r="W323" s="622" t="s">
        <v>10</v>
      </c>
      <c r="X323" s="653" t="s">
        <v>10</v>
      </c>
    </row>
    <row r="324" spans="2:24" x14ac:dyDescent="0.2">
      <c r="B324" s="633" t="s">
        <v>10</v>
      </c>
      <c r="C324" s="640" t="s">
        <v>10</v>
      </c>
      <c r="D324" s="624" t="s">
        <v>10</v>
      </c>
      <c r="E324" s="622" t="s">
        <v>10</v>
      </c>
      <c r="F324" s="622" t="s">
        <v>10</v>
      </c>
      <c r="G324" s="624" t="s">
        <v>10</v>
      </c>
      <c r="H324" s="627" t="s">
        <v>10</v>
      </c>
      <c r="I324" s="624" t="s">
        <v>10</v>
      </c>
      <c r="J324" s="622" t="s">
        <v>10</v>
      </c>
      <c r="K324" s="651">
        <f>K323</f>
        <v>8.6646876106771534E-2</v>
      </c>
      <c r="L324" s="625" t="s">
        <v>10</v>
      </c>
      <c r="M324" s="622" t="s">
        <v>10</v>
      </c>
      <c r="N324" s="651" t="s">
        <v>10</v>
      </c>
      <c r="O324" s="654" t="s">
        <v>10</v>
      </c>
      <c r="P324" s="655" t="s">
        <v>10</v>
      </c>
      <c r="Q324" s="622" t="s">
        <v>10</v>
      </c>
      <c r="R324" s="622" t="s">
        <v>10</v>
      </c>
      <c r="S324" s="622" t="s">
        <v>10</v>
      </c>
      <c r="T324" s="622" t="s">
        <v>10</v>
      </c>
      <c r="U324" s="622" t="s">
        <v>10</v>
      </c>
      <c r="V324" s="622" t="s">
        <v>10</v>
      </c>
      <c r="W324" s="622" t="s">
        <v>10</v>
      </c>
      <c r="X324" s="653" t="s">
        <v>10</v>
      </c>
    </row>
    <row r="325" spans="2:24" x14ac:dyDescent="0.2">
      <c r="B325" s="633">
        <v>105.4</v>
      </c>
      <c r="C325" s="640">
        <v>105.1</v>
      </c>
      <c r="D325" s="650" t="s">
        <v>10</v>
      </c>
      <c r="E325" s="622">
        <f>IF(B325=0,cell_HGL,IF(VLOOKUP(B325,table_HGL_JCTS,17,FALSE)&lt;X325,X325,VLOOKUP(B325,table_HGL_JCTS,17,FALSE)))</f>
        <v>394.44444891703961</v>
      </c>
      <c r="F325" s="622">
        <f>IF(B325=0,(E325+K325),IF(VLOOKUP(B325,table_HGL_JCTS,13,FALSE)="T-INTERSECTION",(E325+K325),(IF(VLOOKUP(B325,table_HGL_JCTS,17,FALSE)&lt;X325,(E325+K325),VLOOKUP(B325,table_HGL_JCTS,18,FALSE)))))</f>
        <v>394.56611834818932</v>
      </c>
      <c r="G325" s="624">
        <f>VLOOKUP(C325,table_CIA_JCTS,18)</f>
        <v>18</v>
      </c>
      <c r="H325" s="627">
        <f>VLOOKUP(C325,table_CIA_JCTS,17)</f>
        <v>4.9466033526497153</v>
      </c>
      <c r="I325" s="624">
        <f>VLOOKUP(C325,table_CIA_JCTS,21)</f>
        <v>467</v>
      </c>
      <c r="J325" s="622">
        <f>H325/((G325/12)^2*3.1416/4)</f>
        <v>2.7991983434624763</v>
      </c>
      <c r="K325" s="622">
        <f>(J325^2)/64.4</f>
        <v>0.12166943114973713</v>
      </c>
      <c r="L325" s="625">
        <f>(H325/((1.486/cell_NP)*((3.1416*(G325/12)^2)/4)*(G325/48)^(2/3)))^2</f>
        <v>2.2175567378144518E-3</v>
      </c>
      <c r="M325" s="622">
        <f>L325*I325</f>
        <v>1.0355989965593491</v>
      </c>
      <c r="N325" s="651" t="s">
        <v>10</v>
      </c>
      <c r="O325" s="654" t="s">
        <v>152</v>
      </c>
      <c r="P325" s="622">
        <f>IF(ISBLANK(O325)=FALSE,(VLOOKUP(O325,table_MINOR,2,FALSE))*(K325)," ")</f>
        <v>7.3001658689842278E-2</v>
      </c>
      <c r="Q325" s="622">
        <f>SUM(P325:P326)</f>
        <v>7.3001658689842278E-2</v>
      </c>
      <c r="R325" s="622">
        <f>Q325+M325</f>
        <v>1.1086006552491914</v>
      </c>
      <c r="S325" s="622">
        <f>IF(O325="T-INTERSECTION",T325,(T325-K325))</f>
        <v>395.55304957228878</v>
      </c>
      <c r="T325" s="622">
        <f>IF(O325="T-INTERSECTION",(R325+F325-K325),(R325+F325))</f>
        <v>395.6747190034385</v>
      </c>
      <c r="U325" s="622">
        <f>VLOOKUP(C325,table_CIA_JCTS,26)</f>
        <v>399.37</v>
      </c>
      <c r="V325" s="622">
        <f>U325-0.5-S325</f>
        <v>3.3169504277112196</v>
      </c>
      <c r="W325" s="622" t="s">
        <v>10</v>
      </c>
      <c r="X325" s="653" t="str">
        <f>IF(B325&gt;0,VLOOKUP(B325,table_CIA_JCTS,28)," ")</f>
        <v xml:space="preserve"> </v>
      </c>
    </row>
    <row r="326" spans="2:24" x14ac:dyDescent="0.2">
      <c r="B326" s="633" t="s">
        <v>10</v>
      </c>
      <c r="C326" s="640" t="s">
        <v>10</v>
      </c>
      <c r="D326" s="624" t="s">
        <v>10</v>
      </c>
      <c r="E326" s="622" t="s">
        <v>10</v>
      </c>
      <c r="F326" s="622" t="s">
        <v>10</v>
      </c>
      <c r="G326" s="624" t="s">
        <v>10</v>
      </c>
      <c r="H326" s="627" t="s">
        <v>10</v>
      </c>
      <c r="I326" s="624" t="s">
        <v>10</v>
      </c>
      <c r="J326" s="622" t="s">
        <v>10</v>
      </c>
      <c r="K326" s="651">
        <f>K325</f>
        <v>0.12166943114973713</v>
      </c>
      <c r="L326" s="625" t="s">
        <v>10</v>
      </c>
      <c r="M326" s="622" t="s">
        <v>10</v>
      </c>
      <c r="N326" s="651" t="s">
        <v>10</v>
      </c>
      <c r="O326" s="654" t="s">
        <v>10</v>
      </c>
      <c r="P326" s="655" t="s">
        <v>10</v>
      </c>
      <c r="Q326" s="622" t="s">
        <v>10</v>
      </c>
      <c r="R326" s="622" t="s">
        <v>10</v>
      </c>
      <c r="S326" s="622" t="s">
        <v>10</v>
      </c>
      <c r="T326" s="622" t="s">
        <v>10</v>
      </c>
      <c r="U326" s="622" t="s">
        <v>10</v>
      </c>
      <c r="V326" s="622" t="s">
        <v>10</v>
      </c>
      <c r="W326" s="622" t="s">
        <v>10</v>
      </c>
      <c r="X326" s="653" t="s">
        <v>10</v>
      </c>
    </row>
    <row r="327" spans="2:24" x14ac:dyDescent="0.2">
      <c r="B327" s="633">
        <v>105.1</v>
      </c>
      <c r="C327" s="640">
        <v>105</v>
      </c>
      <c r="D327" s="650" t="s">
        <v>10</v>
      </c>
      <c r="E327" s="622">
        <f>IF(B327=0,cell_HGL,IF(VLOOKUP(B327,table_HGL_JCTS,17,FALSE)&lt;X327,X327,VLOOKUP(B327,table_HGL_JCTS,17,FALSE)))</f>
        <v>395.55304957228878</v>
      </c>
      <c r="F327" s="622">
        <f>IF(B327=0,(E327+K327),IF(VLOOKUP(B327,table_HGL_JCTS,13,FALSE)="T-INTERSECTION",(E327+K327),(IF(VLOOKUP(B327,table_HGL_JCTS,17,FALSE)&lt;X327,(E327+K327),VLOOKUP(B327,table_HGL_JCTS,18,FALSE)))))</f>
        <v>395.6747190034385</v>
      </c>
      <c r="G327" s="624">
        <f>VLOOKUP(C327,table_CIA_JCTS,18)</f>
        <v>18</v>
      </c>
      <c r="H327" s="627">
        <f>VLOOKUP(C327,table_CIA_JCTS,17)</f>
        <v>3.640944117060696</v>
      </c>
      <c r="I327" s="624">
        <f>VLOOKUP(C327,table_CIA_JCTS,21)</f>
        <v>51</v>
      </c>
      <c r="J327" s="622">
        <f>H327/((G327/12)^2*3.1416/4)</f>
        <v>2.0603480842377251</v>
      </c>
      <c r="K327" s="622">
        <f>(J327^2)/64.4</f>
        <v>6.5916680562454408E-2</v>
      </c>
      <c r="L327" s="625">
        <f>(H327/((1.486/cell_NP)*((3.1416*(G327/12)^2)/4)*(G327/48)^(2/3)))^2</f>
        <v>1.2014026673284849E-3</v>
      </c>
      <c r="M327" s="622">
        <f>L327*I327</f>
        <v>6.1271536033752724E-2</v>
      </c>
      <c r="N327" s="651" t="s">
        <v>10</v>
      </c>
      <c r="O327" s="652"/>
      <c r="P327" s="622"/>
      <c r="Q327" s="622">
        <f>SUM(P327:P329)</f>
        <v>0</v>
      </c>
      <c r="R327" s="622">
        <f>Q327+M327</f>
        <v>6.1271536033752724E-2</v>
      </c>
      <c r="S327" s="622">
        <f>IF(O327="T-INTERSECTION",T327,(T327-K327))</f>
        <v>395.6700738589098</v>
      </c>
      <c r="T327" s="622">
        <f>IF(O327="T-INTERSECTION",(R327+F327-K327),(R327+F327))</f>
        <v>395.6700738589098</v>
      </c>
      <c r="U327" s="622">
        <f>VLOOKUP(C327,table_CIA_JCTS,26)</f>
        <v>399.04</v>
      </c>
      <c r="V327" s="622">
        <f>U327-0.5-S327</f>
        <v>2.8699261410902182</v>
      </c>
      <c r="W327" s="622" t="s">
        <v>10</v>
      </c>
      <c r="X327" s="653" t="str">
        <f>IF(B327&gt;0,VLOOKUP(B327,table_CIA_JCTS,28)," ")</f>
        <v xml:space="preserve"> </v>
      </c>
    </row>
    <row r="328" spans="2:24" x14ac:dyDescent="0.2">
      <c r="B328" s="633" t="s">
        <v>10</v>
      </c>
      <c r="C328" s="640" t="s">
        <v>10</v>
      </c>
      <c r="D328" s="624" t="s">
        <v>10</v>
      </c>
      <c r="E328" s="622" t="s">
        <v>10</v>
      </c>
      <c r="F328" s="622" t="s">
        <v>10</v>
      </c>
      <c r="G328" s="624" t="s">
        <v>10</v>
      </c>
      <c r="H328" s="627" t="s">
        <v>10</v>
      </c>
      <c r="I328" s="624" t="s">
        <v>10</v>
      </c>
      <c r="J328" s="622" t="s">
        <v>10</v>
      </c>
      <c r="K328" s="651">
        <f>K327</f>
        <v>6.5916680562454408E-2</v>
      </c>
      <c r="L328" s="625" t="s">
        <v>10</v>
      </c>
      <c r="M328" s="622" t="s">
        <v>10</v>
      </c>
      <c r="N328" s="651" t="s">
        <v>10</v>
      </c>
      <c r="O328" s="654"/>
      <c r="P328" s="622"/>
      <c r="Q328" s="622" t="s">
        <v>10</v>
      </c>
      <c r="R328" s="622" t="s">
        <v>10</v>
      </c>
      <c r="S328" s="622" t="s">
        <v>10</v>
      </c>
      <c r="T328" s="622" t="s">
        <v>10</v>
      </c>
      <c r="U328" s="622" t="s">
        <v>10</v>
      </c>
      <c r="V328" s="622" t="s">
        <v>10</v>
      </c>
      <c r="W328" s="622" t="s">
        <v>10</v>
      </c>
      <c r="X328" s="653" t="s">
        <v>10</v>
      </c>
    </row>
    <row r="329" spans="2:24" x14ac:dyDescent="0.2">
      <c r="B329" s="633" t="s">
        <v>10</v>
      </c>
      <c r="C329" s="640" t="s">
        <v>10</v>
      </c>
      <c r="D329" s="624" t="s">
        <v>10</v>
      </c>
      <c r="E329" s="622" t="s">
        <v>10</v>
      </c>
      <c r="F329" s="622" t="s">
        <v>10</v>
      </c>
      <c r="G329" s="624" t="s">
        <v>10</v>
      </c>
      <c r="H329" s="627" t="s">
        <v>10</v>
      </c>
      <c r="I329" s="624" t="s">
        <v>10</v>
      </c>
      <c r="J329" s="622" t="s">
        <v>10</v>
      </c>
      <c r="K329" s="651">
        <f>K328</f>
        <v>6.5916680562454408E-2</v>
      </c>
      <c r="L329" s="625" t="s">
        <v>10</v>
      </c>
      <c r="M329" s="622" t="s">
        <v>10</v>
      </c>
      <c r="N329" s="651" t="s">
        <v>10</v>
      </c>
      <c r="O329" s="654" t="s">
        <v>10</v>
      </c>
      <c r="P329" s="655" t="s">
        <v>10</v>
      </c>
      <c r="Q329" s="622" t="s">
        <v>10</v>
      </c>
      <c r="R329" s="622" t="s">
        <v>10</v>
      </c>
      <c r="S329" s="622" t="s">
        <v>10</v>
      </c>
      <c r="T329" s="622" t="s">
        <v>10</v>
      </c>
      <c r="U329" s="622" t="s">
        <v>10</v>
      </c>
      <c r="V329" s="622" t="s">
        <v>10</v>
      </c>
      <c r="W329" s="622" t="s">
        <v>10</v>
      </c>
      <c r="X329" s="653" t="s">
        <v>10</v>
      </c>
    </row>
    <row r="330" spans="2:24" x14ac:dyDescent="0.2">
      <c r="B330" s="633">
        <v>105.4</v>
      </c>
      <c r="C330" s="640">
        <v>105.3</v>
      </c>
      <c r="D330" s="650" t="s">
        <v>10</v>
      </c>
      <c r="E330" s="622">
        <f>IF(B330=0,cell_HGL,IF(VLOOKUP(B330,table_HGL_JCTS,17,FALSE)&lt;X330,X330,VLOOKUP(B330,table_HGL_JCTS,17,FALSE)))</f>
        <v>394.44444891703961</v>
      </c>
      <c r="F330" s="622">
        <f>IF(B330=0,(E330+K330),IF(VLOOKUP(B330,table_HGL_JCTS,13,FALSE)="T-INTERSECTION",(E330+K330),(IF(VLOOKUP(B330,table_HGL_JCTS,17,FALSE)&lt;X330,(E330+K330),VLOOKUP(B330,table_HGL_JCTS,18,FALSE)))))</f>
        <v>394.45538113420281</v>
      </c>
      <c r="G330" s="624">
        <f>VLOOKUP(C330,table_CIA_JCTS,18)</f>
        <v>18</v>
      </c>
      <c r="H330" s="627">
        <f>VLOOKUP(C330,table_CIA_JCTS,17)</f>
        <v>1.4827586757357525</v>
      </c>
      <c r="I330" s="624">
        <f>VLOOKUP(C330,table_CIA_JCTS,21)</f>
        <v>48</v>
      </c>
      <c r="J330" s="622">
        <f>H330/((G330/12)^2*3.1416/4)</f>
        <v>0.83906780733709785</v>
      </c>
      <c r="K330" s="622">
        <f>(J330^2)/64.4</f>
        <v>1.0932217163190762E-2</v>
      </c>
      <c r="L330" s="625">
        <f>(H330/((1.486/cell_NP)*((3.1416*(G330/12)^2)/4)*(G330/48)^(2/3)))^2</f>
        <v>1.9925146029201962E-4</v>
      </c>
      <c r="M330" s="622">
        <f>L330*I330</f>
        <v>9.564070094016941E-3</v>
      </c>
      <c r="N330" s="651" t="s">
        <v>10</v>
      </c>
      <c r="O330" s="654" t="s">
        <v>10</v>
      </c>
      <c r="P330" s="655" t="s">
        <v>10</v>
      </c>
      <c r="Q330" s="622">
        <f>SUM(P330)</f>
        <v>0</v>
      </c>
      <c r="R330" s="622">
        <f>Q330+M330</f>
        <v>9.564070094016941E-3</v>
      </c>
      <c r="S330" s="622">
        <f>IF(O330="T-INTERSECTION",T330,(T330-K330))</f>
        <v>394.45401298713364</v>
      </c>
      <c r="T330" s="622">
        <f>IF(O330="T-INTERSECTION",(R330+F330-K330),(R330+F330))</f>
        <v>394.46494520429684</v>
      </c>
      <c r="U330" s="622">
        <f>VLOOKUP(C330,table_CIA_JCTS,26)</f>
        <v>399.34</v>
      </c>
      <c r="V330" s="622">
        <f>U330-0.5-S330</f>
        <v>4.3859870128663374</v>
      </c>
      <c r="W330" s="622" t="s">
        <v>10</v>
      </c>
      <c r="X330" s="653" t="str">
        <f>IF(B330&gt;0,VLOOKUP(B330,table_CIA_JCTS,28)," ")</f>
        <v xml:space="preserve"> </v>
      </c>
    </row>
    <row r="331" spans="2:24" x14ac:dyDescent="0.2">
      <c r="B331" s="633" t="s">
        <v>10</v>
      </c>
      <c r="C331" s="640" t="s">
        <v>10</v>
      </c>
      <c r="D331" s="624" t="s">
        <v>10</v>
      </c>
      <c r="E331" s="622" t="s">
        <v>10</v>
      </c>
      <c r="F331" s="622" t="s">
        <v>10</v>
      </c>
      <c r="G331" s="624" t="s">
        <v>10</v>
      </c>
      <c r="H331" s="627" t="s">
        <v>10</v>
      </c>
      <c r="I331" s="624" t="s">
        <v>10</v>
      </c>
      <c r="J331" s="622" t="s">
        <v>10</v>
      </c>
      <c r="K331" s="651" t="s">
        <v>10</v>
      </c>
      <c r="L331" s="625" t="s">
        <v>10</v>
      </c>
      <c r="M331" s="622" t="s">
        <v>10</v>
      </c>
      <c r="N331" s="651" t="s">
        <v>10</v>
      </c>
      <c r="O331" s="654" t="s">
        <v>176</v>
      </c>
      <c r="P331" s="622" t="s">
        <v>10</v>
      </c>
      <c r="Q331" s="622" t="s">
        <v>10</v>
      </c>
      <c r="R331" s="622" t="s">
        <v>10</v>
      </c>
      <c r="S331" s="622" t="s">
        <v>10</v>
      </c>
      <c r="T331" s="622" t="s">
        <v>10</v>
      </c>
      <c r="U331" s="622" t="s">
        <v>10</v>
      </c>
      <c r="V331" s="622" t="s">
        <v>10</v>
      </c>
      <c r="W331" s="622" t="s">
        <v>10</v>
      </c>
      <c r="X331" s="653" t="s">
        <v>10</v>
      </c>
    </row>
    <row r="332" spans="2:24" x14ac:dyDescent="0.2">
      <c r="B332" s="633" t="s">
        <v>10</v>
      </c>
      <c r="C332" s="640" t="s">
        <v>10</v>
      </c>
      <c r="D332" s="624" t="s">
        <v>10</v>
      </c>
      <c r="E332" s="622" t="s">
        <v>10</v>
      </c>
      <c r="F332" s="622" t="s">
        <v>10</v>
      </c>
      <c r="G332" s="624" t="s">
        <v>10</v>
      </c>
      <c r="H332" s="627" t="s">
        <v>10</v>
      </c>
      <c r="I332" s="624" t="s">
        <v>10</v>
      </c>
      <c r="J332" s="622" t="s">
        <v>10</v>
      </c>
      <c r="K332" s="651" t="s">
        <v>10</v>
      </c>
      <c r="L332" s="625" t="s">
        <v>10</v>
      </c>
      <c r="M332" s="622" t="s">
        <v>10</v>
      </c>
      <c r="N332" s="651" t="s">
        <v>10</v>
      </c>
      <c r="O332" s="654" t="s">
        <v>176</v>
      </c>
      <c r="P332" s="622" t="s">
        <v>10</v>
      </c>
      <c r="Q332" s="622" t="s">
        <v>10</v>
      </c>
      <c r="R332" s="622" t="s">
        <v>10</v>
      </c>
      <c r="S332" s="622" t="s">
        <v>10</v>
      </c>
      <c r="T332" s="622" t="s">
        <v>10</v>
      </c>
      <c r="U332" s="622" t="s">
        <v>10</v>
      </c>
      <c r="V332" s="622" t="s">
        <v>10</v>
      </c>
      <c r="W332" s="622" t="s">
        <v>10</v>
      </c>
      <c r="X332" s="653" t="s">
        <v>10</v>
      </c>
    </row>
    <row r="333" spans="2:24" x14ac:dyDescent="0.2">
      <c r="B333" s="633">
        <v>105.4</v>
      </c>
      <c r="C333" s="640">
        <v>105.2</v>
      </c>
      <c r="D333" s="650" t="s">
        <v>10</v>
      </c>
      <c r="E333" s="622">
        <f>IF(B333=0,cell_HGL,IF(VLOOKUP(B333,table_HGL_JCTS,17,FALSE)&lt;X333,X333,VLOOKUP(B333,table_HGL_JCTS,17,FALSE)))</f>
        <v>394.44444891703961</v>
      </c>
      <c r="F333" s="622">
        <f>IF(B333=0,(E333+K333),IF(VLOOKUP(B333,table_HGL_JCTS,13,FALSE)="T-INTERSECTION",(E333+K333),(IF(VLOOKUP(B333,table_HGL_JCTS,17,FALSE)&lt;X333,(E333+K333),VLOOKUP(B333,table_HGL_JCTS,18,FALSE)))))</f>
        <v>394.50489106940665</v>
      </c>
      <c r="G333" s="624">
        <f>VLOOKUP(C333,table_CIA_JCTS,18)</f>
        <v>24</v>
      </c>
      <c r="H333" s="627">
        <f>VLOOKUP(C333,table_CIA_JCTS,17)</f>
        <v>6.198174266543405</v>
      </c>
      <c r="I333" s="624">
        <f>VLOOKUP(C333,table_CIA_JCTS,21)</f>
        <v>39</v>
      </c>
      <c r="J333" s="622">
        <f>H333/((G333/12)^2*3.1416/4)</f>
        <v>1.9729355317492376</v>
      </c>
      <c r="K333" s="622">
        <f>(J333^2)/64.4</f>
        <v>6.0442152367059729E-2</v>
      </c>
      <c r="L333" s="625">
        <f>(H333/((1.486/cell_NP)*((3.1416*(G333/12)^2)/4)*(G333/48)^(2/3)))^2</f>
        <v>7.5066851707583019E-4</v>
      </c>
      <c r="M333" s="622">
        <f>L333*I333</f>
        <v>2.9276072165957377E-2</v>
      </c>
      <c r="N333" s="651" t="s">
        <v>10</v>
      </c>
      <c r="O333" s="654" t="s">
        <v>10</v>
      </c>
      <c r="P333" s="655" t="s">
        <v>10</v>
      </c>
      <c r="Q333" s="622">
        <f>SUM(P333)</f>
        <v>0</v>
      </c>
      <c r="R333" s="622">
        <f>Q333+M333</f>
        <v>2.9276072165957377E-2</v>
      </c>
      <c r="S333" s="622">
        <f>IF(O333="T-INTERSECTION",T333,(T333-K333))</f>
        <v>394.47372498920555</v>
      </c>
      <c r="T333" s="622">
        <f>IF(O333="T-INTERSECTION",(R333+F333-K333),(R333+F333))</f>
        <v>394.5341671415726</v>
      </c>
      <c r="U333" s="622">
        <f>VLOOKUP(C333,table_CIA_JCTS,26)</f>
        <v>399.18</v>
      </c>
      <c r="V333" s="622">
        <f>U333-0.5-S333</f>
        <v>4.2062750107944566</v>
      </c>
      <c r="W333" s="622" t="s">
        <v>10</v>
      </c>
      <c r="X333" s="653" t="str">
        <f>IF(B333&gt;0,VLOOKUP(B333,table_CIA_JCTS,28)," ")</f>
        <v xml:space="preserve"> </v>
      </c>
    </row>
    <row r="334" spans="2:24" x14ac:dyDescent="0.2">
      <c r="B334" s="633" t="s">
        <v>10</v>
      </c>
      <c r="C334" s="640" t="s">
        <v>10</v>
      </c>
      <c r="D334" s="624" t="s">
        <v>10</v>
      </c>
      <c r="E334" s="622" t="s">
        <v>10</v>
      </c>
      <c r="F334" s="622" t="s">
        <v>10</v>
      </c>
      <c r="G334" s="624" t="s">
        <v>10</v>
      </c>
      <c r="H334" s="627" t="s">
        <v>10</v>
      </c>
      <c r="I334" s="624" t="s">
        <v>10</v>
      </c>
      <c r="J334" s="622" t="s">
        <v>10</v>
      </c>
      <c r="K334" s="651" t="s">
        <v>10</v>
      </c>
      <c r="L334" s="625" t="s">
        <v>10</v>
      </c>
      <c r="M334" s="622" t="s">
        <v>10</v>
      </c>
      <c r="N334" s="651" t="s">
        <v>10</v>
      </c>
      <c r="O334" s="654" t="s">
        <v>176</v>
      </c>
      <c r="P334" s="622" t="s">
        <v>10</v>
      </c>
      <c r="Q334" s="622" t="s">
        <v>10</v>
      </c>
      <c r="R334" s="622" t="s">
        <v>10</v>
      </c>
      <c r="S334" s="622" t="s">
        <v>10</v>
      </c>
      <c r="T334" s="622" t="s">
        <v>10</v>
      </c>
      <c r="U334" s="622" t="s">
        <v>10</v>
      </c>
      <c r="V334" s="622" t="s">
        <v>10</v>
      </c>
      <c r="W334" s="622" t="s">
        <v>10</v>
      </c>
      <c r="X334" s="653" t="s">
        <v>10</v>
      </c>
    </row>
    <row r="335" spans="2:24" x14ac:dyDescent="0.2">
      <c r="B335" s="633" t="s">
        <v>10</v>
      </c>
      <c r="C335" s="640" t="s">
        <v>10</v>
      </c>
      <c r="D335" s="624" t="s">
        <v>10</v>
      </c>
      <c r="E335" s="622" t="s">
        <v>10</v>
      </c>
      <c r="F335" s="622" t="s">
        <v>10</v>
      </c>
      <c r="G335" s="624" t="s">
        <v>10</v>
      </c>
      <c r="H335" s="627" t="s">
        <v>10</v>
      </c>
      <c r="I335" s="624" t="s">
        <v>10</v>
      </c>
      <c r="J335" s="622" t="s">
        <v>10</v>
      </c>
      <c r="K335" s="651" t="s">
        <v>10</v>
      </c>
      <c r="L335" s="625" t="s">
        <v>10</v>
      </c>
      <c r="M335" s="622" t="s">
        <v>10</v>
      </c>
      <c r="N335" s="651" t="s">
        <v>10</v>
      </c>
      <c r="O335" s="654" t="s">
        <v>176</v>
      </c>
      <c r="P335" s="622" t="s">
        <v>10</v>
      </c>
      <c r="Q335" s="622" t="s">
        <v>10</v>
      </c>
      <c r="R335" s="622" t="s">
        <v>10</v>
      </c>
      <c r="S335" s="622" t="s">
        <v>10</v>
      </c>
      <c r="T335" s="622" t="s">
        <v>10</v>
      </c>
      <c r="U335" s="622" t="s">
        <v>10</v>
      </c>
      <c r="V335" s="622" t="s">
        <v>10</v>
      </c>
      <c r="W335" s="622" t="s">
        <v>10</v>
      </c>
      <c r="X335" s="653" t="s">
        <v>10</v>
      </c>
    </row>
    <row r="336" spans="2:24" x14ac:dyDescent="0.2">
      <c r="B336" s="633">
        <v>108.4</v>
      </c>
      <c r="C336" s="640">
        <v>108.3</v>
      </c>
      <c r="D336" s="650" t="s">
        <v>10</v>
      </c>
      <c r="E336" s="622">
        <f>IF(B336=0,cell_HGL,IF(VLOOKUP(B336,table_HGL_JCTS,17,FALSE)&lt;X336,X336,VLOOKUP(B336,table_HGL_JCTS,17,FALSE)))</f>
        <v>392.31825291732781</v>
      </c>
      <c r="F336" s="622">
        <f>IF(B336=0,(E336+K336),IF(VLOOKUP(B336,table_HGL_JCTS,13,FALSE)="T-INTERSECTION",(E336+K336),(IF(VLOOKUP(B336,table_HGL_JCTS,17,FALSE)&lt;X336,(E336+K336),VLOOKUP(B336,table_HGL_JCTS,18,FALSE)))))</f>
        <v>392.51332844246116</v>
      </c>
      <c r="G336" s="624">
        <f>VLOOKUP(C336,table_CIA_JCTS,18)</f>
        <v>18</v>
      </c>
      <c r="H336" s="627">
        <f>VLOOKUP(C336,table_CIA_JCTS,17)</f>
        <v>2.5881802237403817</v>
      </c>
      <c r="I336" s="624">
        <f>VLOOKUP(C336,table_CIA_JCTS,21)</f>
        <v>13</v>
      </c>
      <c r="J336" s="622">
        <f>H336/((G336/12)^2*3.1416/4)</f>
        <v>1.4646069794530072</v>
      </c>
      <c r="K336" s="622">
        <f>(J336^2)/64.4</f>
        <v>3.3308596339479211E-2</v>
      </c>
      <c r="L336" s="625">
        <f>(H336/((1.486/cell_NP)*((3.1416*(G336/12)^2)/4)*(G336/48)^(2/3)))^2</f>
        <v>6.070851284646076E-4</v>
      </c>
      <c r="M336" s="622">
        <f>L336*I336</f>
        <v>7.892106670039898E-3</v>
      </c>
      <c r="N336" s="651" t="s">
        <v>10</v>
      </c>
      <c r="O336" s="652" t="s">
        <v>130</v>
      </c>
      <c r="P336" s="622">
        <f>IF(ISBLANK(O336)=FALSE,(VLOOKUP(O336,table_MINOR,2,FALSE))*(K336)," ")</f>
        <v>9.9925789018437631E-3</v>
      </c>
      <c r="Q336" s="622">
        <f>SUM(P336)</f>
        <v>9.9925789018437631E-3</v>
      </c>
      <c r="R336" s="622">
        <f>Q336+M336</f>
        <v>1.7884685571883663E-2</v>
      </c>
      <c r="S336" s="622">
        <f>IF(O336="T-INTERSECTION",T336,(T336-K336))</f>
        <v>392.49790453169356</v>
      </c>
      <c r="T336" s="622">
        <f>IF(O336="T-INTERSECTION",(R336+F336-K336),(R336+F336))</f>
        <v>392.53121312803302</v>
      </c>
      <c r="U336" s="622">
        <f>VLOOKUP(C336,table_CIA_JCTS,26)</f>
        <v>400.45</v>
      </c>
      <c r="V336" s="622">
        <f>U336-0.5-S336</f>
        <v>7.4520954683064247</v>
      </c>
      <c r="W336" s="622" t="s">
        <v>10</v>
      </c>
      <c r="X336" s="653" t="str">
        <f>IF(B336&gt;0,VLOOKUP(B336,table_CIA_JCTS,28)," ")</f>
        <v xml:space="preserve"> </v>
      </c>
    </row>
    <row r="337" spans="2:24" x14ac:dyDescent="0.2">
      <c r="B337" s="633" t="s">
        <v>10</v>
      </c>
      <c r="C337" s="640" t="s">
        <v>10</v>
      </c>
      <c r="D337" s="624" t="s">
        <v>10</v>
      </c>
      <c r="E337" s="622" t="s">
        <v>10</v>
      </c>
      <c r="F337" s="622" t="s">
        <v>10</v>
      </c>
      <c r="G337" s="624" t="s">
        <v>10</v>
      </c>
      <c r="H337" s="627" t="s">
        <v>10</v>
      </c>
      <c r="I337" s="624" t="s">
        <v>10</v>
      </c>
      <c r="J337" s="622" t="s">
        <v>10</v>
      </c>
      <c r="K337" s="651" t="s">
        <v>10</v>
      </c>
      <c r="L337" s="625" t="s">
        <v>10</v>
      </c>
      <c r="M337" s="622" t="s">
        <v>10</v>
      </c>
      <c r="N337" s="651" t="s">
        <v>10</v>
      </c>
      <c r="O337" s="654" t="s">
        <v>176</v>
      </c>
      <c r="P337" s="622" t="s">
        <v>10</v>
      </c>
      <c r="Q337" s="622" t="s">
        <v>10</v>
      </c>
      <c r="R337" s="622" t="s">
        <v>10</v>
      </c>
      <c r="S337" s="622" t="s">
        <v>10</v>
      </c>
      <c r="T337" s="622" t="s">
        <v>10</v>
      </c>
      <c r="U337" s="622" t="s">
        <v>10</v>
      </c>
      <c r="V337" s="622" t="s">
        <v>10</v>
      </c>
      <c r="W337" s="622" t="s">
        <v>10</v>
      </c>
      <c r="X337" s="653" t="s">
        <v>10</v>
      </c>
    </row>
    <row r="338" spans="2:24" x14ac:dyDescent="0.2">
      <c r="B338" s="633">
        <v>108.3</v>
      </c>
      <c r="C338" s="640">
        <v>108.2</v>
      </c>
      <c r="D338" s="650" t="s">
        <v>10</v>
      </c>
      <c r="E338" s="622">
        <f>IF(B338=0,cell_HGL,IF(VLOOKUP(B338,table_HGL_JCTS,17,FALSE)&lt;X338,X338,VLOOKUP(B338,table_HGL_JCTS,17,FALSE)))</f>
        <v>392.49790453169356</v>
      </c>
      <c r="F338" s="622">
        <f>IF(B338=0,(E338+K338),IF(VLOOKUP(B338,table_HGL_JCTS,13,FALSE)="T-INTERSECTION",(E338+K338),(IF(VLOOKUP(B338,table_HGL_JCTS,17,FALSE)&lt;X338,(E338+K338),VLOOKUP(B338,table_HGL_JCTS,18,FALSE)))))</f>
        <v>392.53121312803302</v>
      </c>
      <c r="G338" s="624">
        <f>VLOOKUP(C338,table_CIA_JCTS,18)</f>
        <v>18</v>
      </c>
      <c r="H338" s="627">
        <f>VLOOKUP(C338,table_CIA_JCTS,17)</f>
        <v>1.9979830215633518</v>
      </c>
      <c r="I338" s="624">
        <f>VLOOKUP(C338,table_CIA_JCTS,21)</f>
        <v>26</v>
      </c>
      <c r="J338" s="622">
        <f>H338/((G338/12)^2*3.1416/4)</f>
        <v>1.1306244640032548</v>
      </c>
      <c r="K338" s="622">
        <f>(J338^2)/64.4</f>
        <v>1.9849560226749177E-2</v>
      </c>
      <c r="L338" s="625">
        <f>(H338/((1.486/cell_NP)*((3.1416*(G338/12)^2)/4)*(G338/48)^(2/3)))^2</f>
        <v>3.6177966484703572E-4</v>
      </c>
      <c r="M338" s="622">
        <f>L338*I338</f>
        <v>9.4062712860229283E-3</v>
      </c>
      <c r="N338" s="651" t="s">
        <v>10</v>
      </c>
      <c r="O338" s="654" t="s">
        <v>10</v>
      </c>
      <c r="P338" s="655" t="s">
        <v>10</v>
      </c>
      <c r="Q338" s="622">
        <f>SUM(P338)</f>
        <v>0</v>
      </c>
      <c r="R338" s="622">
        <f>Q338+M338</f>
        <v>9.4062712860229283E-3</v>
      </c>
      <c r="S338" s="622">
        <f>IF(O338="T-INTERSECTION",T338,(T338-K338))</f>
        <v>392.52076983909228</v>
      </c>
      <c r="T338" s="622">
        <f>IF(O338="T-INTERSECTION",(R338+F338-K338),(R338+F338))</f>
        <v>392.54061939931904</v>
      </c>
      <c r="U338" s="622">
        <f>VLOOKUP(C338,table_CIA_JCTS,26)</f>
        <v>400.8</v>
      </c>
      <c r="V338" s="622">
        <f>U338-0.5-S338</f>
        <v>7.7792301609077299</v>
      </c>
      <c r="W338" s="622" t="s">
        <v>10</v>
      </c>
      <c r="X338" s="653" t="str">
        <f>IF(B338&gt;0,VLOOKUP(B338,table_CIA_JCTS,28)," ")</f>
        <v xml:space="preserve"> </v>
      </c>
    </row>
    <row r="339" spans="2:24" x14ac:dyDescent="0.2">
      <c r="B339" s="633" t="s">
        <v>10</v>
      </c>
      <c r="C339" s="640" t="s">
        <v>10</v>
      </c>
      <c r="D339" s="624" t="s">
        <v>10</v>
      </c>
      <c r="E339" s="622" t="s">
        <v>10</v>
      </c>
      <c r="F339" s="622" t="s">
        <v>10</v>
      </c>
      <c r="G339" s="624" t="s">
        <v>10</v>
      </c>
      <c r="H339" s="627" t="s">
        <v>10</v>
      </c>
      <c r="I339" s="624" t="s">
        <v>10</v>
      </c>
      <c r="J339" s="622" t="s">
        <v>10</v>
      </c>
      <c r="K339" s="651" t="s">
        <v>10</v>
      </c>
      <c r="L339" s="625" t="s">
        <v>10</v>
      </c>
      <c r="M339" s="622" t="s">
        <v>10</v>
      </c>
      <c r="N339" s="651" t="s">
        <v>10</v>
      </c>
      <c r="O339" s="654" t="s">
        <v>176</v>
      </c>
      <c r="P339" s="622" t="s">
        <v>10</v>
      </c>
      <c r="Q339" s="622" t="s">
        <v>10</v>
      </c>
      <c r="R339" s="622" t="s">
        <v>10</v>
      </c>
      <c r="S339" s="622" t="s">
        <v>10</v>
      </c>
      <c r="T339" s="622" t="s">
        <v>10</v>
      </c>
      <c r="U339" s="622" t="s">
        <v>10</v>
      </c>
      <c r="V339" s="622" t="s">
        <v>10</v>
      </c>
      <c r="W339" s="622" t="s">
        <v>10</v>
      </c>
      <c r="X339" s="653" t="s">
        <v>10</v>
      </c>
    </row>
    <row r="340" spans="2:24" x14ac:dyDescent="0.2">
      <c r="B340" s="633" t="s">
        <v>10</v>
      </c>
      <c r="C340" s="640" t="s">
        <v>10</v>
      </c>
      <c r="D340" s="624" t="s">
        <v>10</v>
      </c>
      <c r="E340" s="622" t="s">
        <v>10</v>
      </c>
      <c r="F340" s="622" t="s">
        <v>10</v>
      </c>
      <c r="G340" s="624" t="s">
        <v>10</v>
      </c>
      <c r="H340" s="627" t="s">
        <v>10</v>
      </c>
      <c r="I340" s="624" t="s">
        <v>10</v>
      </c>
      <c r="J340" s="622" t="s">
        <v>10</v>
      </c>
      <c r="K340" s="651" t="s">
        <v>10</v>
      </c>
      <c r="L340" s="625" t="s">
        <v>10</v>
      </c>
      <c r="M340" s="622" t="s">
        <v>10</v>
      </c>
      <c r="N340" s="651" t="s">
        <v>10</v>
      </c>
      <c r="O340" s="654" t="s">
        <v>176</v>
      </c>
      <c r="P340" s="622" t="s">
        <v>10</v>
      </c>
      <c r="Q340" s="622" t="s">
        <v>10</v>
      </c>
      <c r="R340" s="622" t="s">
        <v>10</v>
      </c>
      <c r="S340" s="622" t="s">
        <v>10</v>
      </c>
      <c r="T340" s="622" t="s">
        <v>10</v>
      </c>
      <c r="U340" s="622" t="s">
        <v>10</v>
      </c>
      <c r="V340" s="622" t="s">
        <v>10</v>
      </c>
      <c r="W340" s="622" t="s">
        <v>10</v>
      </c>
      <c r="X340" s="653" t="s">
        <v>10</v>
      </c>
    </row>
    <row r="341" spans="2:24" x14ac:dyDescent="0.2">
      <c r="B341" s="633">
        <v>108.4</v>
      </c>
      <c r="C341" s="640">
        <v>108.1</v>
      </c>
      <c r="D341" s="650" t="s">
        <v>10</v>
      </c>
      <c r="E341" s="622">
        <f>IF(B341=0,cell_HGL,IF(VLOOKUP(B341,table_HGL_JCTS,17,FALSE)&lt;X341,X341,VLOOKUP(B341,table_HGL_JCTS,17,FALSE)))</f>
        <v>392.31825291732781</v>
      </c>
      <c r="F341" s="622">
        <f>IF(B341=0,(E341+K341),IF(VLOOKUP(B341,table_HGL_JCTS,13,FALSE)="T-INTERSECTION",(E341+K341),(IF(VLOOKUP(B341,table_HGL_JCTS,17,FALSE)&lt;X341,(E341+K341),VLOOKUP(B341,table_HGL_JCTS,18,FALSE)))))</f>
        <v>392.51332844246116</v>
      </c>
      <c r="G341" s="624">
        <f>VLOOKUP(C341,table_CIA_JCTS,18)</f>
        <v>18</v>
      </c>
      <c r="H341" s="627">
        <f>VLOOKUP(C341,table_CIA_JCTS,17)</f>
        <v>2.1910340936752863</v>
      </c>
      <c r="I341" s="624">
        <f>VLOOKUP(C341,table_CIA_JCTS,21)</f>
        <v>36</v>
      </c>
      <c r="J341" s="622">
        <f>H341/((G341/12)^2*3.1416/4)</f>
        <v>1.2398687681720773</v>
      </c>
      <c r="K341" s="622">
        <f>(J341^2)/64.4</f>
        <v>2.3870723016902858E-2</v>
      </c>
      <c r="L341" s="625">
        <f>(H341/((1.486/cell_NP)*((3.1416*(G341/12)^2)/4)*(G341/48)^(2/3)))^2</f>
        <v>4.3506969797113093E-4</v>
      </c>
      <c r="M341" s="622">
        <f>L341*I341</f>
        <v>1.5662509126960714E-2</v>
      </c>
      <c r="N341" s="651" t="s">
        <v>10</v>
      </c>
      <c r="O341" s="652" t="s">
        <v>130</v>
      </c>
      <c r="P341" s="622">
        <f>IF(ISBLANK(O341)=FALSE,(VLOOKUP(O341,table_MINOR,2,FALSE))*(K341)," ")</f>
        <v>7.1612169050708566E-3</v>
      </c>
      <c r="Q341" s="622">
        <f>SUM(P341:P342)</f>
        <v>7.1612169050708566E-3</v>
      </c>
      <c r="R341" s="622">
        <f>Q341+M341</f>
        <v>2.2823726032031571E-2</v>
      </c>
      <c r="S341" s="622">
        <f>IF(O341="T-INTERSECTION",T341,(T341-K341))</f>
        <v>392.51228144547628</v>
      </c>
      <c r="T341" s="622">
        <f>IF(O341="T-INTERSECTION",(R341+F341-K341),(R341+F341))</f>
        <v>392.53615216849317</v>
      </c>
      <c r="U341" s="622">
        <f>VLOOKUP(C341,table_CIA_JCTS,26)</f>
        <v>400.45</v>
      </c>
      <c r="V341" s="622">
        <f>U341-0.5-S341</f>
        <v>7.4377185545237126</v>
      </c>
      <c r="W341" s="622" t="s">
        <v>10</v>
      </c>
      <c r="X341" s="653" t="str">
        <f>IF(B341&gt;0,VLOOKUP(B341,table_CIA_JCTS,28)," ")</f>
        <v xml:space="preserve"> </v>
      </c>
    </row>
    <row r="342" spans="2:24" x14ac:dyDescent="0.2">
      <c r="B342" s="633" t="s">
        <v>10</v>
      </c>
      <c r="C342" s="640" t="s">
        <v>10</v>
      </c>
      <c r="D342" s="624" t="s">
        <v>10</v>
      </c>
      <c r="E342" s="622" t="s">
        <v>10</v>
      </c>
      <c r="F342" s="622" t="s">
        <v>10</v>
      </c>
      <c r="G342" s="624" t="s">
        <v>10</v>
      </c>
      <c r="H342" s="627" t="s">
        <v>10</v>
      </c>
      <c r="I342" s="624" t="s">
        <v>10</v>
      </c>
      <c r="J342" s="622" t="s">
        <v>10</v>
      </c>
      <c r="K342" s="651">
        <f>K341</f>
        <v>2.3870723016902858E-2</v>
      </c>
      <c r="L342" s="625" t="s">
        <v>10</v>
      </c>
      <c r="M342" s="622" t="s">
        <v>10</v>
      </c>
      <c r="N342" s="651" t="s">
        <v>10</v>
      </c>
      <c r="O342" s="654" t="s">
        <v>10</v>
      </c>
      <c r="P342" s="655" t="s">
        <v>10</v>
      </c>
      <c r="Q342" s="622" t="s">
        <v>10</v>
      </c>
      <c r="R342" s="622" t="s">
        <v>10</v>
      </c>
      <c r="S342" s="622" t="s">
        <v>10</v>
      </c>
      <c r="T342" s="622" t="s">
        <v>10</v>
      </c>
      <c r="U342" s="622" t="s">
        <v>10</v>
      </c>
      <c r="V342" s="622" t="s">
        <v>10</v>
      </c>
      <c r="W342" s="622" t="s">
        <v>10</v>
      </c>
      <c r="X342" s="653" t="s">
        <v>10</v>
      </c>
    </row>
    <row r="343" spans="2:24" x14ac:dyDescent="0.2">
      <c r="B343" s="633">
        <v>108.1</v>
      </c>
      <c r="C343" s="640">
        <v>108</v>
      </c>
      <c r="D343" s="650" t="s">
        <v>10</v>
      </c>
      <c r="E343" s="622">
        <f>IF(B343=0,cell_HGL,IF(VLOOKUP(B343,table_HGL_JCTS,17,FALSE)&lt;X343,X343,VLOOKUP(B343,table_HGL_JCTS,17,FALSE)))</f>
        <v>392.51228144547628</v>
      </c>
      <c r="F343" s="622">
        <f>IF(B343=0,(E343+K343),IF(VLOOKUP(B343,table_HGL_JCTS,13,FALSE)="T-INTERSECTION",(E343+K343),(IF(VLOOKUP(B343,table_HGL_JCTS,17,FALSE)&lt;X343,(E343+K343),VLOOKUP(B343,table_HGL_JCTS,18,FALSE)))))</f>
        <v>392.53615216849317</v>
      </c>
      <c r="G343" s="624">
        <f>VLOOKUP(C343,table_CIA_JCTS,18)</f>
        <v>18</v>
      </c>
      <c r="H343" s="627">
        <f>VLOOKUP(C343,table_CIA_JCTS,17)</f>
        <v>1.7466232353128788</v>
      </c>
      <c r="I343" s="624">
        <f>VLOOKUP(C343,table_CIA_JCTS,21)</f>
        <v>39</v>
      </c>
      <c r="J343" s="622">
        <f>H343/((G343/12)^2*3.1416/4)</f>
        <v>0.98838425448483647</v>
      </c>
      <c r="K343" s="622">
        <f>(J343^2)/64.4</f>
        <v>1.5169307989340776E-2</v>
      </c>
      <c r="L343" s="625">
        <f>(H343/((1.486/cell_NP)*((3.1416*(G343/12)^2)/4)*(G343/48)^(2/3)))^2</f>
        <v>2.7647701498946227E-4</v>
      </c>
      <c r="M343" s="622">
        <f>L343*I343</f>
        <v>1.0782603584589028E-2</v>
      </c>
      <c r="N343" s="651" t="s">
        <v>10</v>
      </c>
      <c r="O343" s="654" t="s">
        <v>10</v>
      </c>
      <c r="P343" s="655" t="s">
        <v>10</v>
      </c>
      <c r="Q343" s="622">
        <f>SUM(P343)</f>
        <v>0</v>
      </c>
      <c r="R343" s="622">
        <f>Q343+M343</f>
        <v>1.0782603584589028E-2</v>
      </c>
      <c r="S343" s="622">
        <f>IF(O343="T-INTERSECTION",T343,(T343-K343))</f>
        <v>392.53176546408838</v>
      </c>
      <c r="T343" s="622">
        <f>IF(O343="T-INTERSECTION",(R343+F343-K343),(R343+F343))</f>
        <v>392.54693477207775</v>
      </c>
      <c r="U343" s="622">
        <f>VLOOKUP(C343,table_CIA_JCTS,26)</f>
        <v>400.37</v>
      </c>
      <c r="V343" s="622">
        <f>U343-0.5-S343</f>
        <v>7.3382345359116243</v>
      </c>
      <c r="W343" s="622" t="s">
        <v>10</v>
      </c>
      <c r="X343" s="653" t="str">
        <f>IF(B343&gt;0,VLOOKUP(B343,table_CIA_JCTS,28)," ")</f>
        <v xml:space="preserve"> </v>
      </c>
    </row>
    <row r="344" spans="2:24" x14ac:dyDescent="0.2">
      <c r="B344" s="633" t="s">
        <v>10</v>
      </c>
      <c r="C344" s="640" t="s">
        <v>10</v>
      </c>
      <c r="D344" s="624" t="s">
        <v>10</v>
      </c>
      <c r="E344" s="622" t="s">
        <v>10</v>
      </c>
      <c r="F344" s="622" t="s">
        <v>10</v>
      </c>
      <c r="G344" s="624" t="s">
        <v>10</v>
      </c>
      <c r="H344" s="627" t="s">
        <v>10</v>
      </c>
      <c r="I344" s="624" t="s">
        <v>10</v>
      </c>
      <c r="J344" s="622" t="s">
        <v>10</v>
      </c>
      <c r="K344" s="651" t="s">
        <v>10</v>
      </c>
      <c r="L344" s="625" t="s">
        <v>10</v>
      </c>
      <c r="M344" s="622" t="s">
        <v>10</v>
      </c>
      <c r="N344" s="651" t="s">
        <v>10</v>
      </c>
      <c r="O344" s="654" t="s">
        <v>176</v>
      </c>
      <c r="P344" s="622" t="s">
        <v>10</v>
      </c>
      <c r="Q344" s="622" t="s">
        <v>10</v>
      </c>
      <c r="R344" s="622" t="s">
        <v>10</v>
      </c>
      <c r="S344" s="622" t="s">
        <v>10</v>
      </c>
      <c r="T344" s="622" t="s">
        <v>10</v>
      </c>
      <c r="U344" s="622" t="s">
        <v>10</v>
      </c>
      <c r="V344" s="622" t="s">
        <v>10</v>
      </c>
      <c r="W344" s="622" t="s">
        <v>10</v>
      </c>
      <c r="X344" s="653" t="s">
        <v>10</v>
      </c>
    </row>
    <row r="345" spans="2:24" x14ac:dyDescent="0.2">
      <c r="B345" s="633" t="s">
        <v>10</v>
      </c>
      <c r="C345" s="640" t="s">
        <v>10</v>
      </c>
      <c r="D345" s="624" t="s">
        <v>10</v>
      </c>
      <c r="E345" s="622" t="s">
        <v>10</v>
      </c>
      <c r="F345" s="622" t="s">
        <v>10</v>
      </c>
      <c r="G345" s="624" t="s">
        <v>10</v>
      </c>
      <c r="H345" s="627" t="s">
        <v>10</v>
      </c>
      <c r="I345" s="624" t="s">
        <v>10</v>
      </c>
      <c r="J345" s="622" t="s">
        <v>10</v>
      </c>
      <c r="K345" s="651" t="s">
        <v>10</v>
      </c>
      <c r="L345" s="625" t="s">
        <v>10</v>
      </c>
      <c r="M345" s="622" t="s">
        <v>10</v>
      </c>
      <c r="N345" s="651" t="s">
        <v>10</v>
      </c>
      <c r="O345" s="654" t="s">
        <v>176</v>
      </c>
      <c r="P345" s="622" t="s">
        <v>10</v>
      </c>
      <c r="Q345" s="622" t="s">
        <v>10</v>
      </c>
      <c r="R345" s="622" t="s">
        <v>10</v>
      </c>
      <c r="S345" s="622" t="s">
        <v>10</v>
      </c>
      <c r="T345" s="622" t="s">
        <v>10</v>
      </c>
      <c r="U345" s="622" t="s">
        <v>10</v>
      </c>
      <c r="V345" s="622" t="s">
        <v>10</v>
      </c>
      <c r="W345" s="622" t="s">
        <v>10</v>
      </c>
      <c r="X345" s="653" t="s">
        <v>10</v>
      </c>
    </row>
    <row r="346" spans="2:24" x14ac:dyDescent="0.2">
      <c r="B346" s="633">
        <v>110</v>
      </c>
      <c r="C346" s="640">
        <v>109.2</v>
      </c>
      <c r="D346" s="650" t="s">
        <v>10</v>
      </c>
      <c r="E346" s="622">
        <f>IF(B346=0,cell_HGL,IF(VLOOKUP(B346,table_HGL_JCTS,17,FALSE)&lt;X346,X346,VLOOKUP(B346,table_HGL_JCTS,17,FALSE)))</f>
        <v>392.05126334970583</v>
      </c>
      <c r="F346" s="622">
        <f>IF(B346=0,(E346+K346),IF(VLOOKUP(B346,table_HGL_JCTS,13,FALSE)="T-INTERSECTION",(E346+K346),(IF(VLOOKUP(B346,table_HGL_JCTS,17,FALSE)&lt;X346,(E346+K346),VLOOKUP(B346,table_HGL_JCTS,18,FALSE)))))</f>
        <v>392.27445393902315</v>
      </c>
      <c r="G346" s="624">
        <f>VLOOKUP(C346,table_CIA_JCTS,18)</f>
        <v>24</v>
      </c>
      <c r="H346" s="627">
        <f>VLOOKUP(C346,table_CIA_JCTS,17)</f>
        <v>5.427290028255439</v>
      </c>
      <c r="I346" s="624">
        <f>VLOOKUP(C346,table_CIA_JCTS,21)</f>
        <v>554</v>
      </c>
      <c r="J346" s="622">
        <f>H346/((G346/12)^2*3.1416/4)</f>
        <v>1.7275560314029281</v>
      </c>
      <c r="K346" s="622">
        <f>(J346^2)/64.4</f>
        <v>4.6342388845289358E-2</v>
      </c>
      <c r="L346" s="625">
        <f>(H346/((1.486/cell_NP)*((3.1416*(G346/12)^2)/4)*(G346/48)^(2/3)))^2</f>
        <v>5.7555482308078402E-4</v>
      </c>
      <c r="M346" s="622">
        <f>L346*I346</f>
        <v>0.31885737198675435</v>
      </c>
      <c r="N346" s="651" t="s">
        <v>10</v>
      </c>
      <c r="O346" s="652" t="s">
        <v>130</v>
      </c>
      <c r="P346" s="622">
        <f>IF(ISBLANK(O346)=FALSE,(VLOOKUP(O346,table_MINOR,2,FALSE))*(K346)," ")</f>
        <v>1.3902716653586807E-2</v>
      </c>
      <c r="Q346" s="622">
        <f>SUM(P346:P347)</f>
        <v>1.3902716653586807E-2</v>
      </c>
      <c r="R346" s="622">
        <f>Q346+M346</f>
        <v>0.33276008864034118</v>
      </c>
      <c r="S346" s="622">
        <f>IF(O346="T-INTERSECTION",T346,(T346-K346))</f>
        <v>392.56087163881818</v>
      </c>
      <c r="T346" s="622">
        <f>IF(O346="T-INTERSECTION",(R346+F346-K346),(R346+F346))</f>
        <v>392.60721402766347</v>
      </c>
      <c r="U346" s="622">
        <f>VLOOKUP(C346,table_CIA_JCTS,26)</f>
        <v>400.82</v>
      </c>
      <c r="V346" s="622">
        <f>U346-0.5-S346</f>
        <v>7.7591283611818085</v>
      </c>
      <c r="W346" s="622" t="s">
        <v>10</v>
      </c>
      <c r="X346" s="653" t="str">
        <f>IF(B346&gt;0,VLOOKUP(B346,table_CIA_JCTS,28)," ")</f>
        <v xml:space="preserve"> </v>
      </c>
    </row>
    <row r="347" spans="2:24" x14ac:dyDescent="0.2">
      <c r="B347" s="633" t="s">
        <v>10</v>
      </c>
      <c r="C347" s="640" t="s">
        <v>10</v>
      </c>
      <c r="D347" s="624" t="s">
        <v>10</v>
      </c>
      <c r="E347" s="622" t="s">
        <v>10</v>
      </c>
      <c r="F347" s="622" t="s">
        <v>10</v>
      </c>
      <c r="G347" s="624" t="s">
        <v>10</v>
      </c>
      <c r="H347" s="627" t="s">
        <v>10</v>
      </c>
      <c r="I347" s="624" t="s">
        <v>10</v>
      </c>
      <c r="J347" s="622" t="s">
        <v>10</v>
      </c>
      <c r="K347" s="651">
        <f>K346</f>
        <v>4.6342388845289358E-2</v>
      </c>
      <c r="L347" s="625" t="s">
        <v>10</v>
      </c>
      <c r="M347" s="622" t="s">
        <v>10</v>
      </c>
      <c r="N347" s="651" t="s">
        <v>10</v>
      </c>
      <c r="O347" s="654"/>
      <c r="P347" s="622" t="str">
        <f>IF(ISBLANK(O347)=FALSE,(VLOOKUP(O347,table_MINOR,2,FALSE))*(K347)," ")</f>
        <v xml:space="preserve"> </v>
      </c>
      <c r="Q347" s="622" t="s">
        <v>10</v>
      </c>
      <c r="R347" s="622" t="s">
        <v>10</v>
      </c>
      <c r="S347" s="622" t="s">
        <v>10</v>
      </c>
      <c r="T347" s="622" t="s">
        <v>10</v>
      </c>
      <c r="U347" s="622" t="s">
        <v>10</v>
      </c>
      <c r="V347" s="622" t="s">
        <v>10</v>
      </c>
      <c r="W347" s="622" t="s">
        <v>10</v>
      </c>
      <c r="X347" s="653" t="s">
        <v>10</v>
      </c>
    </row>
    <row r="348" spans="2:24" x14ac:dyDescent="0.2">
      <c r="B348" s="633">
        <v>109.2</v>
      </c>
      <c r="C348" s="640">
        <v>109.1</v>
      </c>
      <c r="D348" s="650" t="s">
        <v>10</v>
      </c>
      <c r="E348" s="622">
        <f>IF(B348=0,cell_HGL,IF(VLOOKUP(B348,table_HGL_JCTS,17,FALSE)&lt;X348,X348,VLOOKUP(B348,table_HGL_JCTS,17,FALSE)))</f>
        <v>392.56087163881818</v>
      </c>
      <c r="F348" s="622">
        <f>IF(B348=0,(E348+K348),IF(VLOOKUP(B348,table_HGL_JCTS,13,FALSE)="T-INTERSECTION",(E348+K348),(IF(VLOOKUP(B348,table_HGL_JCTS,17,FALSE)&lt;X348,(E348+K348),VLOOKUP(B348,table_HGL_JCTS,18,FALSE)))))</f>
        <v>392.60721402766347</v>
      </c>
      <c r="G348" s="624">
        <f>VLOOKUP(C348,table_CIA_JCTS,18)</f>
        <v>18</v>
      </c>
      <c r="H348" s="627">
        <f>VLOOKUP(C348,table_CIA_JCTS,17)</f>
        <v>4.8986301980776972</v>
      </c>
      <c r="I348" s="624">
        <f>VLOOKUP(C348,table_CIA_JCTS,21)</f>
        <v>259</v>
      </c>
      <c r="J348" s="622">
        <f>H348/((G348/12)^2*3.1416/4)</f>
        <v>2.7720511547280635</v>
      </c>
      <c r="K348" s="622">
        <f>(J348^2)/64.4</f>
        <v>0.11932092553461475</v>
      </c>
      <c r="L348" s="625">
        <f>(H348/((1.486/cell_NP)*((3.1416*(G348/12)^2)/4)*(G348/48)^(2/3)))^2</f>
        <v>2.174752687516884E-3</v>
      </c>
      <c r="M348" s="622">
        <f>L348*I348</f>
        <v>0.56326094606687294</v>
      </c>
      <c r="N348" s="651" t="s">
        <v>10</v>
      </c>
      <c r="O348" s="652" t="s">
        <v>129</v>
      </c>
      <c r="P348" s="622">
        <f>IF(ISBLANK(O348)=FALSE,(VLOOKUP(O348,table_MINOR,2,FALSE))*(K348)," ")</f>
        <v>5.9660462767307375E-2</v>
      </c>
      <c r="Q348" s="622">
        <f>SUM(P348:P350)</f>
        <v>9.5456740427691797E-2</v>
      </c>
      <c r="R348" s="622">
        <f>Q348+M348</f>
        <v>0.65871768649456475</v>
      </c>
      <c r="S348" s="622">
        <f>IF(O348="T-INTERSECTION",T348,(T348-K348))</f>
        <v>393.14661078862343</v>
      </c>
      <c r="T348" s="622">
        <f>IF(O348="T-INTERSECTION",(R348+F348-K348),(R348+F348))</f>
        <v>393.26593171415806</v>
      </c>
      <c r="U348" s="622">
        <f>VLOOKUP(C348,table_CIA_JCTS,26)</f>
        <v>401.83</v>
      </c>
      <c r="V348" s="622">
        <f>U348-0.5-S348</f>
        <v>8.1833892113765501</v>
      </c>
      <c r="W348" s="622" t="s">
        <v>10</v>
      </c>
      <c r="X348" s="653" t="str">
        <f>IF(B348&gt;0,VLOOKUP(B348,table_CIA_JCTS,28)," ")</f>
        <v xml:space="preserve"> </v>
      </c>
    </row>
    <row r="349" spans="2:24" x14ac:dyDescent="0.2">
      <c r="B349" s="633" t="s">
        <v>10</v>
      </c>
      <c r="C349" s="640" t="s">
        <v>10</v>
      </c>
      <c r="D349" s="624" t="s">
        <v>10</v>
      </c>
      <c r="E349" s="622" t="s">
        <v>10</v>
      </c>
      <c r="F349" s="622" t="s">
        <v>10</v>
      </c>
      <c r="G349" s="624" t="s">
        <v>10</v>
      </c>
      <c r="H349" s="627" t="s">
        <v>10</v>
      </c>
      <c r="I349" s="624" t="s">
        <v>10</v>
      </c>
      <c r="J349" s="622" t="s">
        <v>10</v>
      </c>
      <c r="K349" s="651">
        <f>K348</f>
        <v>0.11932092553461475</v>
      </c>
      <c r="L349" s="625" t="s">
        <v>10</v>
      </c>
      <c r="M349" s="622" t="s">
        <v>10</v>
      </c>
      <c r="N349" s="651" t="s">
        <v>10</v>
      </c>
      <c r="O349" s="654" t="s">
        <v>130</v>
      </c>
      <c r="P349" s="622">
        <f>IF(ISBLANK(O349)=FALSE,(VLOOKUP(O349,table_MINOR,2,FALSE))*(K349)," ")</f>
        <v>3.5796277660384422E-2</v>
      </c>
      <c r="Q349" s="622" t="s">
        <v>10</v>
      </c>
      <c r="R349" s="622" t="s">
        <v>10</v>
      </c>
      <c r="S349" s="622" t="s">
        <v>10</v>
      </c>
      <c r="T349" s="622" t="s">
        <v>10</v>
      </c>
      <c r="U349" s="622" t="s">
        <v>10</v>
      </c>
      <c r="V349" s="622" t="s">
        <v>10</v>
      </c>
      <c r="W349" s="622" t="s">
        <v>10</v>
      </c>
      <c r="X349" s="653" t="s">
        <v>10</v>
      </c>
    </row>
    <row r="350" spans="2:24" x14ac:dyDescent="0.2">
      <c r="B350" s="633" t="s">
        <v>10</v>
      </c>
      <c r="C350" s="640" t="s">
        <v>10</v>
      </c>
      <c r="D350" s="624" t="s">
        <v>10</v>
      </c>
      <c r="E350" s="622" t="s">
        <v>10</v>
      </c>
      <c r="F350" s="622" t="s">
        <v>10</v>
      </c>
      <c r="G350" s="624" t="s">
        <v>10</v>
      </c>
      <c r="H350" s="627" t="s">
        <v>10</v>
      </c>
      <c r="I350" s="624" t="s">
        <v>10</v>
      </c>
      <c r="J350" s="622" t="s">
        <v>10</v>
      </c>
      <c r="K350" s="651">
        <f>K349</f>
        <v>0.11932092553461475</v>
      </c>
      <c r="L350" s="625" t="s">
        <v>10</v>
      </c>
      <c r="M350" s="622" t="s">
        <v>10</v>
      </c>
      <c r="N350" s="651" t="s">
        <v>10</v>
      </c>
      <c r="O350" s="654" t="s">
        <v>10</v>
      </c>
      <c r="P350" s="655" t="s">
        <v>10</v>
      </c>
      <c r="Q350" s="622" t="s">
        <v>10</v>
      </c>
      <c r="R350" s="622" t="s">
        <v>10</v>
      </c>
      <c r="S350" s="622" t="s">
        <v>10</v>
      </c>
      <c r="T350" s="622" t="s">
        <v>10</v>
      </c>
      <c r="U350" s="622" t="s">
        <v>10</v>
      </c>
      <c r="V350" s="622" t="s">
        <v>10</v>
      </c>
      <c r="W350" s="622" t="s">
        <v>10</v>
      </c>
      <c r="X350" s="653" t="s">
        <v>10</v>
      </c>
    </row>
    <row r="351" spans="2:24" x14ac:dyDescent="0.2">
      <c r="B351" s="633">
        <v>109.1</v>
      </c>
      <c r="C351" s="640">
        <v>109</v>
      </c>
      <c r="D351" s="650" t="s">
        <v>10</v>
      </c>
      <c r="E351" s="622">
        <f>IF(B351=0,cell_HGL,IF(VLOOKUP(B351,table_HGL_JCTS,17,FALSE)&lt;X351,X351,VLOOKUP(B351,table_HGL_JCTS,17,FALSE)))</f>
        <v>393.14661078862343</v>
      </c>
      <c r="F351" s="622">
        <f>IF(B351=0,(E351+K351),IF(VLOOKUP(B351,table_HGL_JCTS,13,FALSE)="T-INTERSECTION",(E351+K351),(IF(VLOOKUP(B351,table_HGL_JCTS,17,FALSE)&lt;X351,(E351+K351),VLOOKUP(B351,table_HGL_JCTS,18,FALSE)))))</f>
        <v>393.26593171415806</v>
      </c>
      <c r="G351" s="624">
        <f>VLOOKUP(C351,table_CIA_JCTS,18)</f>
        <v>18</v>
      </c>
      <c r="H351" s="627">
        <f>VLOOKUP(C351,table_CIA_JCTS,17)</f>
        <v>0.93698600385533304</v>
      </c>
      <c r="I351" s="624">
        <f>VLOOKUP(C351,table_CIA_JCTS,21)</f>
        <v>369</v>
      </c>
      <c r="J351" s="622">
        <f>H351/((G351/12)^2*3.1416/4)</f>
        <v>0.53022437475898088</v>
      </c>
      <c r="K351" s="622">
        <f>(J351^2)/64.4</f>
        <v>4.3654951488905618E-3</v>
      </c>
      <c r="L351" s="625">
        <f>(H351/((1.486/cell_NP)*((3.1416*(G351/12)^2)/4)*(G351/48)^(2/3)))^2</f>
        <v>7.9565862105532485E-5</v>
      </c>
      <c r="M351" s="622">
        <f>L351*I351</f>
        <v>2.9359803116941488E-2</v>
      </c>
      <c r="N351" s="651" t="s">
        <v>10</v>
      </c>
      <c r="O351" s="652" t="s">
        <v>129</v>
      </c>
      <c r="P351" s="622">
        <f>IF(ISBLANK(O351)=FALSE,(VLOOKUP(O351,table_MINOR,2,FALSE))*(K351)," ")</f>
        <v>2.1827475744452809E-3</v>
      </c>
      <c r="Q351" s="622">
        <f>SUM(P351:P352)</f>
        <v>2.1827475744452809E-3</v>
      </c>
      <c r="R351" s="622">
        <f>Q351+M351</f>
        <v>3.154255069138677E-2</v>
      </c>
      <c r="S351" s="622">
        <f>IF(O351="T-INTERSECTION",T351,(T351-K351))</f>
        <v>393.29310876970055</v>
      </c>
      <c r="T351" s="622">
        <f>IF(O351="T-INTERSECTION",(R351+F351-K351),(R351+F351))</f>
        <v>393.29747426484943</v>
      </c>
      <c r="U351" s="622">
        <f>VLOOKUP(C351,table_CIA_JCTS,26)</f>
        <v>401.46</v>
      </c>
      <c r="V351" s="622">
        <f>U351-0.5-S351</f>
        <v>7.6668912302994272</v>
      </c>
      <c r="W351" s="622" t="s">
        <v>10</v>
      </c>
      <c r="X351" s="653" t="str">
        <f>IF(B351&gt;0,VLOOKUP(B351,table_CIA_JCTS,28)," ")</f>
        <v xml:space="preserve"> </v>
      </c>
    </row>
    <row r="352" spans="2:24" x14ac:dyDescent="0.2">
      <c r="B352" s="633" t="s">
        <v>10</v>
      </c>
      <c r="C352" s="640" t="s">
        <v>10</v>
      </c>
      <c r="D352" s="624" t="s">
        <v>10</v>
      </c>
      <c r="E352" s="622" t="s">
        <v>10</v>
      </c>
      <c r="F352" s="622" t="s">
        <v>10</v>
      </c>
      <c r="G352" s="624" t="s">
        <v>10</v>
      </c>
      <c r="H352" s="627" t="s">
        <v>10</v>
      </c>
      <c r="I352" s="624" t="s">
        <v>10</v>
      </c>
      <c r="J352" s="622" t="s">
        <v>10</v>
      </c>
      <c r="K352" s="651">
        <f>K351</f>
        <v>4.3654951488905618E-3</v>
      </c>
      <c r="L352" s="625" t="s">
        <v>10</v>
      </c>
      <c r="M352" s="622" t="s">
        <v>10</v>
      </c>
      <c r="N352" s="651" t="s">
        <v>10</v>
      </c>
      <c r="O352" s="654" t="s">
        <v>10</v>
      </c>
      <c r="P352" s="655" t="s">
        <v>10</v>
      </c>
      <c r="Q352" s="622" t="s">
        <v>10</v>
      </c>
      <c r="R352" s="622" t="s">
        <v>10</v>
      </c>
      <c r="S352" s="622" t="s">
        <v>10</v>
      </c>
      <c r="T352" s="622" t="s">
        <v>10</v>
      </c>
      <c r="U352" s="622" t="s">
        <v>10</v>
      </c>
      <c r="V352" s="622" t="s">
        <v>10</v>
      </c>
      <c r="W352" s="622" t="s">
        <v>10</v>
      </c>
      <c r="X352" s="653" t="s">
        <v>10</v>
      </c>
    </row>
    <row r="353" spans="2:26" x14ac:dyDescent="0.2">
      <c r="B353" s="633" t="s">
        <v>10</v>
      </c>
      <c r="C353" s="640" t="s">
        <v>10</v>
      </c>
      <c r="D353" s="624" t="s">
        <v>10</v>
      </c>
      <c r="E353" s="622" t="s">
        <v>10</v>
      </c>
      <c r="F353" s="622" t="s">
        <v>10</v>
      </c>
      <c r="G353" s="624" t="s">
        <v>10</v>
      </c>
      <c r="H353" s="627" t="s">
        <v>10</v>
      </c>
      <c r="I353" s="624" t="s">
        <v>10</v>
      </c>
      <c r="J353" s="622" t="s">
        <v>10</v>
      </c>
      <c r="K353" s="651" t="s">
        <v>10</v>
      </c>
      <c r="L353" s="625" t="s">
        <v>10</v>
      </c>
      <c r="M353" s="622" t="s">
        <v>10</v>
      </c>
      <c r="N353" s="651" t="s">
        <v>10</v>
      </c>
      <c r="O353" s="654" t="s">
        <v>176</v>
      </c>
      <c r="P353" s="622" t="s">
        <v>10</v>
      </c>
      <c r="Q353" s="622" t="s">
        <v>10</v>
      </c>
      <c r="R353" s="622" t="s">
        <v>10</v>
      </c>
      <c r="S353" s="622" t="s">
        <v>10</v>
      </c>
      <c r="T353" s="622" t="s">
        <v>10</v>
      </c>
      <c r="U353" s="622" t="s">
        <v>10</v>
      </c>
      <c r="V353" s="622" t="s">
        <v>10</v>
      </c>
      <c r="W353" s="622" t="s">
        <v>10</v>
      </c>
      <c r="X353" s="653" t="s">
        <v>10</v>
      </c>
      <c r="Y353" s="1" t="s">
        <v>10</v>
      </c>
    </row>
    <row r="354" spans="2:26" x14ac:dyDescent="0.2">
      <c r="B354" s="633">
        <v>110.2</v>
      </c>
      <c r="C354" s="640">
        <v>110.1</v>
      </c>
      <c r="D354" s="650" t="s">
        <v>10</v>
      </c>
      <c r="E354" s="622">
        <f>IF(B354=0,cell_HGL,IF(VLOOKUP(B354,table_HGL_JCTS,17,FALSE)&lt;X354,X354,VLOOKUP(B354,table_HGL_JCTS,17,FALSE)))</f>
        <v>391.84993278039866</v>
      </c>
      <c r="F354" s="622">
        <f>IF(B354=0,(E354+K354),IF(VLOOKUP(B354,table_HGL_JCTS,13,FALSE)="T-INTERSECTION",(E354+K354),(IF(VLOOKUP(B354,table_HGL_JCTS,17,FALSE)&lt;X354,(E354+K354),VLOOKUP(B354,table_HGL_JCTS,18,FALSE)))))</f>
        <v>392.08255528898013</v>
      </c>
      <c r="G354" s="624">
        <f>VLOOKUP(C354,table_CIA_JCTS,18)</f>
        <v>18</v>
      </c>
      <c r="H354" s="627">
        <f>VLOOKUP(C354,table_CIA_JCTS,17)</f>
        <v>1.762572742526729</v>
      </c>
      <c r="I354" s="624">
        <f>VLOOKUP(C354,table_CIA_JCTS,21)</f>
        <v>659</v>
      </c>
      <c r="J354" s="622">
        <f>H354/((G354/12)^2*3.1416/4)</f>
        <v>0.99740980818081604</v>
      </c>
      <c r="K354" s="622">
        <f>(J354^2)/64.4</f>
        <v>1.544761374930578E-2</v>
      </c>
      <c r="L354" s="625">
        <f>(H354/((1.486/cell_NP)*((3.1416*(G354/12)^2)/4)*(G354/48)^(2/3)))^2</f>
        <v>2.8154943792553592E-4</v>
      </c>
      <c r="M354" s="622">
        <f>L354*I354</f>
        <v>0.18554107959292818</v>
      </c>
      <c r="N354" s="651" t="s">
        <v>10</v>
      </c>
      <c r="O354" s="652" t="s">
        <v>129</v>
      </c>
      <c r="P354" s="622">
        <f>IF(ISBLANK(O354)=FALSE,(VLOOKUP(O354,table_MINOR,2,FALSE))*(K354)," ")</f>
        <v>7.7238068746528898E-3</v>
      </c>
      <c r="Q354" s="622">
        <f>SUM(P354:P356)</f>
        <v>1.544761374930578E-2</v>
      </c>
      <c r="R354" s="622">
        <f>Q354+M354</f>
        <v>0.20098869334223396</v>
      </c>
      <c r="S354" s="622">
        <f>IF(O354="T-INTERSECTION",T354,(T354-K354))</f>
        <v>392.26809636857308</v>
      </c>
      <c r="T354" s="622">
        <f>IF(O354="T-INTERSECTION",(R354+F354-K354),(R354+F354))</f>
        <v>392.28354398232239</v>
      </c>
      <c r="U354" s="622">
        <f>VLOOKUP(C354,table_CIA_JCTS,26)</f>
        <v>399.51</v>
      </c>
      <c r="V354" s="622">
        <f>U354-0.5-S354</f>
        <v>6.7419036314269079</v>
      </c>
      <c r="W354" s="622" t="s">
        <v>10</v>
      </c>
      <c r="X354" s="653" t="str">
        <f>IF(B354&gt;0,VLOOKUP(B354,table_CIA_JCTS,28)," ")</f>
        <v xml:space="preserve"> </v>
      </c>
    </row>
    <row r="355" spans="2:26" x14ac:dyDescent="0.2">
      <c r="B355" s="633" t="s">
        <v>10</v>
      </c>
      <c r="C355" s="640" t="s">
        <v>10</v>
      </c>
      <c r="D355" s="624" t="s">
        <v>10</v>
      </c>
      <c r="E355" s="622" t="s">
        <v>10</v>
      </c>
      <c r="F355" s="622" t="s">
        <v>10</v>
      </c>
      <c r="G355" s="624" t="s">
        <v>10</v>
      </c>
      <c r="H355" s="627" t="s">
        <v>10</v>
      </c>
      <c r="I355" s="624" t="s">
        <v>10</v>
      </c>
      <c r="J355" s="622" t="s">
        <v>10</v>
      </c>
      <c r="K355" s="651">
        <f>K354</f>
        <v>1.544761374930578E-2</v>
      </c>
      <c r="L355" s="625" t="s">
        <v>10</v>
      </c>
      <c r="M355" s="622" t="s">
        <v>10</v>
      </c>
      <c r="N355" s="651" t="s">
        <v>10</v>
      </c>
      <c r="O355" s="654" t="s">
        <v>129</v>
      </c>
      <c r="P355" s="622">
        <f>IF(ISBLANK(O355)=FALSE,(VLOOKUP(O355,table_MINOR,2,FALSE))*(K355)," ")</f>
        <v>7.7238068746528898E-3</v>
      </c>
      <c r="Q355" s="622" t="s">
        <v>10</v>
      </c>
      <c r="R355" s="622" t="s">
        <v>10</v>
      </c>
      <c r="S355" s="622" t="s">
        <v>10</v>
      </c>
      <c r="T355" s="622" t="s">
        <v>10</v>
      </c>
      <c r="U355" s="622" t="s">
        <v>10</v>
      </c>
      <c r="V355" s="622" t="s">
        <v>10</v>
      </c>
      <c r="W355" s="622" t="s">
        <v>10</v>
      </c>
      <c r="X355" s="653" t="s">
        <v>10</v>
      </c>
    </row>
    <row r="356" spans="2:26" x14ac:dyDescent="0.2">
      <c r="B356" s="633" t="s">
        <v>10</v>
      </c>
      <c r="C356" s="640" t="s">
        <v>10</v>
      </c>
      <c r="D356" s="624" t="s">
        <v>10</v>
      </c>
      <c r="E356" s="622" t="s">
        <v>10</v>
      </c>
      <c r="F356" s="622" t="s">
        <v>10</v>
      </c>
      <c r="G356" s="624" t="s">
        <v>10</v>
      </c>
      <c r="H356" s="627" t="s">
        <v>10</v>
      </c>
      <c r="I356" s="624" t="s">
        <v>10</v>
      </c>
      <c r="J356" s="622" t="s">
        <v>10</v>
      </c>
      <c r="K356" s="651">
        <f>K355</f>
        <v>1.544761374930578E-2</v>
      </c>
      <c r="L356" s="625" t="s">
        <v>10</v>
      </c>
      <c r="M356" s="622" t="s">
        <v>10</v>
      </c>
      <c r="N356" s="651" t="s">
        <v>10</v>
      </c>
      <c r="O356" s="654" t="s">
        <v>10</v>
      </c>
      <c r="P356" s="655" t="s">
        <v>10</v>
      </c>
      <c r="Q356" s="622" t="s">
        <v>10</v>
      </c>
      <c r="R356" s="622" t="s">
        <v>10</v>
      </c>
      <c r="S356" s="622" t="s">
        <v>10</v>
      </c>
      <c r="T356" s="622" t="s">
        <v>10</v>
      </c>
      <c r="U356" s="622" t="s">
        <v>10</v>
      </c>
      <c r="V356" s="622" t="s">
        <v>10</v>
      </c>
      <c r="W356" s="622" t="s">
        <v>10</v>
      </c>
      <c r="X356" s="653" t="s">
        <v>10</v>
      </c>
    </row>
    <row r="357" spans="2:26" x14ac:dyDescent="0.2">
      <c r="B357" s="633" t="s">
        <v>10</v>
      </c>
      <c r="C357" s="640" t="s">
        <v>10</v>
      </c>
      <c r="D357" s="624" t="s">
        <v>10</v>
      </c>
      <c r="E357" s="622" t="s">
        <v>10</v>
      </c>
      <c r="F357" s="622" t="s">
        <v>10</v>
      </c>
      <c r="G357" s="624" t="s">
        <v>10</v>
      </c>
      <c r="H357" s="627" t="s">
        <v>10</v>
      </c>
      <c r="I357" s="624" t="s">
        <v>10</v>
      </c>
      <c r="J357" s="622" t="s">
        <v>10</v>
      </c>
      <c r="K357" s="651" t="s">
        <v>10</v>
      </c>
      <c r="L357" s="625" t="s">
        <v>10</v>
      </c>
      <c r="M357" s="622" t="s">
        <v>10</v>
      </c>
      <c r="N357" s="651" t="s">
        <v>10</v>
      </c>
      <c r="O357" s="654" t="s">
        <v>176</v>
      </c>
      <c r="P357" s="622" t="s">
        <v>10</v>
      </c>
      <c r="Q357" s="622" t="s">
        <v>10</v>
      </c>
      <c r="R357" s="622" t="s">
        <v>10</v>
      </c>
      <c r="S357" s="622" t="s">
        <v>10</v>
      </c>
      <c r="T357" s="622" t="s">
        <v>10</v>
      </c>
      <c r="U357" s="622" t="s">
        <v>10</v>
      </c>
      <c r="V357" s="622" t="s">
        <v>10</v>
      </c>
      <c r="W357" s="622" t="s">
        <v>10</v>
      </c>
      <c r="X357" s="653" t="s">
        <v>10</v>
      </c>
      <c r="Y357" s="1"/>
    </row>
    <row r="358" spans="2:26" x14ac:dyDescent="0.2">
      <c r="B358" s="633">
        <v>117</v>
      </c>
      <c r="C358" s="640">
        <v>115</v>
      </c>
      <c r="D358" s="650" t="s">
        <v>10</v>
      </c>
      <c r="E358" s="622">
        <f>IF(B358=0,cell_HGL,IF(VLOOKUP(B358,table_HGL_JCTS,17,FALSE)&lt;X358,X358,VLOOKUP(B358,table_HGL_JCTS,17,FALSE)))</f>
        <v>390.66376256778926</v>
      </c>
      <c r="F358" s="622">
        <f>IF(B358=0,(E358+K358),IF(VLOOKUP(B358,table_HGL_JCTS,13,FALSE)="T-INTERSECTION",(E358+K358),(IF(VLOOKUP(B358,table_HGL_JCTS,17,FALSE)&lt;X358,(E358+K358),VLOOKUP(B358,table_HGL_JCTS,18,FALSE)))))</f>
        <v>391.09561558604145</v>
      </c>
      <c r="G358" s="624">
        <f>VLOOKUP(C358,table_CIA_JCTS,18)</f>
        <v>30</v>
      </c>
      <c r="H358" s="627">
        <f>VLOOKUP(C358,table_CIA_JCTS,17)</f>
        <v>7.3112830327384364</v>
      </c>
      <c r="I358" s="624">
        <f>VLOOKUP(C358,table_CIA_JCTS,21)</f>
        <v>1329</v>
      </c>
      <c r="J358" s="622">
        <f>H358/((G358/12)^2*3.1416/4)</f>
        <v>1.4894388658494397</v>
      </c>
      <c r="K358" s="622">
        <f>(J358^2)/64.4</f>
        <v>3.4447641849423366E-2</v>
      </c>
      <c r="L358" s="625">
        <f>(H358/((1.486/cell_NP)*((3.1416*(G358/12)^2)/4)*(G358/48)^(2/3)))^2</f>
        <v>3.1772722315316914E-4</v>
      </c>
      <c r="M358" s="622">
        <f>L358*I358</f>
        <v>0.42225947957056176</v>
      </c>
      <c r="N358" s="651" t="s">
        <v>10</v>
      </c>
      <c r="O358" s="652" t="s">
        <v>156</v>
      </c>
      <c r="P358" s="622">
        <f>IF(ISBLANK(O358)=FALSE,(VLOOKUP(O358,table_MINOR,2,FALSE))*(K358)," ")</f>
        <v>2.5835731387067525E-2</v>
      </c>
      <c r="Q358" s="622">
        <f>SUM(P358:P359)</f>
        <v>2.5835731387067525E-2</v>
      </c>
      <c r="R358" s="622">
        <f>Q358+M358</f>
        <v>0.44809521095762928</v>
      </c>
      <c r="S358" s="622">
        <f>IF(O358="T-INTERSECTION",T358,(T358-K358))</f>
        <v>391.50926315514965</v>
      </c>
      <c r="T358" s="622">
        <f>IF(O358="T-INTERSECTION",(R358+F358-K358),(R358+F358))</f>
        <v>391.54371079699905</v>
      </c>
      <c r="U358" s="622">
        <f>VLOOKUP(C358,table_CIA_JCTS,26)</f>
        <v>395</v>
      </c>
      <c r="V358" s="622">
        <f>U358-0.5-S358</f>
        <v>2.9907368448503462</v>
      </c>
      <c r="W358" s="622" t="s">
        <v>10</v>
      </c>
      <c r="X358" s="653">
        <f>IF(B358&gt;0,VLOOKUP(B358,table_CIA_JCTS,28)," ")</f>
        <v>386.19</v>
      </c>
      <c r="Y358" s="1">
        <v>4.32</v>
      </c>
      <c r="Z358" s="88">
        <f t="shared" si="0"/>
        <v>-1.3292631551496541</v>
      </c>
    </row>
    <row r="359" spans="2:26" x14ac:dyDescent="0.2">
      <c r="B359" s="633" t="s">
        <v>10</v>
      </c>
      <c r="C359" s="640" t="s">
        <v>10</v>
      </c>
      <c r="D359" s="624" t="s">
        <v>10</v>
      </c>
      <c r="E359" s="622" t="s">
        <v>10</v>
      </c>
      <c r="F359" s="622" t="s">
        <v>10</v>
      </c>
      <c r="G359" s="624" t="s">
        <v>10</v>
      </c>
      <c r="H359" s="627" t="s">
        <v>10</v>
      </c>
      <c r="I359" s="624" t="s">
        <v>10</v>
      </c>
      <c r="J359" s="622" t="s">
        <v>10</v>
      </c>
      <c r="K359" s="651">
        <f>K358</f>
        <v>3.4447641849423366E-2</v>
      </c>
      <c r="L359" s="625" t="s">
        <v>10</v>
      </c>
      <c r="M359" s="622" t="s">
        <v>10</v>
      </c>
      <c r="N359" s="651" t="s">
        <v>10</v>
      </c>
      <c r="O359" s="654" t="s">
        <v>10</v>
      </c>
      <c r="P359" s="655" t="s">
        <v>10</v>
      </c>
      <c r="Q359" s="622" t="s">
        <v>10</v>
      </c>
      <c r="R359" s="622" t="s">
        <v>10</v>
      </c>
      <c r="S359" s="622" t="s">
        <v>10</v>
      </c>
      <c r="T359" s="622" t="s">
        <v>10</v>
      </c>
      <c r="U359" s="622" t="s">
        <v>10</v>
      </c>
      <c r="V359" s="622" t="s">
        <v>10</v>
      </c>
      <c r="W359" s="622" t="s">
        <v>10</v>
      </c>
      <c r="X359" s="653" t="s">
        <v>10</v>
      </c>
      <c r="Y359" s="1" t="s">
        <v>10</v>
      </c>
    </row>
    <row r="360" spans="2:26" x14ac:dyDescent="0.2">
      <c r="B360" s="633">
        <v>115</v>
      </c>
      <c r="C360" s="640">
        <v>113.2</v>
      </c>
      <c r="D360" s="650" t="s">
        <v>10</v>
      </c>
      <c r="E360" s="622">
        <f>IF(B360=0,cell_HGL,IF(VLOOKUP(B360,table_HGL_JCTS,17,FALSE)&lt;X360,X360,VLOOKUP(B360,table_HGL_JCTS,17,FALSE)))</f>
        <v>391.50926315514965</v>
      </c>
      <c r="F360" s="622">
        <f>IF(B360=0,(E360+K360),IF(VLOOKUP(B360,table_HGL_JCTS,13,FALSE)="T-INTERSECTION",(E360+K360),(IF(VLOOKUP(B360,table_HGL_JCTS,17,FALSE)&lt;X360,(E360+K360),VLOOKUP(B360,table_HGL_JCTS,18,FALSE)))))</f>
        <v>391.54371079699905</v>
      </c>
      <c r="G360" s="624">
        <f>VLOOKUP(C360,table_CIA_JCTS,18)</f>
        <v>24</v>
      </c>
      <c r="H360" s="627">
        <f>VLOOKUP(C360,table_CIA_JCTS,17)</f>
        <v>4.0834031677399771</v>
      </c>
      <c r="I360" s="624">
        <f>VLOOKUP(C360,table_CIA_JCTS,21)</f>
        <v>27</v>
      </c>
      <c r="J360" s="622">
        <f>H360/((G360/12)^2*3.1416/4)</f>
        <v>1.2997845581041434</v>
      </c>
      <c r="K360" s="622">
        <f>(J360^2)/64.4</f>
        <v>2.6233538780838245E-2</v>
      </c>
      <c r="L360" s="625">
        <f>(H360/((1.486/cell_NP)*((3.1416*(G360/12)^2)/4)*(G360/48)^(2/3)))^2</f>
        <v>3.258105623815511E-4</v>
      </c>
      <c r="M360" s="622">
        <f>L360*I360</f>
        <v>8.7968851843018801E-3</v>
      </c>
      <c r="N360" s="651" t="s">
        <v>10</v>
      </c>
      <c r="O360" s="652" t="s">
        <v>130</v>
      </c>
      <c r="P360" s="622">
        <f>IF(ISBLANK(O360)=FALSE,(VLOOKUP(O360,table_MINOR,2,FALSE))*(K360)," ")</f>
        <v>7.8700616342514736E-3</v>
      </c>
      <c r="Q360" s="622">
        <f>SUM(P360:P361)</f>
        <v>7.8700616342514736E-3</v>
      </c>
      <c r="R360" s="622">
        <f>Q360+M360</f>
        <v>1.6666946818553352E-2</v>
      </c>
      <c r="S360" s="622">
        <f>IF(O360="T-INTERSECTION",T360,(T360-K360))</f>
        <v>391.53414420503674</v>
      </c>
      <c r="T360" s="622">
        <f>IF(O360="T-INTERSECTION",(R360+F360-K360),(R360+F360))</f>
        <v>391.56037774381758</v>
      </c>
      <c r="U360" s="622">
        <f>VLOOKUP(C360,table_CIA_JCTS,26)</f>
        <v>395</v>
      </c>
      <c r="V360" s="622">
        <f>U360-0.5-S360</f>
        <v>2.9658557949632609</v>
      </c>
      <c r="W360" s="622" t="s">
        <v>10</v>
      </c>
      <c r="X360" s="653">
        <f>IF(B360&gt;0,VLOOKUP(B360,table_CIA_JCTS,28)," ")</f>
        <v>388.79</v>
      </c>
      <c r="Y360" s="1">
        <v>2.6</v>
      </c>
      <c r="Z360" s="88">
        <f t="shared" si="0"/>
        <v>0.36585579496326082</v>
      </c>
    </row>
    <row r="361" spans="2:26" x14ac:dyDescent="0.2">
      <c r="B361" s="633" t="s">
        <v>10</v>
      </c>
      <c r="C361" s="640" t="s">
        <v>10</v>
      </c>
      <c r="D361" s="624" t="s">
        <v>10</v>
      </c>
      <c r="E361" s="622" t="s">
        <v>10</v>
      </c>
      <c r="F361" s="622" t="s">
        <v>10</v>
      </c>
      <c r="G361" s="624" t="s">
        <v>10</v>
      </c>
      <c r="H361" s="627" t="s">
        <v>10</v>
      </c>
      <c r="I361" s="624" t="s">
        <v>10</v>
      </c>
      <c r="J361" s="622" t="s">
        <v>10</v>
      </c>
      <c r="K361" s="651">
        <f>K360</f>
        <v>2.6233538780838245E-2</v>
      </c>
      <c r="L361" s="625" t="s">
        <v>10</v>
      </c>
      <c r="M361" s="622" t="s">
        <v>10</v>
      </c>
      <c r="N361" s="651" t="s">
        <v>10</v>
      </c>
      <c r="O361" s="654" t="s">
        <v>10</v>
      </c>
      <c r="P361" s="655" t="s">
        <v>10</v>
      </c>
      <c r="Q361" s="622" t="s">
        <v>10</v>
      </c>
      <c r="R361" s="622" t="s">
        <v>10</v>
      </c>
      <c r="S361" s="622" t="s">
        <v>10</v>
      </c>
      <c r="T361" s="622" t="s">
        <v>10</v>
      </c>
      <c r="U361" s="622" t="s">
        <v>10</v>
      </c>
      <c r="V361" s="622" t="s">
        <v>10</v>
      </c>
      <c r="W361" s="622" t="s">
        <v>10</v>
      </c>
      <c r="X361" s="653" t="s">
        <v>10</v>
      </c>
      <c r="Y361" s="1" t="s">
        <v>10</v>
      </c>
    </row>
    <row r="362" spans="2:26" x14ac:dyDescent="0.2">
      <c r="B362" s="633">
        <v>113.2</v>
      </c>
      <c r="C362" s="640">
        <v>113.1</v>
      </c>
      <c r="D362" s="650" t="s">
        <v>10</v>
      </c>
      <c r="E362" s="622">
        <f>IF(B362=0,cell_HGL,IF(VLOOKUP(B362,table_HGL_JCTS,17,FALSE)&lt;X362,X362,VLOOKUP(B362,table_HGL_JCTS,17,FALSE)))</f>
        <v>391.53414420503674</v>
      </c>
      <c r="F362" s="622">
        <f>IF(B362=0,(E362+K362),IF(VLOOKUP(B362,table_HGL_JCTS,13,FALSE)="T-INTERSECTION",(E362+K362),(IF(VLOOKUP(B362,table_HGL_JCTS,17,FALSE)&lt;X362,(E362+K362),VLOOKUP(B362,table_HGL_JCTS,18,FALSE)))))</f>
        <v>391.56037774381758</v>
      </c>
      <c r="G362" s="624">
        <f>VLOOKUP(C362,table_CIA_JCTS,18)</f>
        <v>24</v>
      </c>
      <c r="H362" s="627">
        <f>VLOOKUP(C362,table_CIA_JCTS,17)</f>
        <v>3.1845592356100658</v>
      </c>
      <c r="I362" s="624">
        <f>VLOOKUP(C362,table_CIA_JCTS,21)</f>
        <v>133</v>
      </c>
      <c r="J362" s="622">
        <f>H362/((G362/12)^2*3.1416/4)</f>
        <v>1.0136743174210803</v>
      </c>
      <c r="K362" s="622">
        <f>(J362^2)/64.4</f>
        <v>1.5955522077625666E-2</v>
      </c>
      <c r="L362" s="625">
        <f>(H362/((1.486/cell_NP)*((3.1416*(G362/12)^2)/4)*(G362/48)^(2/3)))^2</f>
        <v>1.9816150861810507E-4</v>
      </c>
      <c r="M362" s="622">
        <f>L362*I362</f>
        <v>2.6355480646207973E-2</v>
      </c>
      <c r="N362" s="651" t="s">
        <v>10</v>
      </c>
      <c r="O362" s="652" t="s">
        <v>130</v>
      </c>
      <c r="P362" s="622">
        <f>IF(ISBLANK(O362)=FALSE,(VLOOKUP(O362,table_MINOR,2,FALSE))*(K362)," ")</f>
        <v>4.7866566232876995E-3</v>
      </c>
      <c r="Q362" s="622">
        <f>SUM(P362:P363)</f>
        <v>4.7866566232876995E-3</v>
      </c>
      <c r="R362" s="622">
        <f>Q362+M362</f>
        <v>3.1142137269495673E-2</v>
      </c>
      <c r="S362" s="622">
        <f>IF(O362="T-INTERSECTION",T362,(T362-K362))</f>
        <v>391.57556435900949</v>
      </c>
      <c r="T362" s="622">
        <f>IF(O362="T-INTERSECTION",(R362+F362-K362),(R362+F362))</f>
        <v>391.59151988108709</v>
      </c>
      <c r="U362" s="622">
        <f>VLOOKUP(C362,table_CIA_JCTS,26)</f>
        <v>393.48</v>
      </c>
      <c r="V362" s="622">
        <f>U362-0.5-S362</f>
        <v>1.4044356409905276</v>
      </c>
      <c r="W362" s="622" t="s">
        <v>10</v>
      </c>
      <c r="X362" s="653" t="str">
        <f>IF(B362&gt;0,VLOOKUP(B362,table_CIA_JCTS,28)," ")</f>
        <v xml:space="preserve"> </v>
      </c>
    </row>
    <row r="363" spans="2:26" x14ac:dyDescent="0.2">
      <c r="B363" s="633" t="s">
        <v>10</v>
      </c>
      <c r="C363" s="640" t="s">
        <v>10</v>
      </c>
      <c r="D363" s="624" t="s">
        <v>10</v>
      </c>
      <c r="E363" s="622" t="s">
        <v>10</v>
      </c>
      <c r="F363" s="622" t="s">
        <v>10</v>
      </c>
      <c r="G363" s="624" t="s">
        <v>10</v>
      </c>
      <c r="H363" s="627" t="s">
        <v>10</v>
      </c>
      <c r="I363" s="624" t="s">
        <v>10</v>
      </c>
      <c r="J363" s="622" t="s">
        <v>10</v>
      </c>
      <c r="K363" s="651">
        <f>K362</f>
        <v>1.5955522077625666E-2</v>
      </c>
      <c r="L363" s="625" t="s">
        <v>10</v>
      </c>
      <c r="M363" s="622" t="s">
        <v>10</v>
      </c>
      <c r="N363" s="651" t="s">
        <v>10</v>
      </c>
      <c r="O363" s="654" t="s">
        <v>10</v>
      </c>
      <c r="P363" s="655" t="s">
        <v>10</v>
      </c>
      <c r="Q363" s="622" t="s">
        <v>10</v>
      </c>
      <c r="R363" s="622" t="s">
        <v>10</v>
      </c>
      <c r="S363" s="622" t="s">
        <v>10</v>
      </c>
      <c r="T363" s="622" t="s">
        <v>10</v>
      </c>
      <c r="U363" s="622" t="s">
        <v>10</v>
      </c>
      <c r="V363" s="622" t="s">
        <v>10</v>
      </c>
      <c r="W363" s="622" t="s">
        <v>10</v>
      </c>
      <c r="X363" s="653" t="s">
        <v>10</v>
      </c>
    </row>
    <row r="364" spans="2:26" x14ac:dyDescent="0.2">
      <c r="B364" s="633">
        <v>113.1</v>
      </c>
      <c r="C364" s="640">
        <v>113</v>
      </c>
      <c r="D364" s="650" t="s">
        <v>10</v>
      </c>
      <c r="E364" s="622">
        <f>IF(B364=0,cell_HGL,IF(VLOOKUP(B364,table_HGL_JCTS,17,FALSE)&lt;X364,X364,VLOOKUP(B364,table_HGL_JCTS,17,FALSE)))</f>
        <v>391.57556435900949</v>
      </c>
      <c r="F364" s="622">
        <f>IF(B364=0,(E364+K364),IF(VLOOKUP(B364,table_HGL_JCTS,13,FALSE)="T-INTERSECTION",(E364+K364),(IF(VLOOKUP(B364,table_HGL_JCTS,17,FALSE)&lt;X364,(E364+K364),VLOOKUP(B364,table_HGL_JCTS,18,FALSE)))))</f>
        <v>391.59151988108709</v>
      </c>
      <c r="G364" s="624">
        <f>VLOOKUP(C364,table_CIA_JCTS,18)</f>
        <v>24</v>
      </c>
      <c r="H364" s="627">
        <f>VLOOKUP(C364,table_CIA_JCTS,17)</f>
        <v>1.345001881085043</v>
      </c>
      <c r="I364" s="624">
        <f>VLOOKUP(C364,table_CIA_JCTS,21)</f>
        <v>18</v>
      </c>
      <c r="J364" s="622">
        <f>H364/((G364/12)^2*3.1416/4)</f>
        <v>0.42812639453942036</v>
      </c>
      <c r="K364" s="622">
        <f>(J364^2)/64.4</f>
        <v>2.8461523245547115E-3</v>
      </c>
      <c r="L364" s="625">
        <f>(H364/((1.486/cell_NP)*((3.1416*(G364/12)^2)/4)*(G364/48)^(2/3)))^2</f>
        <v>3.5348128105540276E-5</v>
      </c>
      <c r="M364" s="622">
        <f>L364*I364</f>
        <v>6.3626630589972495E-4</v>
      </c>
      <c r="N364" s="651" t="s">
        <v>10</v>
      </c>
      <c r="O364" s="652" t="s">
        <v>152</v>
      </c>
      <c r="P364" s="622">
        <f>IF(ISBLANK(O364)=FALSE,(VLOOKUP(O364,table_MINOR,2,FALSE))*(K364)," ")</f>
        <v>1.7076913947328268E-3</v>
      </c>
      <c r="Q364" s="622">
        <f>SUM(P364:P365)</f>
        <v>1.7076913947328268E-3</v>
      </c>
      <c r="R364" s="622">
        <f>Q364+M364</f>
        <v>2.3439577006325518E-3</v>
      </c>
      <c r="S364" s="622">
        <f>IF(O364="T-INTERSECTION",T364,(T364-K364))</f>
        <v>391.5910176864632</v>
      </c>
      <c r="T364" s="622">
        <f>IF(O364="T-INTERSECTION",(R364+F364-K364),(R364+F364))</f>
        <v>391.59386383878774</v>
      </c>
      <c r="U364" s="622">
        <f>VLOOKUP(C364,table_CIA_JCTS,26)</f>
        <v>393.5</v>
      </c>
      <c r="V364" s="622">
        <f>U364-0.5-S364</f>
        <v>1.4089823135367965</v>
      </c>
      <c r="W364" s="622" t="s">
        <v>10</v>
      </c>
      <c r="X364" s="653">
        <f>IF(B364&gt;0,VLOOKUP(B364,table_CIA_JCTS,28)," ")</f>
        <v>388.63</v>
      </c>
    </row>
    <row r="365" spans="2:26" x14ac:dyDescent="0.2">
      <c r="B365" s="633" t="s">
        <v>10</v>
      </c>
      <c r="C365" s="640" t="s">
        <v>10</v>
      </c>
      <c r="D365" s="624" t="s">
        <v>10</v>
      </c>
      <c r="E365" s="622" t="s">
        <v>10</v>
      </c>
      <c r="F365" s="622" t="s">
        <v>10</v>
      </c>
      <c r="G365" s="624" t="s">
        <v>10</v>
      </c>
      <c r="H365" s="627" t="s">
        <v>10</v>
      </c>
      <c r="I365" s="624" t="s">
        <v>10</v>
      </c>
      <c r="J365" s="622" t="s">
        <v>10</v>
      </c>
      <c r="K365" s="651">
        <f>K364</f>
        <v>2.8461523245547115E-3</v>
      </c>
      <c r="L365" s="625" t="s">
        <v>10</v>
      </c>
      <c r="M365" s="622" t="s">
        <v>10</v>
      </c>
      <c r="N365" s="651" t="s">
        <v>10</v>
      </c>
      <c r="O365" s="654" t="s">
        <v>10</v>
      </c>
      <c r="P365" s="655" t="s">
        <v>10</v>
      </c>
      <c r="Q365" s="622" t="s">
        <v>10</v>
      </c>
      <c r="R365" s="622" t="s">
        <v>10</v>
      </c>
      <c r="S365" s="622" t="s">
        <v>10</v>
      </c>
      <c r="T365" s="622" t="s">
        <v>10</v>
      </c>
      <c r="U365" s="622" t="s">
        <v>10</v>
      </c>
      <c r="V365" s="622" t="s">
        <v>10</v>
      </c>
      <c r="W365" s="622" t="s">
        <v>10</v>
      </c>
      <c r="X365" s="653" t="s">
        <v>10</v>
      </c>
    </row>
    <row r="366" spans="2:26" x14ac:dyDescent="0.2">
      <c r="B366" s="633">
        <v>113</v>
      </c>
      <c r="C366" s="640">
        <v>112</v>
      </c>
      <c r="D366" s="650" t="s">
        <v>10</v>
      </c>
      <c r="E366" s="622">
        <f>IF(B366=0,cell_HGL,IF(VLOOKUP(B366,table_HGL_JCTS,17,FALSE)&lt;X366,X366,VLOOKUP(B366,table_HGL_JCTS,17,FALSE)))</f>
        <v>391.5910176864632</v>
      </c>
      <c r="F366" s="622">
        <f>IF(B366=0,(E366+K366),IF(VLOOKUP(B366,table_HGL_JCTS,13,FALSE)="T-INTERSECTION",(E366+K366),(IF(VLOOKUP(B366,table_HGL_JCTS,17,FALSE)&lt;X366,(E366+K366),VLOOKUP(B366,table_HGL_JCTS,18,FALSE)))))</f>
        <v>391.59386383878774</v>
      </c>
      <c r="G366" s="624">
        <f>VLOOKUP(C366,table_CIA_JCTS,18)</f>
        <v>18</v>
      </c>
      <c r="H366" s="627">
        <f>VLOOKUP(C366,table_CIA_JCTS,17)</f>
        <v>1.1977852954828572</v>
      </c>
      <c r="I366" s="624">
        <f>VLOOKUP(C366,table_CIA_JCTS,21)</f>
        <v>572</v>
      </c>
      <c r="J366" s="622">
        <f>H366/((G366/12)^2*3.1416/4)</f>
        <v>0.67780623913242066</v>
      </c>
      <c r="K366" s="622">
        <f>(J366^2)/64.4</f>
        <v>7.1338710839570834E-3</v>
      </c>
      <c r="L366" s="625">
        <f>(H366/((1.486/cell_NP)*((3.1416*(G366/12)^2)/4)*(G366/48)^(2/3)))^2</f>
        <v>1.3002250227881415E-4</v>
      </c>
      <c r="M366" s="622">
        <f>L366*I366</f>
        <v>7.4372871303481691E-2</v>
      </c>
      <c r="N366" s="651" t="s">
        <v>10</v>
      </c>
      <c r="O366" s="652" t="s">
        <v>131</v>
      </c>
      <c r="P366" s="622">
        <f>IF(ISBLANK(O366)=FALSE,(VLOOKUP(O366,table_MINOR,2,FALSE))*(K366)," ")</f>
        <v>1.7834677709892709E-3</v>
      </c>
      <c r="Q366" s="622">
        <f>SUM(P366:P368)</f>
        <v>3.5669355419785417E-3</v>
      </c>
      <c r="R366" s="622">
        <f>Q366+M366</f>
        <v>7.793980684546023E-2</v>
      </c>
      <c r="S366" s="622">
        <f>IF(O366="T-INTERSECTION",T366,(T366-K366))</f>
        <v>391.66466977454922</v>
      </c>
      <c r="T366" s="622">
        <f>IF(O366="T-INTERSECTION",(R366+F366-K366),(R366+F366))</f>
        <v>391.67180364563319</v>
      </c>
      <c r="U366" s="622">
        <f>VLOOKUP(C366,table_CIA_JCTS,26)</f>
        <v>394.57</v>
      </c>
      <c r="V366" s="622">
        <f>U366-0.5-S366</f>
        <v>2.4053302254507685</v>
      </c>
      <c r="W366" s="622" t="s">
        <v>10</v>
      </c>
      <c r="X366" s="653">
        <f>IF(B366&gt;0,VLOOKUP(B366,table_CIA_JCTS,28)," ")</f>
        <v>388.66</v>
      </c>
      <c r="Y366" s="1">
        <v>3.61</v>
      </c>
      <c r="Z366" s="88">
        <f t="shared" si="0"/>
        <v>-1.2046697745492314</v>
      </c>
    </row>
    <row r="367" spans="2:26" x14ac:dyDescent="0.2">
      <c r="B367" s="633" t="s">
        <v>10</v>
      </c>
      <c r="C367" s="640" t="s">
        <v>10</v>
      </c>
      <c r="D367" s="624" t="s">
        <v>10</v>
      </c>
      <c r="E367" s="622" t="s">
        <v>10</v>
      </c>
      <c r="F367" s="622" t="s">
        <v>10</v>
      </c>
      <c r="G367" s="624" t="s">
        <v>10</v>
      </c>
      <c r="H367" s="627" t="s">
        <v>10</v>
      </c>
      <c r="I367" s="624" t="s">
        <v>10</v>
      </c>
      <c r="J367" s="622" t="s">
        <v>10</v>
      </c>
      <c r="K367" s="651">
        <f>K366</f>
        <v>7.1338710839570834E-3</v>
      </c>
      <c r="L367" s="625" t="s">
        <v>10</v>
      </c>
      <c r="M367" s="622" t="s">
        <v>10</v>
      </c>
      <c r="N367" s="651" t="s">
        <v>10</v>
      </c>
      <c r="O367" s="654" t="s">
        <v>131</v>
      </c>
      <c r="P367" s="622">
        <f>IF(ISBLANK(O367)=FALSE,(VLOOKUP(O367,table_MINOR,2,FALSE))*(K367)," ")</f>
        <v>1.7834677709892709E-3</v>
      </c>
      <c r="Q367" s="622" t="s">
        <v>10</v>
      </c>
      <c r="R367" s="622" t="s">
        <v>10</v>
      </c>
      <c r="S367" s="622" t="s">
        <v>10</v>
      </c>
      <c r="T367" s="622" t="s">
        <v>10</v>
      </c>
      <c r="U367" s="622" t="s">
        <v>10</v>
      </c>
      <c r="V367" s="622" t="s">
        <v>10</v>
      </c>
      <c r="W367" s="622" t="s">
        <v>10</v>
      </c>
      <c r="X367" s="653" t="s">
        <v>10</v>
      </c>
      <c r="Y367" s="1" t="s">
        <v>10</v>
      </c>
    </row>
    <row r="368" spans="2:26" x14ac:dyDescent="0.2">
      <c r="B368" s="633" t="s">
        <v>10</v>
      </c>
      <c r="C368" s="640" t="s">
        <v>10</v>
      </c>
      <c r="D368" s="624" t="s">
        <v>10</v>
      </c>
      <c r="E368" s="622" t="s">
        <v>10</v>
      </c>
      <c r="F368" s="622" t="s">
        <v>10</v>
      </c>
      <c r="G368" s="624" t="s">
        <v>10</v>
      </c>
      <c r="H368" s="627" t="s">
        <v>10</v>
      </c>
      <c r="I368" s="624" t="s">
        <v>10</v>
      </c>
      <c r="J368" s="622" t="s">
        <v>10</v>
      </c>
      <c r="K368" s="651">
        <f>K367</f>
        <v>7.1338710839570834E-3</v>
      </c>
      <c r="L368" s="625" t="s">
        <v>10</v>
      </c>
      <c r="M368" s="622" t="s">
        <v>10</v>
      </c>
      <c r="N368" s="651" t="s">
        <v>10</v>
      </c>
      <c r="O368" s="654" t="s">
        <v>10</v>
      </c>
      <c r="P368" s="655" t="s">
        <v>10</v>
      </c>
      <c r="Q368" s="622" t="s">
        <v>10</v>
      </c>
      <c r="R368" s="622" t="s">
        <v>10</v>
      </c>
      <c r="S368" s="622" t="s">
        <v>10</v>
      </c>
      <c r="T368" s="622" t="s">
        <v>10</v>
      </c>
      <c r="U368" s="622" t="s">
        <v>10</v>
      </c>
      <c r="V368" s="622" t="s">
        <v>10</v>
      </c>
      <c r="W368" s="622" t="s">
        <v>10</v>
      </c>
      <c r="X368" s="653" t="s">
        <v>10</v>
      </c>
      <c r="Y368" s="1" t="s">
        <v>10</v>
      </c>
    </row>
    <row r="369" spans="2:26" x14ac:dyDescent="0.2">
      <c r="B369" s="633" t="s">
        <v>10</v>
      </c>
      <c r="C369" s="640" t="s">
        <v>10</v>
      </c>
      <c r="D369" s="624" t="s">
        <v>10</v>
      </c>
      <c r="E369" s="622" t="s">
        <v>10</v>
      </c>
      <c r="F369" s="622" t="s">
        <v>10</v>
      </c>
      <c r="G369" s="624" t="s">
        <v>10</v>
      </c>
      <c r="H369" s="627" t="s">
        <v>10</v>
      </c>
      <c r="I369" s="624" t="s">
        <v>10</v>
      </c>
      <c r="J369" s="622" t="s">
        <v>10</v>
      </c>
      <c r="K369" s="651" t="s">
        <v>10</v>
      </c>
      <c r="L369" s="625" t="s">
        <v>10</v>
      </c>
      <c r="M369" s="622" t="s">
        <v>10</v>
      </c>
      <c r="N369" s="651" t="s">
        <v>10</v>
      </c>
      <c r="O369" s="654" t="s">
        <v>176</v>
      </c>
      <c r="P369" s="622" t="s">
        <v>10</v>
      </c>
      <c r="Q369" s="622" t="s">
        <v>10</v>
      </c>
      <c r="R369" s="622" t="s">
        <v>10</v>
      </c>
      <c r="S369" s="622" t="s">
        <v>10</v>
      </c>
      <c r="T369" s="622" t="s">
        <v>10</v>
      </c>
      <c r="U369" s="622" t="s">
        <v>10</v>
      </c>
      <c r="V369" s="622" t="s">
        <v>10</v>
      </c>
      <c r="W369" s="622" t="s">
        <v>10</v>
      </c>
      <c r="X369" s="653" t="s">
        <v>10</v>
      </c>
      <c r="Y369" s="1" t="s">
        <v>10</v>
      </c>
    </row>
    <row r="370" spans="2:26" x14ac:dyDescent="0.2">
      <c r="B370" s="633">
        <v>115</v>
      </c>
      <c r="C370" s="640">
        <v>114.2</v>
      </c>
      <c r="D370" s="650" t="s">
        <v>10</v>
      </c>
      <c r="E370" s="622">
        <f>IF(B370=0,cell_HGL,IF(VLOOKUP(B370,table_HGL_JCTS,17,FALSE)&lt;X370,X370,VLOOKUP(B370,table_HGL_JCTS,17,FALSE)))</f>
        <v>391.50926315514965</v>
      </c>
      <c r="F370" s="622">
        <f>IF(B370=0,(E370+K370),IF(VLOOKUP(B370,table_HGL_JCTS,13,FALSE)="T-INTERSECTION",(E370+K370),(IF(VLOOKUP(B370,table_HGL_JCTS,17,FALSE)&lt;X370,(E370+K370),VLOOKUP(B370,table_HGL_JCTS,18,FALSE)))))</f>
        <v>391.54371079699905</v>
      </c>
      <c r="G370" s="624">
        <f>VLOOKUP(C370,table_CIA_JCTS,18)</f>
        <v>24</v>
      </c>
      <c r="H370" s="627">
        <f>VLOOKUP(C370,table_CIA_JCTS,17)</f>
        <v>3.3279685136971962</v>
      </c>
      <c r="I370" s="624">
        <f>VLOOKUP(C370,table_CIA_JCTS,21)</f>
        <v>71</v>
      </c>
      <c r="J370" s="622">
        <f>H370/((G370/12)^2*3.1416/4)</f>
        <v>1.0593228016606813</v>
      </c>
      <c r="K370" s="622">
        <f>(J370^2)/64.4</f>
        <v>1.7424919225438429E-2</v>
      </c>
      <c r="L370" s="625">
        <f>(H370/((1.486/cell_NP)*((3.1416*(G370/12)^2)/4)*(G370/48)^(2/3)))^2</f>
        <v>2.1641086167299727E-4</v>
      </c>
      <c r="M370" s="622">
        <f>L370*I370</f>
        <v>1.5365171178782807E-2</v>
      </c>
      <c r="N370" s="651" t="s">
        <v>10</v>
      </c>
      <c r="O370" s="652" t="s">
        <v>152</v>
      </c>
      <c r="P370" s="622">
        <f>IF(ISBLANK(O370)=FALSE,(VLOOKUP(O370,table_MINOR,2,FALSE))*(K370)," ")</f>
        <v>1.0454951535263057E-2</v>
      </c>
      <c r="Q370" s="622">
        <f>SUM(P370:P371)</f>
        <v>1.0454951535263057E-2</v>
      </c>
      <c r="R370" s="622">
        <f>Q370+M370</f>
        <v>2.5820122714045865E-2</v>
      </c>
      <c r="S370" s="622">
        <f>IF(O370="T-INTERSECTION",T370,(T370-K370))</f>
        <v>391.55210600048764</v>
      </c>
      <c r="T370" s="622">
        <f>IF(O370="T-INTERSECTION",(R370+F370-K370),(R370+F370))</f>
        <v>391.56953091971309</v>
      </c>
      <c r="U370" s="622">
        <f>VLOOKUP(C370,table_CIA_JCTS,26)</f>
        <v>395.04</v>
      </c>
      <c r="V370" s="622">
        <f>U370-0.5-S370</f>
        <v>2.9878939995123801</v>
      </c>
      <c r="W370" s="622" t="s">
        <v>10</v>
      </c>
      <c r="X370" s="653">
        <f>IF(B370&gt;0,VLOOKUP(B370,table_CIA_JCTS,28)," ")</f>
        <v>388.79</v>
      </c>
      <c r="Y370" s="1"/>
    </row>
    <row r="371" spans="2:26" x14ac:dyDescent="0.2">
      <c r="B371" s="633" t="s">
        <v>10</v>
      </c>
      <c r="C371" s="640" t="s">
        <v>10</v>
      </c>
      <c r="D371" s="624" t="s">
        <v>10</v>
      </c>
      <c r="E371" s="622" t="s">
        <v>10</v>
      </c>
      <c r="F371" s="622" t="s">
        <v>10</v>
      </c>
      <c r="G371" s="624" t="s">
        <v>10</v>
      </c>
      <c r="H371" s="627" t="s">
        <v>10</v>
      </c>
      <c r="I371" s="624" t="s">
        <v>10</v>
      </c>
      <c r="J371" s="622" t="s">
        <v>10</v>
      </c>
      <c r="K371" s="651">
        <f>K370</f>
        <v>1.7424919225438429E-2</v>
      </c>
      <c r="L371" s="625" t="s">
        <v>10</v>
      </c>
      <c r="M371" s="622" t="s">
        <v>10</v>
      </c>
      <c r="N371" s="651" t="s">
        <v>10</v>
      </c>
      <c r="O371" s="654" t="s">
        <v>10</v>
      </c>
      <c r="P371" s="655" t="s">
        <v>10</v>
      </c>
      <c r="Q371" s="622" t="s">
        <v>10</v>
      </c>
      <c r="R371" s="622" t="s">
        <v>10</v>
      </c>
      <c r="S371" s="622" t="s">
        <v>10</v>
      </c>
      <c r="T371" s="622" t="s">
        <v>10</v>
      </c>
      <c r="U371" s="622" t="s">
        <v>10</v>
      </c>
      <c r="V371" s="622" t="s">
        <v>10</v>
      </c>
      <c r="W371" s="622" t="s">
        <v>10</v>
      </c>
      <c r="X371" s="653" t="s">
        <v>10</v>
      </c>
      <c r="Y371" s="1" t="s">
        <v>10</v>
      </c>
    </row>
    <row r="372" spans="2:26" x14ac:dyDescent="0.2">
      <c r="B372" s="633">
        <v>114.2</v>
      </c>
      <c r="C372" s="640">
        <v>114.1</v>
      </c>
      <c r="D372" s="650" t="s">
        <v>10</v>
      </c>
      <c r="E372" s="622">
        <f>IF(B372=0,cell_HGL,IF(VLOOKUP(B372,table_HGL_JCTS,17,FALSE)&lt;X372,X372,VLOOKUP(B372,table_HGL_JCTS,17,FALSE)))</f>
        <v>391.55210600048764</v>
      </c>
      <c r="F372" s="622">
        <f>IF(B372=0,(E372+K372),IF(VLOOKUP(B372,table_HGL_JCTS,13,FALSE)="T-INTERSECTION",(E372+K372),(IF(VLOOKUP(B372,table_HGL_JCTS,17,FALSE)&lt;X372,(E372+K372),VLOOKUP(B372,table_HGL_JCTS,18,FALSE)))))</f>
        <v>391.56953091971309</v>
      </c>
      <c r="G372" s="624">
        <f>VLOOKUP(C372,table_CIA_JCTS,18)</f>
        <v>18</v>
      </c>
      <c r="H372" s="627">
        <f>VLOOKUP(C372,table_CIA_JCTS,17)</f>
        <v>1.9617903873444142</v>
      </c>
      <c r="I372" s="624">
        <f>VLOOKUP(C372,table_CIA_JCTS,21)</f>
        <v>120</v>
      </c>
      <c r="J372" s="622">
        <f>H372/((G372/12)^2*3.1416/4)</f>
        <v>1.1101436705115095</v>
      </c>
      <c r="K372" s="622">
        <f>(J372^2)/64.4</f>
        <v>1.9136940515167188E-2</v>
      </c>
      <c r="L372" s="625">
        <f>(H372/((1.486/cell_NP)*((3.1416*(G372/12)^2)/4)*(G372/48)^(2/3)))^2</f>
        <v>3.4879140125457101E-4</v>
      </c>
      <c r="M372" s="622">
        <f>L372*I372</f>
        <v>4.1854968150548524E-2</v>
      </c>
      <c r="N372" s="651" t="s">
        <v>10</v>
      </c>
      <c r="O372" s="654" t="s">
        <v>10</v>
      </c>
      <c r="P372" s="655" t="s">
        <v>10</v>
      </c>
      <c r="Q372" s="622">
        <f>SUM(P372)</f>
        <v>0</v>
      </c>
      <c r="R372" s="622">
        <f>Q372+M372</f>
        <v>4.1854968150548524E-2</v>
      </c>
      <c r="S372" s="622">
        <f>IF(O372="T-INTERSECTION",T372,(T372-K372))</f>
        <v>391.59224894734848</v>
      </c>
      <c r="T372" s="622">
        <f>IF(O372="T-INTERSECTION",(R372+F372-K372),(R372+F372))</f>
        <v>391.61138588786366</v>
      </c>
      <c r="U372" s="622">
        <f>VLOOKUP(C372,table_CIA_JCTS,26)</f>
        <v>396.5</v>
      </c>
      <c r="V372" s="622">
        <f>U372-0.5-S372</f>
        <v>4.4077510526515198</v>
      </c>
      <c r="W372" s="622" t="s">
        <v>10</v>
      </c>
      <c r="X372" s="653" t="str">
        <f>IF(B372&gt;0,VLOOKUP(B372,table_CIA_JCTS,28)," ")</f>
        <v xml:space="preserve"> </v>
      </c>
      <c r="Y372" s="1"/>
    </row>
    <row r="373" spans="2:26" x14ac:dyDescent="0.2">
      <c r="B373" s="633" t="s">
        <v>10</v>
      </c>
      <c r="C373" s="640" t="s">
        <v>10</v>
      </c>
      <c r="D373" s="624" t="s">
        <v>10</v>
      </c>
      <c r="E373" s="622" t="s">
        <v>10</v>
      </c>
      <c r="F373" s="622" t="s">
        <v>10</v>
      </c>
      <c r="G373" s="624" t="s">
        <v>10</v>
      </c>
      <c r="H373" s="627" t="s">
        <v>10</v>
      </c>
      <c r="I373" s="624" t="s">
        <v>10</v>
      </c>
      <c r="J373" s="622" t="s">
        <v>10</v>
      </c>
      <c r="K373" s="651" t="s">
        <v>10</v>
      </c>
      <c r="L373" s="625" t="s">
        <v>10</v>
      </c>
      <c r="M373" s="622" t="s">
        <v>10</v>
      </c>
      <c r="N373" s="651" t="s">
        <v>10</v>
      </c>
      <c r="O373" s="654" t="s">
        <v>176</v>
      </c>
      <c r="P373" s="622" t="s">
        <v>10</v>
      </c>
      <c r="Q373" s="622" t="s">
        <v>10</v>
      </c>
      <c r="R373" s="622" t="s">
        <v>10</v>
      </c>
      <c r="S373" s="622" t="s">
        <v>10</v>
      </c>
      <c r="T373" s="622" t="s">
        <v>10</v>
      </c>
      <c r="U373" s="622" t="s">
        <v>10</v>
      </c>
      <c r="V373" s="622" t="s">
        <v>10</v>
      </c>
      <c r="W373" s="622" t="s">
        <v>10</v>
      </c>
      <c r="X373" s="653" t="s">
        <v>10</v>
      </c>
      <c r="Y373" s="1" t="s">
        <v>10</v>
      </c>
    </row>
    <row r="374" spans="2:26" x14ac:dyDescent="0.2">
      <c r="B374" s="633" t="s">
        <v>10</v>
      </c>
      <c r="C374" s="640" t="s">
        <v>10</v>
      </c>
      <c r="D374" s="624" t="s">
        <v>10</v>
      </c>
      <c r="E374" s="622" t="s">
        <v>10</v>
      </c>
      <c r="F374" s="622" t="s">
        <v>10</v>
      </c>
      <c r="G374" s="624" t="s">
        <v>10</v>
      </c>
      <c r="H374" s="627" t="s">
        <v>10</v>
      </c>
      <c r="I374" s="624" t="s">
        <v>10</v>
      </c>
      <c r="J374" s="622" t="s">
        <v>10</v>
      </c>
      <c r="K374" s="651" t="s">
        <v>10</v>
      </c>
      <c r="L374" s="625" t="s">
        <v>10</v>
      </c>
      <c r="M374" s="622" t="s">
        <v>10</v>
      </c>
      <c r="N374" s="651" t="s">
        <v>10</v>
      </c>
      <c r="O374" s="654" t="s">
        <v>176</v>
      </c>
      <c r="P374" s="622" t="s">
        <v>10</v>
      </c>
      <c r="Q374" s="622" t="s">
        <v>10</v>
      </c>
      <c r="R374" s="622" t="s">
        <v>10</v>
      </c>
      <c r="S374" s="622" t="s">
        <v>10</v>
      </c>
      <c r="T374" s="622" t="s">
        <v>10</v>
      </c>
      <c r="U374" s="622" t="s">
        <v>10</v>
      </c>
      <c r="V374" s="622" t="s">
        <v>10</v>
      </c>
      <c r="W374" s="622" t="s">
        <v>10</v>
      </c>
      <c r="X374" s="653" t="s">
        <v>10</v>
      </c>
      <c r="Y374" s="1" t="s">
        <v>10</v>
      </c>
    </row>
    <row r="375" spans="2:26" x14ac:dyDescent="0.2">
      <c r="B375" s="633">
        <v>115</v>
      </c>
      <c r="C375" s="640">
        <v>114</v>
      </c>
      <c r="D375" s="650" t="s">
        <v>10</v>
      </c>
      <c r="E375" s="622">
        <f>IF(B375=0,cell_HGL,IF(VLOOKUP(B375,table_HGL_JCTS,17,FALSE)&lt;X375,X375,VLOOKUP(B375,table_HGL_JCTS,17,FALSE)))</f>
        <v>391.50926315514965</v>
      </c>
      <c r="F375" s="622">
        <f>IF(B375=0,(E375+K375),IF(VLOOKUP(B375,table_HGL_JCTS,13,FALSE)="T-INTERSECTION",(E375+K375),(IF(VLOOKUP(B375,table_HGL_JCTS,17,FALSE)&lt;X375,(E375+K375),VLOOKUP(B375,table_HGL_JCTS,18,FALSE)))))</f>
        <v>391.54371079699905</v>
      </c>
      <c r="G375" s="624">
        <f>VLOOKUP(C375,table_CIA_JCTS,18)</f>
        <v>18</v>
      </c>
      <c r="H375" s="627">
        <f>VLOOKUP(C375,table_CIA_JCTS,17)</f>
        <v>1.427335943482489</v>
      </c>
      <c r="I375" s="624">
        <f>VLOOKUP(C375,table_CIA_JCTS,21)</f>
        <v>241</v>
      </c>
      <c r="J375" s="622">
        <f>H375/((G375/12)^2*3.1416/4)</f>
        <v>0.80770502984041481</v>
      </c>
      <c r="K375" s="622">
        <f>(J375^2)/64.4</f>
        <v>1.0130239366917785E-2</v>
      </c>
      <c r="L375" s="625">
        <f>(H375/((1.486/cell_NP)*((3.1416*(G375/12)^2)/4)*(G375/48)^(2/3)))^2</f>
        <v>1.8463454913449122E-4</v>
      </c>
      <c r="M375" s="622">
        <f>L375*I375</f>
        <v>4.4496926341412384E-2</v>
      </c>
      <c r="N375" s="651" t="s">
        <v>10</v>
      </c>
      <c r="O375" s="652" t="s">
        <v>129</v>
      </c>
      <c r="P375" s="622">
        <f>IF(ISBLANK(O375)=FALSE,(VLOOKUP(O375,table_MINOR,2,FALSE))*(K375)," ")</f>
        <v>5.0651196834588927E-3</v>
      </c>
      <c r="Q375" s="622">
        <f>SUM(P375:P378)</f>
        <v>1.5195359050376677E-2</v>
      </c>
      <c r="R375" s="622">
        <f>Q375+M375</f>
        <v>5.9692285391789057E-2</v>
      </c>
      <c r="S375" s="622">
        <f>IF(O375="T-INTERSECTION",T375,(T375-K375))</f>
        <v>391.59327284302395</v>
      </c>
      <c r="T375" s="622">
        <f>IF(O375="T-INTERSECTION",(R375+F375-K375),(R375+F375))</f>
        <v>391.60340308239086</v>
      </c>
      <c r="U375" s="622">
        <f>VLOOKUP(C375,table_CIA_JCTS,26)</f>
        <v>396.81</v>
      </c>
      <c r="V375" s="622">
        <f>U375-0.5-S375</f>
        <v>4.7167271569760487</v>
      </c>
      <c r="W375" s="622" t="s">
        <v>10</v>
      </c>
      <c r="X375" s="653">
        <f>IF(B375&gt;0,VLOOKUP(B375,table_CIA_JCTS,28)," ")</f>
        <v>388.79</v>
      </c>
    </row>
    <row r="376" spans="2:26" x14ac:dyDescent="0.2">
      <c r="B376" s="633" t="s">
        <v>10</v>
      </c>
      <c r="C376" s="640" t="s">
        <v>10</v>
      </c>
      <c r="D376" s="624" t="s">
        <v>10</v>
      </c>
      <c r="E376" s="622" t="s">
        <v>10</v>
      </c>
      <c r="F376" s="622" t="s">
        <v>10</v>
      </c>
      <c r="G376" s="624" t="s">
        <v>10</v>
      </c>
      <c r="H376" s="627" t="s">
        <v>10</v>
      </c>
      <c r="I376" s="624" t="s">
        <v>10</v>
      </c>
      <c r="J376" s="622" t="s">
        <v>10</v>
      </c>
      <c r="K376" s="651">
        <f>K375</f>
        <v>1.0130239366917785E-2</v>
      </c>
      <c r="L376" s="625" t="s">
        <v>10</v>
      </c>
      <c r="M376" s="622" t="s">
        <v>10</v>
      </c>
      <c r="N376" s="651" t="s">
        <v>10</v>
      </c>
      <c r="O376" s="654" t="s">
        <v>129</v>
      </c>
      <c r="P376" s="622">
        <f>IF(ISBLANK(O376)=FALSE,(VLOOKUP(O376,table_MINOR,2,FALSE))*(K376)," ")</f>
        <v>5.0651196834588927E-3</v>
      </c>
      <c r="Q376" s="622" t="s">
        <v>10</v>
      </c>
      <c r="R376" s="622" t="s">
        <v>10</v>
      </c>
      <c r="S376" s="622" t="s">
        <v>10</v>
      </c>
      <c r="T376" s="622" t="s">
        <v>10</v>
      </c>
      <c r="U376" s="622" t="s">
        <v>10</v>
      </c>
      <c r="V376" s="622" t="s">
        <v>10</v>
      </c>
      <c r="W376" s="622" t="s">
        <v>10</v>
      </c>
      <c r="X376" s="653" t="s">
        <v>10</v>
      </c>
    </row>
    <row r="377" spans="2:26" x14ac:dyDescent="0.2">
      <c r="B377" s="633" t="s">
        <v>10</v>
      </c>
      <c r="C377" s="640" t="s">
        <v>10</v>
      </c>
      <c r="D377" s="624" t="s">
        <v>10</v>
      </c>
      <c r="E377" s="622" t="s">
        <v>10</v>
      </c>
      <c r="F377" s="622" t="s">
        <v>10</v>
      </c>
      <c r="G377" s="624" t="s">
        <v>10</v>
      </c>
      <c r="H377" s="627" t="s">
        <v>10</v>
      </c>
      <c r="I377" s="624" t="s">
        <v>10</v>
      </c>
      <c r="J377" s="622" t="s">
        <v>10</v>
      </c>
      <c r="K377" s="651">
        <f>K376</f>
        <v>1.0130239366917785E-2</v>
      </c>
      <c r="L377" s="625" t="s">
        <v>10</v>
      </c>
      <c r="M377" s="622" t="s">
        <v>10</v>
      </c>
      <c r="N377" s="651" t="s">
        <v>10</v>
      </c>
      <c r="O377" s="654" t="s">
        <v>129</v>
      </c>
      <c r="P377" s="622">
        <f>IF(ISBLANK(O377)=FALSE,(VLOOKUP(O377,table_MINOR,2,FALSE))*(K377)," ")</f>
        <v>5.0651196834588927E-3</v>
      </c>
      <c r="Q377" s="622" t="s">
        <v>10</v>
      </c>
      <c r="R377" s="622" t="s">
        <v>10</v>
      </c>
      <c r="S377" s="622" t="s">
        <v>10</v>
      </c>
      <c r="T377" s="622" t="s">
        <v>10</v>
      </c>
      <c r="U377" s="622" t="s">
        <v>10</v>
      </c>
      <c r="V377" s="622" t="s">
        <v>10</v>
      </c>
      <c r="W377" s="622" t="s">
        <v>10</v>
      </c>
      <c r="X377" s="653" t="s">
        <v>10</v>
      </c>
    </row>
    <row r="378" spans="2:26" x14ac:dyDescent="0.2">
      <c r="B378" s="633" t="s">
        <v>10</v>
      </c>
      <c r="C378" s="640" t="s">
        <v>10</v>
      </c>
      <c r="D378" s="624" t="s">
        <v>10</v>
      </c>
      <c r="E378" s="622" t="s">
        <v>10</v>
      </c>
      <c r="F378" s="622" t="s">
        <v>10</v>
      </c>
      <c r="G378" s="624" t="s">
        <v>10</v>
      </c>
      <c r="H378" s="627" t="s">
        <v>10</v>
      </c>
      <c r="I378" s="624" t="s">
        <v>10</v>
      </c>
      <c r="J378" s="622" t="s">
        <v>10</v>
      </c>
      <c r="K378" s="651">
        <f>K377</f>
        <v>1.0130239366917785E-2</v>
      </c>
      <c r="L378" s="625" t="s">
        <v>10</v>
      </c>
      <c r="M378" s="622" t="s">
        <v>10</v>
      </c>
      <c r="N378" s="651" t="s">
        <v>10</v>
      </c>
      <c r="O378" s="654" t="s">
        <v>10</v>
      </c>
      <c r="P378" s="655" t="s">
        <v>10</v>
      </c>
      <c r="Q378" s="622" t="s">
        <v>10</v>
      </c>
      <c r="R378" s="622" t="s">
        <v>10</v>
      </c>
      <c r="S378" s="622" t="s">
        <v>10</v>
      </c>
      <c r="T378" s="622" t="s">
        <v>10</v>
      </c>
      <c r="U378" s="622" t="s">
        <v>10</v>
      </c>
      <c r="V378" s="622" t="s">
        <v>10</v>
      </c>
      <c r="W378" s="622" t="s">
        <v>10</v>
      </c>
      <c r="X378" s="653" t="s">
        <v>10</v>
      </c>
    </row>
    <row r="379" spans="2:26" ht="15.75" thickBot="1" x14ac:dyDescent="0.25">
      <c r="B379" s="633" t="s">
        <v>10</v>
      </c>
      <c r="C379" s="640" t="s">
        <v>10</v>
      </c>
      <c r="D379" s="624" t="s">
        <v>10</v>
      </c>
      <c r="E379" s="622" t="s">
        <v>10</v>
      </c>
      <c r="F379" s="622" t="s">
        <v>10</v>
      </c>
      <c r="G379" s="624" t="s">
        <v>10</v>
      </c>
      <c r="H379" s="627" t="s">
        <v>10</v>
      </c>
      <c r="I379" s="624" t="s">
        <v>10</v>
      </c>
      <c r="J379" s="622" t="s">
        <v>10</v>
      </c>
      <c r="K379" s="651" t="s">
        <v>10</v>
      </c>
      <c r="L379" s="625" t="s">
        <v>10</v>
      </c>
      <c r="M379" s="622" t="s">
        <v>10</v>
      </c>
      <c r="N379" s="651" t="s">
        <v>10</v>
      </c>
      <c r="O379" s="654" t="s">
        <v>176</v>
      </c>
      <c r="P379" s="622" t="s">
        <v>10</v>
      </c>
      <c r="Q379" s="622" t="s">
        <v>10</v>
      </c>
      <c r="R379" s="622" t="s">
        <v>10</v>
      </c>
      <c r="S379" s="622" t="s">
        <v>10</v>
      </c>
      <c r="T379" s="622" t="s">
        <v>10</v>
      </c>
      <c r="U379" s="622" t="s">
        <v>10</v>
      </c>
      <c r="V379" s="622" t="s">
        <v>10</v>
      </c>
      <c r="W379" s="622" t="s">
        <v>10</v>
      </c>
      <c r="X379" s="653" t="s">
        <v>10</v>
      </c>
    </row>
    <row r="380" spans="2:26" x14ac:dyDescent="0.2">
      <c r="B380" s="633">
        <v>117</v>
      </c>
      <c r="C380" s="640">
        <v>116</v>
      </c>
      <c r="D380" s="650" t="s">
        <v>10</v>
      </c>
      <c r="E380" s="622">
        <f>IF(B380=0,cell_HGL,IF(VLOOKUP(B380,table_HGL_JCTS,17,FALSE)&lt;X380,X380,VLOOKUP(B380,table_HGL_JCTS,17,FALSE)))</f>
        <v>390.66376256778926</v>
      </c>
      <c r="F380" s="622">
        <f>IF(B380=0,(E380+K380),IF(VLOOKUP(B380,table_HGL_JCTS,13,FALSE)="T-INTERSECTION",(E380+K380),(IF(VLOOKUP(B380,table_HGL_JCTS,17,FALSE)&lt;X380,(E380+K380),VLOOKUP(B380,table_HGL_JCTS,18,FALSE)))))</f>
        <v>391.09561558604145</v>
      </c>
      <c r="G380" s="624">
        <f>VLOOKUP(C380,table_CIA_JCTS,18)</f>
        <v>18</v>
      </c>
      <c r="H380" s="627">
        <f>VLOOKUP(C380,table_CIA_JCTS,17)</f>
        <v>3.2190891441969152</v>
      </c>
      <c r="I380" s="624">
        <f>VLOOKUP(C380,table_CIA_JCTS,21)</f>
        <v>890</v>
      </c>
      <c r="J380" s="622">
        <f>H380/((G380/12)^2*3.1416/4)</f>
        <v>1.8216275608731094</v>
      </c>
      <c r="K380" s="622">
        <f>(J380^2)/64.4</f>
        <v>5.1526816312616672E-2</v>
      </c>
      <c r="L380" s="625">
        <f>(H380/((1.486/cell_NP)*((3.1416*(G380/12)^2)/4)*(G380/48)^(2/3)))^2</f>
        <v>9.3913185598400444E-4</v>
      </c>
      <c r="M380" s="622">
        <f>L380*I380</f>
        <v>0.83582735182576395</v>
      </c>
      <c r="N380" s="651" t="s">
        <v>10</v>
      </c>
      <c r="O380" s="652" t="s">
        <v>129</v>
      </c>
      <c r="P380" s="622">
        <f>IF(ISBLANK(O380)=FALSE,(VLOOKUP(O380,table_MINOR,2,FALSE))*(K380)," ")</f>
        <v>2.5763408156308336E-2</v>
      </c>
      <c r="Q380" s="622">
        <f>SUM(P380:P381)</f>
        <v>2.5763408156308336E-2</v>
      </c>
      <c r="R380" s="622">
        <f>Q380+M380</f>
        <v>0.86159075998207224</v>
      </c>
      <c r="S380" s="622">
        <f>IF(O380="T-INTERSECTION",T380,(T380-K380))</f>
        <v>391.90567952971088</v>
      </c>
      <c r="T380" s="622">
        <f>IF(O380="T-INTERSECTION",(R380+F380-K380),(R380+F380))</f>
        <v>391.9572063460235</v>
      </c>
      <c r="U380" s="622">
        <f>VLOOKUP(C380,table_CIA_JCTS,26)</f>
        <v>398.7</v>
      </c>
      <c r="V380" s="622">
        <f>U380-0.5-S380</f>
        <v>6.294320470289108</v>
      </c>
      <c r="W380" s="622" t="s">
        <v>10</v>
      </c>
      <c r="X380" s="622">
        <f>IF(B380&gt;0,VLOOKUP(B380,table_CIA_JCTS,28)," ")</f>
        <v>386.19</v>
      </c>
      <c r="Y380" s="656">
        <v>9.93</v>
      </c>
      <c r="Z380" s="657">
        <f t="shared" si="0"/>
        <v>-3.6356795297108917</v>
      </c>
    </row>
    <row r="381" spans="2:26" ht="15.75" thickBot="1" x14ac:dyDescent="0.25">
      <c r="B381" s="633" t="s">
        <v>10</v>
      </c>
      <c r="C381" s="640" t="s">
        <v>10</v>
      </c>
      <c r="D381" s="624" t="s">
        <v>10</v>
      </c>
      <c r="E381" s="622" t="s">
        <v>10</v>
      </c>
      <c r="F381" s="622" t="s">
        <v>10</v>
      </c>
      <c r="G381" s="624" t="s">
        <v>10</v>
      </c>
      <c r="H381" s="627" t="s">
        <v>10</v>
      </c>
      <c r="I381" s="624" t="s">
        <v>10</v>
      </c>
      <c r="J381" s="622" t="s">
        <v>10</v>
      </c>
      <c r="K381" s="651">
        <f>K380</f>
        <v>5.1526816312616672E-2</v>
      </c>
      <c r="L381" s="625" t="s">
        <v>10</v>
      </c>
      <c r="M381" s="622" t="s">
        <v>10</v>
      </c>
      <c r="N381" s="651" t="s">
        <v>10</v>
      </c>
      <c r="O381" s="654" t="s">
        <v>10</v>
      </c>
      <c r="P381" s="655" t="s">
        <v>10</v>
      </c>
      <c r="Q381" s="622" t="s">
        <v>10</v>
      </c>
      <c r="R381" s="622" t="s">
        <v>10</v>
      </c>
      <c r="S381" s="622" t="s">
        <v>10</v>
      </c>
      <c r="T381" s="622" t="s">
        <v>10</v>
      </c>
      <c r="U381" s="622" t="s">
        <v>10</v>
      </c>
      <c r="V381" s="622" t="s">
        <v>10</v>
      </c>
      <c r="W381" s="622" t="s">
        <v>10</v>
      </c>
      <c r="X381" s="622" t="s">
        <v>10</v>
      </c>
      <c r="Y381" s="658" t="s">
        <v>596</v>
      </c>
      <c r="Z381" s="659"/>
    </row>
    <row r="382" spans="2:26" x14ac:dyDescent="0.2">
      <c r="B382" s="216" t="s">
        <v>10</v>
      </c>
      <c r="C382" s="217" t="s">
        <v>10</v>
      </c>
      <c r="D382" s="62" t="s">
        <v>10</v>
      </c>
      <c r="E382" s="61" t="s">
        <v>10</v>
      </c>
      <c r="F382" s="61" t="s">
        <v>10</v>
      </c>
      <c r="G382" s="62" t="s">
        <v>10</v>
      </c>
      <c r="H382" s="60" t="s">
        <v>10</v>
      </c>
      <c r="I382" s="62" t="s">
        <v>10</v>
      </c>
      <c r="J382" s="61" t="s">
        <v>10</v>
      </c>
      <c r="K382" s="68" t="s">
        <v>10</v>
      </c>
      <c r="L382" s="63" t="s">
        <v>10</v>
      </c>
      <c r="M382" s="61" t="s">
        <v>10</v>
      </c>
      <c r="N382" s="68" t="s">
        <v>10</v>
      </c>
      <c r="O382" s="52" t="s">
        <v>176</v>
      </c>
      <c r="P382" s="61" t="s">
        <v>10</v>
      </c>
      <c r="Q382" s="61" t="s">
        <v>10</v>
      </c>
      <c r="R382" s="61" t="s">
        <v>10</v>
      </c>
      <c r="S382" s="61" t="s">
        <v>10</v>
      </c>
      <c r="T382" s="61" t="s">
        <v>10</v>
      </c>
      <c r="U382" s="61" t="s">
        <v>10</v>
      </c>
      <c r="V382" s="61" t="s">
        <v>10</v>
      </c>
      <c r="W382" s="61" t="s">
        <v>10</v>
      </c>
      <c r="X382" s="69" t="s">
        <v>10</v>
      </c>
      <c r="Y382" s="1" t="s">
        <v>10</v>
      </c>
    </row>
    <row r="383" spans="2:26" x14ac:dyDescent="0.2">
      <c r="B383" s="216">
        <v>119</v>
      </c>
      <c r="C383" s="217">
        <v>118</v>
      </c>
      <c r="D383" s="58" t="s">
        <v>10</v>
      </c>
      <c r="E383" s="61">
        <f>IF(B383=0,cell_HGL,IF(VLOOKUP(B383,table_HGL_JCTS,17,FALSE)&lt;X383,X383,VLOOKUP(B383,table_HGL_JCTS,17,FALSE)))</f>
        <v>388.607649489209</v>
      </c>
      <c r="F383" s="61">
        <f>IF(B383=0,(E383+K383),IF(VLOOKUP(B383,table_HGL_JCTS,13,FALSE)="T-INTERSECTION",(E383+K383),(IF(VLOOKUP(B383,table_HGL_JCTS,17,FALSE)&lt;X383,(E383+K383),VLOOKUP(B383,table_HGL_JCTS,18,FALSE)))))</f>
        <v>389.04126624848197</v>
      </c>
      <c r="G383" s="62">
        <f>VLOOKUP(C383,table_CIA_JCTS,18)</f>
        <v>18</v>
      </c>
      <c r="H383" s="60">
        <f>VLOOKUP(C383,table_CIA_JCTS,17)</f>
        <v>2.9396501142973621</v>
      </c>
      <c r="I383" s="62">
        <f>VLOOKUP(C383,table_CIA_JCTS,21)</f>
        <v>188</v>
      </c>
      <c r="J383" s="61">
        <f>H383/((G383/12)^2*3.1416/4)</f>
        <v>1.6634977870001766</v>
      </c>
      <c r="K383" s="61">
        <f>(J383^2)/64.4</f>
        <v>4.2969330548982679E-2</v>
      </c>
      <c r="L383" s="63">
        <f>(H383/((1.486/cell_NP)*((3.1416*(G383/12)^2)/4)*(G383/48)^(2/3)))^2</f>
        <v>7.8316243922439623E-4</v>
      </c>
      <c r="M383" s="61">
        <f>L383*I383</f>
        <v>0.1472345385741865</v>
      </c>
      <c r="N383" s="68" t="s">
        <v>10</v>
      </c>
      <c r="O383" s="52" t="s">
        <v>10</v>
      </c>
      <c r="P383" s="257" t="s">
        <v>10</v>
      </c>
      <c r="Q383" s="61">
        <f>SUM(P383)</f>
        <v>0</v>
      </c>
      <c r="R383" s="61">
        <f>Q383+M383</f>
        <v>0.1472345385741865</v>
      </c>
      <c r="S383" s="61">
        <f>IF(O383="T-INTERSECTION",T383,(T383-K383))</f>
        <v>389.14553145650717</v>
      </c>
      <c r="T383" s="61">
        <f>IF(O383="T-INTERSECTION",(R383+F383-K383),(R383+F383))</f>
        <v>389.18850078705617</v>
      </c>
      <c r="U383" s="61">
        <f>VLOOKUP(C383,table_CIA_JCTS,26)</f>
        <v>393.65</v>
      </c>
      <c r="V383" s="61">
        <f>U383-0.5-S383</f>
        <v>4.0044685434928056</v>
      </c>
      <c r="W383" s="61" t="s">
        <v>10</v>
      </c>
      <c r="X383" s="69">
        <f>IF(B383&gt;0,VLOOKUP(B383,table_CIA_JCTS,28)," ")</f>
        <v>385.33</v>
      </c>
      <c r="Y383" s="1">
        <v>5.85</v>
      </c>
      <c r="Z383" s="88">
        <f t="shared" si="0"/>
        <v>-1.8455314565071941</v>
      </c>
    </row>
    <row r="384" spans="2:26" x14ac:dyDescent="0.2">
      <c r="B384" s="216" t="s">
        <v>10</v>
      </c>
      <c r="C384" s="217" t="s">
        <v>10</v>
      </c>
      <c r="D384" s="62" t="s">
        <v>10</v>
      </c>
      <c r="E384" s="61" t="s">
        <v>10</v>
      </c>
      <c r="F384" s="61" t="s">
        <v>10</v>
      </c>
      <c r="G384" s="62" t="s">
        <v>10</v>
      </c>
      <c r="H384" s="60" t="s">
        <v>10</v>
      </c>
      <c r="I384" s="62" t="s">
        <v>10</v>
      </c>
      <c r="J384" s="61" t="s">
        <v>10</v>
      </c>
      <c r="K384" s="68" t="s">
        <v>10</v>
      </c>
      <c r="L384" s="63" t="s">
        <v>10</v>
      </c>
      <c r="M384" s="61" t="s">
        <v>10</v>
      </c>
      <c r="N384" s="68" t="s">
        <v>10</v>
      </c>
      <c r="O384" s="52" t="s">
        <v>176</v>
      </c>
      <c r="P384" s="61" t="s">
        <v>10</v>
      </c>
      <c r="Q384" s="61" t="s">
        <v>10</v>
      </c>
      <c r="R384" s="61" t="s">
        <v>10</v>
      </c>
      <c r="S384" s="61" t="s">
        <v>10</v>
      </c>
      <c r="T384" s="61" t="s">
        <v>10</v>
      </c>
      <c r="U384" s="61" t="s">
        <v>10</v>
      </c>
      <c r="V384" s="61" t="s">
        <v>10</v>
      </c>
      <c r="W384" s="61" t="s">
        <v>10</v>
      </c>
      <c r="X384" s="69" t="s">
        <v>10</v>
      </c>
      <c r="Y384" s="1" t="s">
        <v>10</v>
      </c>
    </row>
    <row r="385" spans="2:26" x14ac:dyDescent="0.2">
      <c r="B385" s="216" t="s">
        <v>10</v>
      </c>
      <c r="C385" s="217" t="s">
        <v>10</v>
      </c>
      <c r="D385" s="62" t="s">
        <v>10</v>
      </c>
      <c r="E385" s="61" t="s">
        <v>10</v>
      </c>
      <c r="F385" s="61" t="s">
        <v>10</v>
      </c>
      <c r="G385" s="62" t="s">
        <v>10</v>
      </c>
      <c r="H385" s="60" t="s">
        <v>10</v>
      </c>
      <c r="I385" s="62" t="s">
        <v>10</v>
      </c>
      <c r="J385" s="61" t="s">
        <v>10</v>
      </c>
      <c r="K385" s="68" t="s">
        <v>10</v>
      </c>
      <c r="L385" s="63" t="s">
        <v>10</v>
      </c>
      <c r="M385" s="61" t="s">
        <v>10</v>
      </c>
      <c r="N385" s="68" t="s">
        <v>10</v>
      </c>
      <c r="O385" s="52" t="s">
        <v>176</v>
      </c>
      <c r="P385" s="61" t="s">
        <v>10</v>
      </c>
      <c r="Q385" s="61" t="s">
        <v>10</v>
      </c>
      <c r="R385" s="61" t="s">
        <v>10</v>
      </c>
      <c r="S385" s="61" t="s">
        <v>10</v>
      </c>
      <c r="T385" s="61" t="s">
        <v>10</v>
      </c>
      <c r="U385" s="61" t="s">
        <v>10</v>
      </c>
      <c r="V385" s="61" t="s">
        <v>10</v>
      </c>
      <c r="W385" s="61" t="s">
        <v>10</v>
      </c>
      <c r="X385" s="69" t="s">
        <v>10</v>
      </c>
      <c r="Y385" s="1" t="s">
        <v>10</v>
      </c>
    </row>
    <row r="386" spans="2:26" x14ac:dyDescent="0.2">
      <c r="B386" s="216">
        <v>121</v>
      </c>
      <c r="C386" s="217">
        <v>120</v>
      </c>
      <c r="D386" s="58" t="s">
        <v>10</v>
      </c>
      <c r="E386" s="61">
        <f>IF(B386=0,cell_HGL,IF(VLOOKUP(B386,table_HGL_JCTS,17,FALSE)&lt;X386,X386,VLOOKUP(B386,table_HGL_JCTS,17,FALSE)))</f>
        <v>387.722216263978</v>
      </c>
      <c r="F386" s="61">
        <f>IF(B386=0,(E386+K386),IF(VLOOKUP(B386,table_HGL_JCTS,13,FALSE)="T-INTERSECTION",(E386+K386),(IF(VLOOKUP(B386,table_HGL_JCTS,17,FALSE)&lt;X386,(E386+K386),VLOOKUP(B386,table_HGL_JCTS,18,FALSE)))))</f>
        <v>388.01755723803814</v>
      </c>
      <c r="G386" s="62">
        <f>VLOOKUP(C386,table_CIA_JCTS,18)</f>
        <v>24</v>
      </c>
      <c r="H386" s="60">
        <f>VLOOKUP(C386,table_CIA_JCTS,17)</f>
        <v>1.6833809352680504</v>
      </c>
      <c r="I386" s="62">
        <f>VLOOKUP(C386,table_CIA_JCTS,21)</f>
        <v>178</v>
      </c>
      <c r="J386" s="61">
        <f>H386/((G386/12)^2*3.1416/4)</f>
        <v>0.53583554089255492</v>
      </c>
      <c r="K386" s="61">
        <f>(J386^2)/64.4</f>
        <v>4.4583808522300752E-3</v>
      </c>
      <c r="L386" s="63">
        <f>(H386/((1.486/cell_NP)*((3.1416*(G386/12)^2)/4)*(G386/48)^(2/3)))^2</f>
        <v>5.5371392510614413E-5</v>
      </c>
      <c r="M386" s="61">
        <f>L386*I386</f>
        <v>9.8561078668893652E-3</v>
      </c>
      <c r="N386" s="68" t="s">
        <v>10</v>
      </c>
      <c r="O386" s="52" t="s">
        <v>10</v>
      </c>
      <c r="P386" s="257" t="s">
        <v>10</v>
      </c>
      <c r="Q386" s="61">
        <f>SUM(P386)</f>
        <v>0</v>
      </c>
      <c r="R386" s="61">
        <f>Q386+M386</f>
        <v>9.8561078668893652E-3</v>
      </c>
      <c r="S386" s="61">
        <f>IF(O386="T-INTERSECTION",T386,(T386-K386))</f>
        <v>388.0229549650528</v>
      </c>
      <c r="T386" s="61">
        <f>IF(O386="T-INTERSECTION",(R386+F386-K386),(R386+F386))</f>
        <v>388.02741334590502</v>
      </c>
      <c r="U386" s="61">
        <f>VLOOKUP(C386,table_CIA_JCTS,26)</f>
        <v>392.15</v>
      </c>
      <c r="V386" s="61">
        <f>U386-0.5-S386</f>
        <v>3.627045034947173</v>
      </c>
      <c r="W386" s="61" t="s">
        <v>10</v>
      </c>
      <c r="X386" s="69">
        <f>IF(B386&gt;0,VLOOKUP(B386,table_CIA_JCTS,28)," ")</f>
        <v>384.58</v>
      </c>
      <c r="Y386" s="1">
        <v>5.14</v>
      </c>
      <c r="Z386" s="88">
        <f t="shared" si="0"/>
        <v>-1.5129549650528267</v>
      </c>
    </row>
    <row r="387" spans="2:26" x14ac:dyDescent="0.2">
      <c r="B387" s="216" t="s">
        <v>10</v>
      </c>
      <c r="C387" s="217" t="s">
        <v>10</v>
      </c>
      <c r="D387" s="62" t="s">
        <v>10</v>
      </c>
      <c r="E387" s="61" t="s">
        <v>10</v>
      </c>
      <c r="F387" s="61" t="s">
        <v>10</v>
      </c>
      <c r="G387" s="62" t="s">
        <v>10</v>
      </c>
      <c r="H387" s="60" t="s">
        <v>10</v>
      </c>
      <c r="I387" s="62" t="s">
        <v>10</v>
      </c>
      <c r="J387" s="61" t="s">
        <v>10</v>
      </c>
      <c r="K387" s="68" t="s">
        <v>10</v>
      </c>
      <c r="L387" s="63" t="s">
        <v>10</v>
      </c>
      <c r="M387" s="61" t="s">
        <v>10</v>
      </c>
      <c r="N387" s="68" t="s">
        <v>10</v>
      </c>
      <c r="O387" s="52" t="s">
        <v>176</v>
      </c>
      <c r="P387" s="61" t="s">
        <v>10</v>
      </c>
      <c r="Q387" s="61" t="s">
        <v>10</v>
      </c>
      <c r="R387" s="61" t="s">
        <v>10</v>
      </c>
      <c r="S387" s="61" t="s">
        <v>10</v>
      </c>
      <c r="T387" s="61" t="s">
        <v>10</v>
      </c>
      <c r="U387" s="61" t="s">
        <v>10</v>
      </c>
      <c r="V387" s="61" t="s">
        <v>10</v>
      </c>
      <c r="W387" s="61" t="s">
        <v>10</v>
      </c>
      <c r="X387" s="69" t="s">
        <v>10</v>
      </c>
      <c r="Y387" s="1" t="s">
        <v>10</v>
      </c>
    </row>
    <row r="388" spans="2:26" x14ac:dyDescent="0.2">
      <c r="B388" s="216" t="s">
        <v>10</v>
      </c>
      <c r="C388" s="217" t="s">
        <v>10</v>
      </c>
      <c r="D388" s="62" t="s">
        <v>10</v>
      </c>
      <c r="E388" s="61" t="s">
        <v>10</v>
      </c>
      <c r="F388" s="61" t="s">
        <v>10</v>
      </c>
      <c r="G388" s="62" t="s">
        <v>10</v>
      </c>
      <c r="H388" s="60" t="s">
        <v>10</v>
      </c>
      <c r="I388" s="62" t="s">
        <v>10</v>
      </c>
      <c r="J388" s="61" t="s">
        <v>10</v>
      </c>
      <c r="K388" s="68" t="s">
        <v>10</v>
      </c>
      <c r="L388" s="63" t="s">
        <v>10</v>
      </c>
      <c r="M388" s="61" t="s">
        <v>10</v>
      </c>
      <c r="N388" s="68" t="s">
        <v>10</v>
      </c>
      <c r="O388" s="52" t="s">
        <v>176</v>
      </c>
      <c r="P388" s="61" t="s">
        <v>10</v>
      </c>
      <c r="Q388" s="61" t="s">
        <v>10</v>
      </c>
      <c r="R388" s="61" t="s">
        <v>10</v>
      </c>
      <c r="S388" s="61" t="s">
        <v>10</v>
      </c>
      <c r="T388" s="61" t="s">
        <v>10</v>
      </c>
      <c r="U388" s="61" t="s">
        <v>10</v>
      </c>
      <c r="V388" s="61" t="s">
        <v>10</v>
      </c>
      <c r="W388" s="61" t="s">
        <v>10</v>
      </c>
      <c r="X388" s="69" t="s">
        <v>10</v>
      </c>
      <c r="Y388" s="1" t="s">
        <v>10</v>
      </c>
    </row>
    <row r="389" spans="2:26" x14ac:dyDescent="0.2">
      <c r="B389" s="216">
        <v>130</v>
      </c>
      <c r="C389" s="217">
        <v>129</v>
      </c>
      <c r="D389" s="58" t="s">
        <v>10</v>
      </c>
      <c r="E389" s="61">
        <f>IF(B389=0,cell_HGL,IF(VLOOKUP(B389,table_HGL_JCTS,17,FALSE)&lt;X389,X389,VLOOKUP(B389,table_HGL_JCTS,17,FALSE)))</f>
        <v>387.42209766830979</v>
      </c>
      <c r="F389" s="61">
        <f>IF(B389=0,(E389+K389),IF(VLOOKUP(B389,table_HGL_JCTS,13,FALSE)="T-INTERSECTION",(E389+K389),(IF(VLOOKUP(B389,table_HGL_JCTS,17,FALSE)&lt;X389,(E389+K389),VLOOKUP(B389,table_HGL_JCTS,18,FALSE)))))</f>
        <v>387.90185593732826</v>
      </c>
      <c r="G389" s="62">
        <f>VLOOKUP(C389,table_CIA_JCTS,18)</f>
        <v>36</v>
      </c>
      <c r="H389" s="60">
        <f>VLOOKUP(C389,table_CIA_JCTS,17)</f>
        <v>18.539636198292119</v>
      </c>
      <c r="I389" s="62">
        <f>VLOOKUP(C389,table_CIA_JCTS,21)</f>
        <v>284</v>
      </c>
      <c r="J389" s="61">
        <f>H389/((G389/12)^2*3.1416/4)</f>
        <v>2.6228158614565995</v>
      </c>
      <c r="K389" s="61">
        <f>(J389^2)/64.4</f>
        <v>0.10681930191161994</v>
      </c>
      <c r="L389" s="63">
        <f>(H389/((1.486/cell_NP)*((3.1416*(G389/12)^2)/4)*(G389/48)^(2/3)))^2</f>
        <v>7.7262662621437484E-4</v>
      </c>
      <c r="M389" s="61">
        <f>L389*I389</f>
        <v>0.21942596184488244</v>
      </c>
      <c r="N389" s="68" t="s">
        <v>10</v>
      </c>
      <c r="O389" s="72" t="s">
        <v>130</v>
      </c>
      <c r="P389" s="61">
        <f>IF(ISBLANK(O389)=FALSE,(VLOOKUP(O389,table_MINOR,2,FALSE))*(K389)," ")</f>
        <v>3.2045790573485979E-2</v>
      </c>
      <c r="Q389" s="61">
        <f>SUM(P389:P390)</f>
        <v>3.2045790573485979E-2</v>
      </c>
      <c r="R389" s="61">
        <f>Q389+M389</f>
        <v>0.25147175241836844</v>
      </c>
      <c r="S389" s="61">
        <f>IF(O389="T-INTERSECTION",T389,(T389-K389))</f>
        <v>388.04650838783499</v>
      </c>
      <c r="T389" s="61">
        <f>IF(O389="T-INTERSECTION",(R389+F389-K389),(R389+F389))</f>
        <v>388.15332768974662</v>
      </c>
      <c r="U389" s="61">
        <f>VLOOKUP(C389,table_CIA_JCTS,26)</f>
        <v>391.6</v>
      </c>
      <c r="V389" s="61">
        <f>U389-0.5-S389</f>
        <v>3.0534916121650326</v>
      </c>
      <c r="W389" s="61" t="s">
        <v>10</v>
      </c>
      <c r="X389" s="69">
        <f>IF(B389&gt;0,VLOOKUP(B389,table_CIA_JCTS,28)," ")</f>
        <v>384.52</v>
      </c>
      <c r="Y389" s="1">
        <v>4.5</v>
      </c>
      <c r="Z389" s="88">
        <f t="shared" ref="Z389:Z450" si="4">V389-Y389</f>
        <v>-1.4465083878349674</v>
      </c>
    </row>
    <row r="390" spans="2:26" x14ac:dyDescent="0.2">
      <c r="B390" s="216" t="s">
        <v>10</v>
      </c>
      <c r="C390" s="217" t="s">
        <v>10</v>
      </c>
      <c r="D390" s="62" t="s">
        <v>10</v>
      </c>
      <c r="E390" s="61" t="s">
        <v>10</v>
      </c>
      <c r="F390" s="61" t="s">
        <v>10</v>
      </c>
      <c r="G390" s="62" t="s">
        <v>10</v>
      </c>
      <c r="H390" s="60" t="s">
        <v>10</v>
      </c>
      <c r="I390" s="62" t="s">
        <v>10</v>
      </c>
      <c r="J390" s="61" t="s">
        <v>10</v>
      </c>
      <c r="K390" s="68">
        <f>K389</f>
        <v>0.10681930191161994</v>
      </c>
      <c r="L390" s="63" t="s">
        <v>10</v>
      </c>
      <c r="M390" s="61" t="s">
        <v>10</v>
      </c>
      <c r="N390" s="68" t="s">
        <v>10</v>
      </c>
      <c r="O390" s="52" t="s">
        <v>10</v>
      </c>
      <c r="P390" s="257" t="s">
        <v>10</v>
      </c>
      <c r="Q390" s="61" t="s">
        <v>10</v>
      </c>
      <c r="R390" s="61" t="s">
        <v>10</v>
      </c>
      <c r="S390" s="61" t="s">
        <v>10</v>
      </c>
      <c r="T390" s="61" t="s">
        <v>10</v>
      </c>
      <c r="U390" s="61" t="s">
        <v>10</v>
      </c>
      <c r="V390" s="61" t="s">
        <v>10</v>
      </c>
      <c r="W390" s="61" t="s">
        <v>10</v>
      </c>
      <c r="X390" s="69" t="s">
        <v>10</v>
      </c>
      <c r="Y390" s="1" t="s">
        <v>10</v>
      </c>
    </row>
    <row r="391" spans="2:26" x14ac:dyDescent="0.2">
      <c r="B391" s="216">
        <v>129</v>
      </c>
      <c r="C391" s="217">
        <v>128</v>
      </c>
      <c r="D391" s="58" t="s">
        <v>10</v>
      </c>
      <c r="E391" s="61">
        <f>IF(B391=0,cell_HGL,IF(VLOOKUP(B391,table_HGL_JCTS,17,FALSE)&lt;X391,X391,VLOOKUP(B391,table_HGL_JCTS,17,FALSE)))</f>
        <v>388.04650838783499</v>
      </c>
      <c r="F391" s="61">
        <f>IF(B391=0,(E391+K391),IF(VLOOKUP(B391,table_HGL_JCTS,13,FALSE)="T-INTERSECTION",(E391+K391),(IF(VLOOKUP(B391,table_HGL_JCTS,17,FALSE)&lt;X391,(E391+K391),VLOOKUP(B391,table_HGL_JCTS,18,FALSE)))))</f>
        <v>388.15332768974662</v>
      </c>
      <c r="G391" s="62">
        <f>VLOOKUP(C391,table_CIA_JCTS,18)</f>
        <v>30</v>
      </c>
      <c r="H391" s="60">
        <f>VLOOKUP(C391,table_CIA_JCTS,17)</f>
        <v>15.818234177118184</v>
      </c>
      <c r="I391" s="62">
        <f>VLOOKUP(C391,table_CIA_JCTS,21)</f>
        <v>629</v>
      </c>
      <c r="J391" s="61">
        <f>H391/((G391/12)^2*3.1416/4)</f>
        <v>3.2224566696446519</v>
      </c>
      <c r="K391" s="61">
        <f>(J391^2)/64.4</f>
        <v>0.16124576067915064</v>
      </c>
      <c r="L391" s="63">
        <f>(H391/((1.486/cell_NP)*((3.1416*(G391/12)^2)/4)*(G391/48)^(2/3)))^2</f>
        <v>1.4872474583239022E-3</v>
      </c>
      <c r="M391" s="61">
        <f>L391*I391</f>
        <v>0.93547865128573449</v>
      </c>
      <c r="N391" s="68" t="s">
        <v>10</v>
      </c>
      <c r="O391" s="72" t="s">
        <v>130</v>
      </c>
      <c r="P391" s="61">
        <f>IF(ISBLANK(O391)=FALSE,(VLOOKUP(O391,table_MINOR,2,FALSE))*(K391)," ")</f>
        <v>4.8373728203745192E-2</v>
      </c>
      <c r="Q391" s="61">
        <f>SUM(P391:P394)</f>
        <v>0.12899660854332051</v>
      </c>
      <c r="R391" s="61">
        <f>Q391+M391</f>
        <v>1.064475259829055</v>
      </c>
      <c r="S391" s="61">
        <f>IF(O391="T-INTERSECTION",T391,(T391-K391))</f>
        <v>389.05655718889653</v>
      </c>
      <c r="T391" s="61">
        <f>IF(O391="T-INTERSECTION",(R391+F391-K391),(R391+F391))</f>
        <v>389.21780294957568</v>
      </c>
      <c r="U391" s="61">
        <f>VLOOKUP(C391,table_CIA_JCTS,26)</f>
        <v>392.93</v>
      </c>
      <c r="V391" s="61">
        <f>U391-0.5-S391</f>
        <v>3.3734428111034731</v>
      </c>
      <c r="W391" s="61" t="s">
        <v>10</v>
      </c>
      <c r="X391" s="69">
        <f>IF(B391&gt;0,VLOOKUP(B391,table_CIA_JCTS,28)," ")</f>
        <v>384.69</v>
      </c>
      <c r="Y391" s="1">
        <v>4.63</v>
      </c>
      <c r="Z391" s="88">
        <f t="shared" si="4"/>
        <v>-1.2565571888965268</v>
      </c>
    </row>
    <row r="392" spans="2:26" x14ac:dyDescent="0.2">
      <c r="B392" s="216" t="s">
        <v>10</v>
      </c>
      <c r="C392" s="217" t="s">
        <v>10</v>
      </c>
      <c r="D392" s="62" t="s">
        <v>10</v>
      </c>
      <c r="E392" s="61" t="s">
        <v>10</v>
      </c>
      <c r="F392" s="61" t="s">
        <v>10</v>
      </c>
      <c r="G392" s="62" t="s">
        <v>10</v>
      </c>
      <c r="H392" s="60" t="s">
        <v>10</v>
      </c>
      <c r="I392" s="62" t="s">
        <v>10</v>
      </c>
      <c r="J392" s="61" t="s">
        <v>10</v>
      </c>
      <c r="K392" s="68">
        <f>K391</f>
        <v>0.16124576067915064</v>
      </c>
      <c r="L392" s="63" t="s">
        <v>10</v>
      </c>
      <c r="M392" s="61" t="s">
        <v>10</v>
      </c>
      <c r="N392" s="68" t="s">
        <v>10</v>
      </c>
      <c r="O392" s="52" t="s">
        <v>131</v>
      </c>
      <c r="P392" s="61">
        <f>IF(ISBLANK(O392)=FALSE,(VLOOKUP(O392,table_MINOR,2,FALSE))*(K392)," ")</f>
        <v>4.031144016978766E-2</v>
      </c>
      <c r="Q392" s="61" t="s">
        <v>10</v>
      </c>
      <c r="R392" s="61" t="s">
        <v>10</v>
      </c>
      <c r="S392" s="61" t="s">
        <v>10</v>
      </c>
      <c r="T392" s="61" t="s">
        <v>10</v>
      </c>
      <c r="U392" s="61" t="s">
        <v>10</v>
      </c>
      <c r="V392" s="61" t="s">
        <v>10</v>
      </c>
      <c r="W392" s="61" t="s">
        <v>10</v>
      </c>
      <c r="X392" s="69" t="s">
        <v>10</v>
      </c>
      <c r="Y392" s="1" t="s">
        <v>10</v>
      </c>
    </row>
    <row r="393" spans="2:26" x14ac:dyDescent="0.2">
      <c r="B393" s="216" t="s">
        <v>10</v>
      </c>
      <c r="C393" s="217" t="s">
        <v>10</v>
      </c>
      <c r="D393" s="62" t="s">
        <v>10</v>
      </c>
      <c r="E393" s="61" t="s">
        <v>10</v>
      </c>
      <c r="F393" s="61" t="s">
        <v>10</v>
      </c>
      <c r="G393" s="62" t="s">
        <v>10</v>
      </c>
      <c r="H393" s="60" t="s">
        <v>10</v>
      </c>
      <c r="I393" s="62" t="s">
        <v>10</v>
      </c>
      <c r="J393" s="61" t="s">
        <v>10</v>
      </c>
      <c r="K393" s="68">
        <f>K392</f>
        <v>0.16124576067915064</v>
      </c>
      <c r="L393" s="63" t="s">
        <v>10</v>
      </c>
      <c r="M393" s="61" t="s">
        <v>10</v>
      </c>
      <c r="N393" s="68" t="s">
        <v>10</v>
      </c>
      <c r="O393" s="52" t="s">
        <v>131</v>
      </c>
      <c r="P393" s="61">
        <f>IF(ISBLANK(O393)=FALSE,(VLOOKUP(O393,table_MINOR,2,FALSE))*(K393)," ")</f>
        <v>4.031144016978766E-2</v>
      </c>
      <c r="Q393" s="61" t="s">
        <v>10</v>
      </c>
      <c r="R393" s="61" t="s">
        <v>10</v>
      </c>
      <c r="S393" s="61" t="s">
        <v>10</v>
      </c>
      <c r="T393" s="61" t="s">
        <v>10</v>
      </c>
      <c r="U393" s="61" t="s">
        <v>10</v>
      </c>
      <c r="V393" s="61" t="s">
        <v>10</v>
      </c>
      <c r="W393" s="61" t="s">
        <v>10</v>
      </c>
      <c r="X393" s="69" t="s">
        <v>10</v>
      </c>
      <c r="Y393" s="1" t="s">
        <v>10</v>
      </c>
    </row>
    <row r="394" spans="2:26" x14ac:dyDescent="0.2">
      <c r="B394" s="216" t="s">
        <v>10</v>
      </c>
      <c r="C394" s="217" t="s">
        <v>10</v>
      </c>
      <c r="D394" s="62" t="s">
        <v>10</v>
      </c>
      <c r="E394" s="61" t="s">
        <v>10</v>
      </c>
      <c r="F394" s="61" t="s">
        <v>10</v>
      </c>
      <c r="G394" s="62" t="s">
        <v>10</v>
      </c>
      <c r="H394" s="60" t="s">
        <v>10</v>
      </c>
      <c r="I394" s="62" t="s">
        <v>10</v>
      </c>
      <c r="J394" s="61" t="s">
        <v>10</v>
      </c>
      <c r="K394" s="68">
        <f>K393</f>
        <v>0.16124576067915064</v>
      </c>
      <c r="L394" s="63" t="s">
        <v>10</v>
      </c>
      <c r="M394" s="61" t="s">
        <v>10</v>
      </c>
      <c r="N394" s="68" t="s">
        <v>10</v>
      </c>
      <c r="O394" s="52" t="s">
        <v>10</v>
      </c>
      <c r="P394" s="257" t="s">
        <v>10</v>
      </c>
      <c r="Q394" s="61" t="s">
        <v>10</v>
      </c>
      <c r="R394" s="61" t="s">
        <v>10</v>
      </c>
      <c r="S394" s="61" t="s">
        <v>10</v>
      </c>
      <c r="T394" s="61" t="s">
        <v>10</v>
      </c>
      <c r="U394" s="61" t="s">
        <v>10</v>
      </c>
      <c r="V394" s="61" t="s">
        <v>10</v>
      </c>
      <c r="W394" s="61" t="s">
        <v>10</v>
      </c>
      <c r="X394" s="69" t="s">
        <v>10</v>
      </c>
      <c r="Y394" s="1" t="s">
        <v>10</v>
      </c>
    </row>
    <row r="395" spans="2:26" x14ac:dyDescent="0.2">
      <c r="B395" s="216">
        <v>128</v>
      </c>
      <c r="C395" s="217">
        <v>127</v>
      </c>
      <c r="D395" s="58" t="s">
        <v>10</v>
      </c>
      <c r="E395" s="61">
        <f>IF(B395=0,cell_HGL,IF(VLOOKUP(B395,table_HGL_JCTS,17,FALSE)&lt;X395,X395,VLOOKUP(B395,table_HGL_JCTS,17,FALSE)))</f>
        <v>389.05655718889653</v>
      </c>
      <c r="F395" s="61">
        <f>IF(B395=0,(E395+K395),IF(VLOOKUP(B395,table_HGL_JCTS,13,FALSE)="T-INTERSECTION",(E395+K395),(IF(VLOOKUP(B395,table_HGL_JCTS,17,FALSE)&lt;X395,(E395+K395),VLOOKUP(B395,table_HGL_JCTS,18,FALSE)))))</f>
        <v>389.21780294957568</v>
      </c>
      <c r="G395" s="62">
        <f>VLOOKUP(C395,table_CIA_JCTS,18)</f>
        <v>30</v>
      </c>
      <c r="H395" s="60">
        <f>VLOOKUP(C395,table_CIA_JCTS,17)</f>
        <v>14.413224345963094</v>
      </c>
      <c r="I395" s="62">
        <f>VLOOKUP(C395,table_CIA_JCTS,21)</f>
        <v>700</v>
      </c>
      <c r="J395" s="61">
        <f>H395/((G395/12)^2*3.1416/4)</f>
        <v>2.936231086521639</v>
      </c>
      <c r="K395" s="61">
        <f>(J395^2)/64.4</f>
        <v>0.13387349368720564</v>
      </c>
      <c r="L395" s="63">
        <f>(H395/((1.486/cell_NP)*((3.1416*(G395/12)^2)/4)*(G395/48)^(2/3)))^2</f>
        <v>1.2347798316348663E-3</v>
      </c>
      <c r="M395" s="61">
        <f>L395*I395</f>
        <v>0.86434588214440644</v>
      </c>
      <c r="N395" s="68" t="s">
        <v>10</v>
      </c>
      <c r="O395" s="72" t="s">
        <v>156</v>
      </c>
      <c r="P395" s="61">
        <f>IF(ISBLANK(O395)=FALSE,(VLOOKUP(O395,table_MINOR,2,FALSE))*(K395)," ")</f>
        <v>0.10040512026540423</v>
      </c>
      <c r="Q395" s="61">
        <f>SUM(P395:P400)</f>
        <v>0.2342786139526099</v>
      </c>
      <c r="R395" s="61">
        <f>Q395+M395</f>
        <v>1.0986244960970164</v>
      </c>
      <c r="S395" s="61">
        <f>IF(O395="T-INTERSECTION",T395,(T395-K395))</f>
        <v>390.18255395198548</v>
      </c>
      <c r="T395" s="61">
        <f>IF(O395="T-INTERSECTION",(R395+F395-K395),(R395+F395))</f>
        <v>390.31642744567267</v>
      </c>
      <c r="U395" s="61">
        <f>VLOOKUP(C395,table_CIA_JCTS,26)</f>
        <v>394.73</v>
      </c>
      <c r="V395" s="61">
        <f>U395-0.5-S395</f>
        <v>4.0474460480145353</v>
      </c>
      <c r="W395" s="61" t="s">
        <v>10</v>
      </c>
      <c r="X395" s="69">
        <f>IF(B395&gt;0,VLOOKUP(B395,table_CIA_JCTS,28)," ")</f>
        <v>385.56</v>
      </c>
      <c r="Y395" s="1">
        <v>5.0999999999999996</v>
      </c>
      <c r="Z395" s="88">
        <f t="shared" si="4"/>
        <v>-1.0525539519854643</v>
      </c>
    </row>
    <row r="396" spans="2:26" x14ac:dyDescent="0.2">
      <c r="B396" s="216" t="s">
        <v>10</v>
      </c>
      <c r="C396" s="217" t="s">
        <v>10</v>
      </c>
      <c r="D396" s="62" t="s">
        <v>10</v>
      </c>
      <c r="E396" s="61" t="s">
        <v>10</v>
      </c>
      <c r="F396" s="61" t="s">
        <v>10</v>
      </c>
      <c r="G396" s="62" t="s">
        <v>10</v>
      </c>
      <c r="H396" s="60" t="s">
        <v>10</v>
      </c>
      <c r="I396" s="62" t="s">
        <v>10</v>
      </c>
      <c r="J396" s="61" t="s">
        <v>10</v>
      </c>
      <c r="K396" s="68">
        <f>K395</f>
        <v>0.13387349368720564</v>
      </c>
      <c r="L396" s="63" t="s">
        <v>10</v>
      </c>
      <c r="M396" s="61" t="s">
        <v>10</v>
      </c>
      <c r="N396" s="68" t="s">
        <v>10</v>
      </c>
      <c r="O396" s="52" t="s">
        <v>131</v>
      </c>
      <c r="P396" s="61">
        <f>IF(ISBLANK(O396)=FALSE,(VLOOKUP(O396,table_MINOR,2,FALSE))*(K396)," ")</f>
        <v>3.3468373421801409E-2</v>
      </c>
      <c r="Q396" s="61" t="s">
        <v>10</v>
      </c>
      <c r="R396" s="61" t="s">
        <v>10</v>
      </c>
      <c r="S396" s="61" t="s">
        <v>10</v>
      </c>
      <c r="T396" s="61" t="s">
        <v>10</v>
      </c>
      <c r="U396" s="61" t="s">
        <v>10</v>
      </c>
      <c r="V396" s="61" t="s">
        <v>10</v>
      </c>
      <c r="W396" s="61" t="s">
        <v>10</v>
      </c>
      <c r="X396" s="69" t="s">
        <v>10</v>
      </c>
      <c r="Y396" s="1" t="s">
        <v>10</v>
      </c>
    </row>
    <row r="397" spans="2:26" x14ac:dyDescent="0.2">
      <c r="B397" s="216" t="s">
        <v>10</v>
      </c>
      <c r="C397" s="217" t="s">
        <v>10</v>
      </c>
      <c r="D397" s="62" t="s">
        <v>10</v>
      </c>
      <c r="E397" s="61" t="s">
        <v>10</v>
      </c>
      <c r="F397" s="61" t="s">
        <v>10</v>
      </c>
      <c r="G397" s="62" t="s">
        <v>10</v>
      </c>
      <c r="H397" s="60" t="s">
        <v>10</v>
      </c>
      <c r="I397" s="62" t="s">
        <v>10</v>
      </c>
      <c r="J397" s="61" t="s">
        <v>10</v>
      </c>
      <c r="K397" s="68">
        <f>K396</f>
        <v>0.13387349368720564</v>
      </c>
      <c r="L397" s="63" t="s">
        <v>10</v>
      </c>
      <c r="M397" s="61" t="s">
        <v>10</v>
      </c>
      <c r="N397" s="68" t="s">
        <v>10</v>
      </c>
      <c r="O397" s="52" t="s">
        <v>131</v>
      </c>
      <c r="P397" s="61">
        <f>IF(ISBLANK(O397)=FALSE,(VLOOKUP(O397,table_MINOR,2,FALSE))*(K397)," ")</f>
        <v>3.3468373421801409E-2</v>
      </c>
      <c r="Q397" s="61" t="s">
        <v>10</v>
      </c>
      <c r="R397" s="61" t="s">
        <v>10</v>
      </c>
      <c r="S397" s="61" t="s">
        <v>10</v>
      </c>
      <c r="T397" s="61" t="s">
        <v>10</v>
      </c>
      <c r="U397" s="61" t="s">
        <v>10</v>
      </c>
      <c r="V397" s="61" t="s">
        <v>10</v>
      </c>
      <c r="W397" s="61" t="s">
        <v>10</v>
      </c>
      <c r="X397" s="69" t="s">
        <v>10</v>
      </c>
      <c r="Y397" s="1" t="s">
        <v>10</v>
      </c>
    </row>
    <row r="398" spans="2:26" x14ac:dyDescent="0.2">
      <c r="B398" s="216" t="s">
        <v>10</v>
      </c>
      <c r="C398" s="217" t="s">
        <v>10</v>
      </c>
      <c r="D398" s="62" t="s">
        <v>10</v>
      </c>
      <c r="E398" s="61" t="s">
        <v>10</v>
      </c>
      <c r="F398" s="61" t="s">
        <v>10</v>
      </c>
      <c r="G398" s="62" t="s">
        <v>10</v>
      </c>
      <c r="H398" s="60" t="s">
        <v>10</v>
      </c>
      <c r="I398" s="62" t="s">
        <v>10</v>
      </c>
      <c r="J398" s="61" t="s">
        <v>10</v>
      </c>
      <c r="K398" s="68">
        <f>K397</f>
        <v>0.13387349368720564</v>
      </c>
      <c r="L398" s="63" t="s">
        <v>10</v>
      </c>
      <c r="M398" s="61" t="s">
        <v>10</v>
      </c>
      <c r="N398" s="68" t="s">
        <v>10</v>
      </c>
      <c r="O398" s="52" t="s">
        <v>131</v>
      </c>
      <c r="P398" s="61">
        <f>IF(ISBLANK(O398)=FALSE,(VLOOKUP(O398,table_MINOR,2,FALSE))*(K398)," ")</f>
        <v>3.3468373421801409E-2</v>
      </c>
      <c r="Q398" s="61" t="s">
        <v>10</v>
      </c>
      <c r="R398" s="61" t="s">
        <v>10</v>
      </c>
      <c r="S398" s="61" t="s">
        <v>10</v>
      </c>
      <c r="T398" s="61" t="s">
        <v>10</v>
      </c>
      <c r="U398" s="61" t="s">
        <v>10</v>
      </c>
      <c r="V398" s="61" t="s">
        <v>10</v>
      </c>
      <c r="W398" s="61" t="s">
        <v>10</v>
      </c>
      <c r="X398" s="69" t="s">
        <v>10</v>
      </c>
      <c r="Y398" s="1" t="s">
        <v>10</v>
      </c>
    </row>
    <row r="399" spans="2:26" x14ac:dyDescent="0.2">
      <c r="B399" s="216" t="s">
        <v>10</v>
      </c>
      <c r="C399" s="217" t="s">
        <v>10</v>
      </c>
      <c r="D399" s="62" t="s">
        <v>10</v>
      </c>
      <c r="E399" s="61" t="s">
        <v>10</v>
      </c>
      <c r="F399" s="61" t="s">
        <v>10</v>
      </c>
      <c r="G399" s="62" t="s">
        <v>10</v>
      </c>
      <c r="H399" s="60" t="s">
        <v>10</v>
      </c>
      <c r="I399" s="62" t="s">
        <v>10</v>
      </c>
      <c r="J399" s="61" t="s">
        <v>10</v>
      </c>
      <c r="K399" s="68">
        <f>K398</f>
        <v>0.13387349368720564</v>
      </c>
      <c r="L399" s="63" t="s">
        <v>10</v>
      </c>
      <c r="M399" s="61" t="s">
        <v>10</v>
      </c>
      <c r="N399" s="68" t="s">
        <v>10</v>
      </c>
      <c r="O399" s="52" t="s">
        <v>131</v>
      </c>
      <c r="P399" s="61">
        <f>IF(ISBLANK(O399)=FALSE,(VLOOKUP(O399,table_MINOR,2,FALSE))*(K399)," ")</f>
        <v>3.3468373421801409E-2</v>
      </c>
      <c r="Q399" s="61" t="s">
        <v>10</v>
      </c>
      <c r="R399" s="61" t="s">
        <v>10</v>
      </c>
      <c r="S399" s="61" t="s">
        <v>10</v>
      </c>
      <c r="T399" s="61" t="s">
        <v>10</v>
      </c>
      <c r="U399" s="61" t="s">
        <v>10</v>
      </c>
      <c r="V399" s="61" t="s">
        <v>10</v>
      </c>
      <c r="W399" s="61" t="s">
        <v>10</v>
      </c>
      <c r="X399" s="69" t="s">
        <v>10</v>
      </c>
      <c r="Y399" s="1" t="s">
        <v>10</v>
      </c>
    </row>
    <row r="400" spans="2:26" x14ac:dyDescent="0.2">
      <c r="B400" s="216" t="s">
        <v>10</v>
      </c>
      <c r="C400" s="217" t="s">
        <v>10</v>
      </c>
      <c r="D400" s="62" t="s">
        <v>10</v>
      </c>
      <c r="E400" s="61" t="s">
        <v>10</v>
      </c>
      <c r="F400" s="61" t="s">
        <v>10</v>
      </c>
      <c r="G400" s="62" t="s">
        <v>10</v>
      </c>
      <c r="H400" s="60" t="s">
        <v>10</v>
      </c>
      <c r="I400" s="62" t="s">
        <v>10</v>
      </c>
      <c r="J400" s="61" t="s">
        <v>10</v>
      </c>
      <c r="K400" s="68">
        <f>K399</f>
        <v>0.13387349368720564</v>
      </c>
      <c r="L400" s="63" t="s">
        <v>10</v>
      </c>
      <c r="M400" s="61" t="s">
        <v>10</v>
      </c>
      <c r="N400" s="68" t="s">
        <v>10</v>
      </c>
      <c r="O400" s="52" t="s">
        <v>10</v>
      </c>
      <c r="P400" s="257" t="s">
        <v>10</v>
      </c>
      <c r="Q400" s="61" t="s">
        <v>10</v>
      </c>
      <c r="R400" s="61" t="s">
        <v>10</v>
      </c>
      <c r="S400" s="61" t="s">
        <v>10</v>
      </c>
      <c r="T400" s="61" t="s">
        <v>10</v>
      </c>
      <c r="U400" s="61" t="s">
        <v>10</v>
      </c>
      <c r="V400" s="61" t="s">
        <v>10</v>
      </c>
      <c r="W400" s="61" t="s">
        <v>10</v>
      </c>
      <c r="X400" s="69" t="s">
        <v>10</v>
      </c>
      <c r="Y400" s="1" t="s">
        <v>10</v>
      </c>
    </row>
    <row r="401" spans="2:26" x14ac:dyDescent="0.2">
      <c r="B401" s="216">
        <v>127</v>
      </c>
      <c r="C401" s="217">
        <v>124</v>
      </c>
      <c r="D401" s="58" t="s">
        <v>10</v>
      </c>
      <c r="E401" s="61">
        <f>IF(B401=0,cell_HGL,IF(VLOOKUP(B401,table_HGL_JCTS,17,FALSE)&lt;X401,X401,VLOOKUP(B401,table_HGL_JCTS,17,FALSE)))</f>
        <v>390.18255395198548</v>
      </c>
      <c r="F401" s="61">
        <f>IF(B401=0,(E401+K401),IF(VLOOKUP(B401,table_HGL_JCTS,13,FALSE)="T-INTERSECTION",(E401+K401),(IF(VLOOKUP(B401,table_HGL_JCTS,17,FALSE)&lt;X401,(E401+K401),VLOOKUP(B401,table_HGL_JCTS,18,FALSE)))))</f>
        <v>390.31642744567267</v>
      </c>
      <c r="G401" s="62">
        <f>VLOOKUP(C401,table_CIA_JCTS,18)</f>
        <v>24</v>
      </c>
      <c r="H401" s="60">
        <f>VLOOKUP(C401,table_CIA_JCTS,17)</f>
        <v>8.3673063046067551</v>
      </c>
      <c r="I401" s="62">
        <f>VLOOKUP(C401,table_CIA_JCTS,21)</f>
        <v>662</v>
      </c>
      <c r="J401" s="61">
        <f>H401/((G401/12)^2*3.1416/4)</f>
        <v>2.6633900893196953</v>
      </c>
      <c r="K401" s="61">
        <f>(J401^2)/64.4</f>
        <v>0.11014979453239711</v>
      </c>
      <c r="L401" s="63">
        <f>(H401/((1.486/cell_NP)*((3.1416*(G401/12)^2)/4)*(G401/48)^(2/3)))^2</f>
        <v>1.3680185049615278E-3</v>
      </c>
      <c r="M401" s="61">
        <f>L401*I401</f>
        <v>0.90562825028453142</v>
      </c>
      <c r="N401" s="68" t="s">
        <v>10</v>
      </c>
      <c r="O401" s="52" t="s">
        <v>131</v>
      </c>
      <c r="P401" s="61">
        <f>IF(ISBLANK(O401)=FALSE,(VLOOKUP(O401,table_MINOR,2,FALSE))*(K401)," ")</f>
        <v>2.7537448633099277E-2</v>
      </c>
      <c r="Q401" s="61">
        <f>SUM(P401:P403)</f>
        <v>2.7537448633099277E-2</v>
      </c>
      <c r="R401" s="61">
        <f>Q401+M401</f>
        <v>0.93316569891763068</v>
      </c>
      <c r="S401" s="61">
        <f>IF(O401="T-INTERSECTION",T401,(T401-K401))</f>
        <v>391.13944335005789</v>
      </c>
      <c r="T401" s="61">
        <f>IF(O401="T-INTERSECTION",(R401+F401-K401),(R401+F401))</f>
        <v>391.24959314459028</v>
      </c>
      <c r="U401" s="61">
        <f>VLOOKUP(C401,table_CIA_JCTS,26)</f>
        <v>400.44</v>
      </c>
      <c r="V401" s="61">
        <f>U401-0.5-S401</f>
        <v>8.8005566499421093</v>
      </c>
      <c r="W401" s="61" t="s">
        <v>10</v>
      </c>
      <c r="X401" s="69">
        <f>IF(B401&gt;0,VLOOKUP(B401,table_CIA_JCTS,28)," ")</f>
        <v>388.88</v>
      </c>
      <c r="Y401" s="1">
        <v>9.67</v>
      </c>
      <c r="Z401" s="88">
        <f t="shared" si="4"/>
        <v>-0.86944335005789064</v>
      </c>
    </row>
    <row r="402" spans="2:26" x14ac:dyDescent="0.2">
      <c r="B402" s="216" t="s">
        <v>10</v>
      </c>
      <c r="C402" s="217" t="s">
        <v>10</v>
      </c>
      <c r="D402" s="62" t="s">
        <v>10</v>
      </c>
      <c r="E402" s="61" t="s">
        <v>10</v>
      </c>
      <c r="F402" s="61" t="s">
        <v>10</v>
      </c>
      <c r="G402" s="62" t="s">
        <v>10</v>
      </c>
      <c r="H402" s="60" t="s">
        <v>10</v>
      </c>
      <c r="I402" s="62" t="s">
        <v>10</v>
      </c>
      <c r="J402" s="61" t="s">
        <v>10</v>
      </c>
      <c r="K402" s="68">
        <f>K401</f>
        <v>0.11014979453239711</v>
      </c>
      <c r="L402" s="63" t="s">
        <v>10</v>
      </c>
      <c r="M402" s="61" t="s">
        <v>10</v>
      </c>
      <c r="N402" s="68" t="s">
        <v>10</v>
      </c>
      <c r="O402" s="52"/>
      <c r="P402" s="61" t="str">
        <f>IF(ISBLANK(O402)=FALSE,(VLOOKUP(O402,table_MINOR,2,FALSE))*(K402)," ")</f>
        <v xml:space="preserve"> </v>
      </c>
      <c r="Q402" s="61" t="s">
        <v>10</v>
      </c>
      <c r="R402" s="61" t="s">
        <v>10</v>
      </c>
      <c r="S402" s="61" t="s">
        <v>10</v>
      </c>
      <c r="T402" s="61" t="s">
        <v>10</v>
      </c>
      <c r="U402" s="61" t="s">
        <v>10</v>
      </c>
      <c r="V402" s="61" t="s">
        <v>10</v>
      </c>
      <c r="W402" s="61" t="s">
        <v>10</v>
      </c>
      <c r="X402" s="69" t="s">
        <v>10</v>
      </c>
      <c r="Y402" s="1" t="s">
        <v>10</v>
      </c>
    </row>
    <row r="403" spans="2:26" x14ac:dyDescent="0.2">
      <c r="B403" s="216" t="s">
        <v>10</v>
      </c>
      <c r="C403" s="217" t="s">
        <v>10</v>
      </c>
      <c r="D403" s="62" t="s">
        <v>10</v>
      </c>
      <c r="E403" s="61" t="s">
        <v>10</v>
      </c>
      <c r="F403" s="61" t="s">
        <v>10</v>
      </c>
      <c r="G403" s="62" t="s">
        <v>10</v>
      </c>
      <c r="H403" s="60" t="s">
        <v>10</v>
      </c>
      <c r="I403" s="62" t="s">
        <v>10</v>
      </c>
      <c r="J403" s="61" t="s">
        <v>10</v>
      </c>
      <c r="K403" s="68">
        <f>K402</f>
        <v>0.11014979453239711</v>
      </c>
      <c r="L403" s="63" t="s">
        <v>10</v>
      </c>
      <c r="M403" s="61" t="s">
        <v>10</v>
      </c>
      <c r="N403" s="68" t="s">
        <v>10</v>
      </c>
      <c r="O403" s="52" t="s">
        <v>10</v>
      </c>
      <c r="P403" s="257" t="s">
        <v>10</v>
      </c>
      <c r="Q403" s="61" t="s">
        <v>10</v>
      </c>
      <c r="R403" s="61" t="s">
        <v>10</v>
      </c>
      <c r="S403" s="61" t="s">
        <v>10</v>
      </c>
      <c r="T403" s="61" t="s">
        <v>10</v>
      </c>
      <c r="U403" s="61" t="s">
        <v>10</v>
      </c>
      <c r="V403" s="61" t="s">
        <v>10</v>
      </c>
      <c r="W403" s="61" t="s">
        <v>10</v>
      </c>
      <c r="X403" s="69" t="s">
        <v>10</v>
      </c>
      <c r="Y403" s="1" t="s">
        <v>10</v>
      </c>
    </row>
    <row r="404" spans="2:26" x14ac:dyDescent="0.2">
      <c r="B404" s="216">
        <v>124</v>
      </c>
      <c r="C404" s="217">
        <v>123</v>
      </c>
      <c r="D404" s="58" t="s">
        <v>10</v>
      </c>
      <c r="E404" s="61">
        <f>IF(B404=0,cell_HGL,IF(VLOOKUP(B404,table_HGL_JCTS,17,FALSE)&lt;X404,X404,VLOOKUP(B404,table_HGL_JCTS,17,FALSE)))</f>
        <v>392.79</v>
      </c>
      <c r="F404" s="61">
        <f>IF(B404=0,(E404+K404),IF(VLOOKUP(B404,table_HGL_JCTS,13,FALSE)="T-INTERSECTION",(E404+K404),(IF(VLOOKUP(B404,table_HGL_JCTS,17,FALSE)&lt;X404,(E404+K404),VLOOKUP(B404,table_HGL_JCTS,18,FALSE)))))</f>
        <v>392.88848575895787</v>
      </c>
      <c r="G404" s="62">
        <f>VLOOKUP(C404,table_CIA_JCTS,18)</f>
        <v>24</v>
      </c>
      <c r="H404" s="60">
        <f>VLOOKUP(C404,table_CIA_JCTS,17)</f>
        <v>7.9118954541662934</v>
      </c>
      <c r="I404" s="62">
        <f>VLOOKUP(C404,table_CIA_JCTS,21)</f>
        <v>394</v>
      </c>
      <c r="J404" s="61">
        <f>H404/((G404/12)^2*3.1416/4)</f>
        <v>2.5184286523320263</v>
      </c>
      <c r="K404" s="61">
        <f>(J404^2)/64.4</f>
        <v>9.8485758957871192E-2</v>
      </c>
      <c r="L404" s="63">
        <f>(H404/((1.486/cell_NP)*((3.1416*(G404/12)^2)/4)*(G404/48)^(2/3)))^2</f>
        <v>1.2231556245883111E-3</v>
      </c>
      <c r="M404" s="61">
        <f>L404*I404</f>
        <v>0.48192331608779454</v>
      </c>
      <c r="N404" s="68" t="s">
        <v>10</v>
      </c>
      <c r="O404" s="72" t="s">
        <v>130</v>
      </c>
      <c r="P404" s="61">
        <f>IF(ISBLANK(O404)=FALSE,(VLOOKUP(O404,table_MINOR,2,FALSE))*(K404)," ")</f>
        <v>2.9545727687361356E-2</v>
      </c>
      <c r="Q404" s="61">
        <f>SUM(P404:P406)</f>
        <v>0.27893330556240564</v>
      </c>
      <c r="R404" s="61">
        <f>Q404+M404</f>
        <v>0.76085662165020018</v>
      </c>
      <c r="S404" s="61">
        <f>IF(O404="T-INTERSECTION",T404,(T404-K404))</f>
        <v>393.55085662165021</v>
      </c>
      <c r="T404" s="61">
        <f>IF(O404="T-INTERSECTION",(R404+F404-K404),(R404+F404))</f>
        <v>393.64934238060806</v>
      </c>
      <c r="U404" s="61">
        <f>VLOOKUP(C404,table_CIA_JCTS,26)</f>
        <v>401.51</v>
      </c>
      <c r="V404" s="61">
        <f>U404-0.5-S404</f>
        <v>7.4591433783497791</v>
      </c>
      <c r="W404" s="61" t="s">
        <v>10</v>
      </c>
      <c r="X404" s="69">
        <f>IF(B404&gt;0,VLOOKUP(B404,table_CIA_JCTS,28)," ")</f>
        <v>392.79</v>
      </c>
      <c r="Y404" s="1">
        <v>7.3587531319109303</v>
      </c>
      <c r="Z404" s="88">
        <f t="shared" si="4"/>
        <v>0.10039024643884886</v>
      </c>
    </row>
    <row r="405" spans="2:26" x14ac:dyDescent="0.2">
      <c r="B405" s="216" t="s">
        <v>10</v>
      </c>
      <c r="C405" s="217" t="s">
        <v>10</v>
      </c>
      <c r="D405" s="62" t="s">
        <v>10</v>
      </c>
      <c r="E405" s="61" t="s">
        <v>10</v>
      </c>
      <c r="F405" s="61" t="s">
        <v>10</v>
      </c>
      <c r="G405" s="62" t="s">
        <v>10</v>
      </c>
      <c r="H405" s="60" t="s">
        <v>10</v>
      </c>
      <c r="I405" s="62" t="s">
        <v>10</v>
      </c>
      <c r="J405" s="61" t="s">
        <v>10</v>
      </c>
      <c r="K405" s="68">
        <f>K404</f>
        <v>9.8485758957871192E-2</v>
      </c>
      <c r="L405" s="63" t="s">
        <v>10</v>
      </c>
      <c r="M405" s="61" t="s">
        <v>10</v>
      </c>
      <c r="N405" s="68" t="s">
        <v>10</v>
      </c>
      <c r="O405" s="52" t="s">
        <v>129</v>
      </c>
      <c r="P405" s="61">
        <v>0.12469378893752216</v>
      </c>
      <c r="Q405" s="61" t="s">
        <v>10</v>
      </c>
      <c r="R405" s="61" t="s">
        <v>10</v>
      </c>
      <c r="S405" s="61" t="s">
        <v>10</v>
      </c>
      <c r="T405" s="61" t="s">
        <v>10</v>
      </c>
      <c r="U405" s="61" t="s">
        <v>10</v>
      </c>
      <c r="V405" s="61" t="s">
        <v>10</v>
      </c>
      <c r="W405" s="61" t="s">
        <v>10</v>
      </c>
      <c r="X405" s="69" t="s">
        <v>10</v>
      </c>
      <c r="Y405" s="1" t="s">
        <v>10</v>
      </c>
    </row>
    <row r="406" spans="2:26" x14ac:dyDescent="0.2">
      <c r="B406" s="216" t="s">
        <v>10</v>
      </c>
      <c r="C406" s="217" t="s">
        <v>10</v>
      </c>
      <c r="D406" s="62" t="s">
        <v>10</v>
      </c>
      <c r="E406" s="61" t="s">
        <v>10</v>
      </c>
      <c r="F406" s="61" t="s">
        <v>10</v>
      </c>
      <c r="G406" s="62" t="s">
        <v>10</v>
      </c>
      <c r="H406" s="60" t="s">
        <v>10</v>
      </c>
      <c r="I406" s="62" t="s">
        <v>10</v>
      </c>
      <c r="J406" s="61" t="s">
        <v>10</v>
      </c>
      <c r="K406" s="68">
        <f>K405</f>
        <v>9.8485758957871192E-2</v>
      </c>
      <c r="L406" s="63" t="s">
        <v>10</v>
      </c>
      <c r="M406" s="61" t="s">
        <v>10</v>
      </c>
      <c r="N406" s="68" t="s">
        <v>10</v>
      </c>
      <c r="O406" s="52" t="s">
        <v>129</v>
      </c>
      <c r="P406" s="61">
        <v>0.12469378893752216</v>
      </c>
      <c r="Q406" s="61" t="s">
        <v>10</v>
      </c>
      <c r="R406" s="61" t="s">
        <v>10</v>
      </c>
      <c r="S406" s="61" t="s">
        <v>10</v>
      </c>
      <c r="T406" s="61" t="s">
        <v>10</v>
      </c>
      <c r="U406" s="61" t="s">
        <v>10</v>
      </c>
      <c r="V406" s="61" t="s">
        <v>10</v>
      </c>
      <c r="W406" s="61" t="s">
        <v>10</v>
      </c>
      <c r="X406" s="69" t="s">
        <v>10</v>
      </c>
      <c r="Y406" s="1" t="s">
        <v>10</v>
      </c>
    </row>
    <row r="407" spans="2:26" x14ac:dyDescent="0.2">
      <c r="B407" s="216" t="s">
        <v>10</v>
      </c>
      <c r="C407" s="217" t="s">
        <v>10</v>
      </c>
      <c r="D407" s="62" t="s">
        <v>10</v>
      </c>
      <c r="E407" s="61" t="s">
        <v>10</v>
      </c>
      <c r="F407" s="61" t="s">
        <v>10</v>
      </c>
      <c r="G407" s="62" t="s">
        <v>10</v>
      </c>
      <c r="H407" s="60" t="s">
        <v>10</v>
      </c>
      <c r="I407" s="62" t="s">
        <v>10</v>
      </c>
      <c r="J407" s="61" t="s">
        <v>10</v>
      </c>
      <c r="K407" s="68" t="s">
        <v>10</v>
      </c>
      <c r="L407" s="63" t="s">
        <v>10</v>
      </c>
      <c r="M407" s="61" t="s">
        <v>10</v>
      </c>
      <c r="N407" s="68" t="s">
        <v>10</v>
      </c>
      <c r="O407" s="52" t="s">
        <v>176</v>
      </c>
      <c r="P407" s="61" t="s">
        <v>10</v>
      </c>
      <c r="Q407" s="61" t="s">
        <v>10</v>
      </c>
      <c r="R407" s="61" t="s">
        <v>10</v>
      </c>
      <c r="S407" s="61" t="s">
        <v>10</v>
      </c>
      <c r="T407" s="61" t="s">
        <v>10</v>
      </c>
      <c r="U407" s="61" t="s">
        <v>10</v>
      </c>
      <c r="V407" s="61" t="s">
        <v>10</v>
      </c>
      <c r="W407" s="61" t="s">
        <v>10</v>
      </c>
      <c r="X407" s="69" t="s">
        <v>10</v>
      </c>
      <c r="Y407" s="1" t="s">
        <v>10</v>
      </c>
    </row>
    <row r="408" spans="2:26" x14ac:dyDescent="0.2">
      <c r="B408" s="216">
        <v>123</v>
      </c>
      <c r="C408" s="217">
        <v>122</v>
      </c>
      <c r="D408" s="58" t="s">
        <v>10</v>
      </c>
      <c r="E408" s="61">
        <f>IF(B408=0,cell_HGL,IF(VLOOKUP(B408,table_HGL_JCTS,17,FALSE)&lt;X408,X408,VLOOKUP(B408,table_HGL_JCTS,17,FALSE)))</f>
        <v>395.85</v>
      </c>
      <c r="F408" s="61">
        <f>IF(B408=0,(E408+K408),IF(VLOOKUP(B408,table_HGL_JCTS,13,FALSE)="T-INTERSECTION",(E408+K408),(IF(VLOOKUP(B408,table_HGL_JCTS,17,FALSE)&lt;X408,(E408+K408),VLOOKUP(B408,table_HGL_JCTS,18,FALSE)))))</f>
        <v>395.9257252877901</v>
      </c>
      <c r="G408" s="62">
        <f>VLOOKUP(C408,table_CIA_JCTS,18)</f>
        <v>24</v>
      </c>
      <c r="H408" s="60">
        <f>VLOOKUP(C408,table_CIA_JCTS,17)</f>
        <v>6.9376803839896404</v>
      </c>
      <c r="I408" s="62">
        <f>VLOOKUP(C408,table_CIA_JCTS,21)</f>
        <v>26</v>
      </c>
      <c r="J408" s="61">
        <f>H408/((G408/12)^2*3.1416/4)</f>
        <v>2.2083270893779097</v>
      </c>
      <c r="K408" s="61">
        <f>(J408^2)/64.4</f>
        <v>7.5725287790066931E-2</v>
      </c>
      <c r="L408" s="63">
        <f>(H408/((1.486/cell_NP)*((3.1416*(G408/12)^2)/4)*(G408/48)^(2/3)))^2</f>
        <v>9.4047923947674695E-4</v>
      </c>
      <c r="M408" s="61">
        <f>L408*I408</f>
        <v>2.4452460226395422E-2</v>
      </c>
      <c r="N408" s="68" t="s">
        <v>10</v>
      </c>
      <c r="O408" s="52" t="s">
        <v>10</v>
      </c>
      <c r="P408" s="257" t="s">
        <v>10</v>
      </c>
      <c r="Q408" s="61">
        <f>SUM(P408)</f>
        <v>0</v>
      </c>
      <c r="R408" s="61">
        <f>Q408+M408</f>
        <v>2.4452460226395422E-2</v>
      </c>
      <c r="S408" s="61">
        <f>IF(O408="T-INTERSECTION",T408,(T408-K408))</f>
        <v>395.87445246022639</v>
      </c>
      <c r="T408" s="61">
        <f>IF(O408="T-INTERSECTION",(R408+F408-K408),(R408+F408))</f>
        <v>395.95017774801647</v>
      </c>
      <c r="U408" s="61">
        <f>VLOOKUP(C408,table_CIA_JCTS,26)</f>
        <v>402.03</v>
      </c>
      <c r="V408" s="61">
        <f>U408-0.5-S408</f>
        <v>5.655547539773579</v>
      </c>
      <c r="W408" s="61" t="s">
        <v>10</v>
      </c>
      <c r="X408" s="69">
        <f>IF(B408&gt;0,VLOOKUP(B408,table_CIA_JCTS,28)," ")</f>
        <v>395.85</v>
      </c>
      <c r="Y408" s="1">
        <v>5.6505891733327189</v>
      </c>
      <c r="Z408" s="88">
        <f t="shared" si="4"/>
        <v>4.958366440860118E-3</v>
      </c>
    </row>
    <row r="409" spans="2:26" x14ac:dyDescent="0.2">
      <c r="B409" s="216" t="s">
        <v>10</v>
      </c>
      <c r="C409" s="217" t="s">
        <v>10</v>
      </c>
      <c r="D409" s="62" t="s">
        <v>10</v>
      </c>
      <c r="E409" s="61" t="s">
        <v>10</v>
      </c>
      <c r="F409" s="61" t="s">
        <v>10</v>
      </c>
      <c r="G409" s="62" t="s">
        <v>10</v>
      </c>
      <c r="H409" s="60" t="s">
        <v>10</v>
      </c>
      <c r="I409" s="62" t="s">
        <v>10</v>
      </c>
      <c r="J409" s="61" t="s">
        <v>10</v>
      </c>
      <c r="K409" s="68" t="s">
        <v>10</v>
      </c>
      <c r="L409" s="63" t="s">
        <v>10</v>
      </c>
      <c r="M409" s="61" t="s">
        <v>10</v>
      </c>
      <c r="N409" s="68" t="s">
        <v>10</v>
      </c>
      <c r="O409" s="52" t="s">
        <v>176</v>
      </c>
      <c r="P409" s="61" t="s">
        <v>10</v>
      </c>
      <c r="Q409" s="61" t="s">
        <v>10</v>
      </c>
      <c r="R409" s="61" t="s">
        <v>10</v>
      </c>
      <c r="S409" s="61" t="s">
        <v>10</v>
      </c>
      <c r="T409" s="61" t="s">
        <v>10</v>
      </c>
      <c r="U409" s="61" t="s">
        <v>10</v>
      </c>
      <c r="V409" s="61" t="s">
        <v>10</v>
      </c>
      <c r="W409" s="61" t="s">
        <v>10</v>
      </c>
      <c r="X409" s="69" t="s">
        <v>10</v>
      </c>
      <c r="Y409" s="1" t="s">
        <v>10</v>
      </c>
    </row>
    <row r="410" spans="2:26" x14ac:dyDescent="0.2">
      <c r="B410" s="216" t="s">
        <v>10</v>
      </c>
      <c r="C410" s="217" t="s">
        <v>10</v>
      </c>
      <c r="D410" s="62" t="s">
        <v>10</v>
      </c>
      <c r="E410" s="61" t="s">
        <v>10</v>
      </c>
      <c r="F410" s="61" t="s">
        <v>10</v>
      </c>
      <c r="G410" s="62" t="s">
        <v>10</v>
      </c>
      <c r="H410" s="60" t="s">
        <v>10</v>
      </c>
      <c r="I410" s="62" t="s">
        <v>10</v>
      </c>
      <c r="J410" s="61" t="s">
        <v>10</v>
      </c>
      <c r="K410" s="68" t="s">
        <v>10</v>
      </c>
      <c r="L410" s="63" t="s">
        <v>10</v>
      </c>
      <c r="M410" s="61" t="s">
        <v>10</v>
      </c>
      <c r="N410" s="68" t="s">
        <v>10</v>
      </c>
      <c r="O410" s="52" t="s">
        <v>176</v>
      </c>
      <c r="P410" s="61" t="s">
        <v>10</v>
      </c>
      <c r="Q410" s="61" t="s">
        <v>10</v>
      </c>
      <c r="R410" s="61" t="s">
        <v>10</v>
      </c>
      <c r="S410" s="61" t="s">
        <v>10</v>
      </c>
      <c r="T410" s="61" t="s">
        <v>10</v>
      </c>
      <c r="U410" s="61" t="s">
        <v>10</v>
      </c>
      <c r="V410" s="61" t="s">
        <v>10</v>
      </c>
      <c r="W410" s="61" t="s">
        <v>10</v>
      </c>
      <c r="X410" s="69" t="s">
        <v>10</v>
      </c>
      <c r="Y410" s="1" t="s">
        <v>10</v>
      </c>
    </row>
    <row r="411" spans="2:26" x14ac:dyDescent="0.2">
      <c r="B411" s="216">
        <v>127</v>
      </c>
      <c r="C411" s="217">
        <v>126</v>
      </c>
      <c r="D411" s="58" t="s">
        <v>10</v>
      </c>
      <c r="E411" s="61">
        <f>IF(B411=0,cell_HGL,IF(VLOOKUP(B411,table_HGL_JCTS,17,FALSE)&lt;X411,X411,VLOOKUP(B411,table_HGL_JCTS,17,FALSE)))</f>
        <v>390.18255395198548</v>
      </c>
      <c r="F411" s="61">
        <f>IF(B411=0,(E411+K411),IF(VLOOKUP(B411,table_HGL_JCTS,13,FALSE)="T-INTERSECTION",(E411+K411),(IF(VLOOKUP(B411,table_HGL_JCTS,17,FALSE)&lt;X411,(E411+K411),VLOOKUP(B411,table_HGL_JCTS,18,FALSE)))))</f>
        <v>390.31642744567267</v>
      </c>
      <c r="G411" s="62">
        <f>VLOOKUP(C411,table_CIA_JCTS,18)</f>
        <v>24</v>
      </c>
      <c r="H411" s="60">
        <f>VLOOKUP(C411,table_CIA_JCTS,17)</f>
        <v>6.7757287276545766</v>
      </c>
      <c r="I411" s="62">
        <f>VLOOKUP(C411,table_CIA_JCTS,21)</f>
        <v>270</v>
      </c>
      <c r="J411" s="61">
        <f>H411/((G411/12)^2*3.1416/4)</f>
        <v>2.1567763966305629</v>
      </c>
      <c r="K411" s="61">
        <f>(J411^2)/64.4</f>
        <v>7.2231124612775074E-2</v>
      </c>
      <c r="L411" s="63">
        <f>(H411/((1.486/cell_NP)*((3.1416*(G411/12)^2)/4)*(G411/48)^(2/3)))^2</f>
        <v>8.9708306333150239E-4</v>
      </c>
      <c r="M411" s="61">
        <f>L411*I411</f>
        <v>0.24221242709950563</v>
      </c>
      <c r="N411" s="68" t="s">
        <v>10</v>
      </c>
      <c r="O411" s="72" t="s">
        <v>130</v>
      </c>
      <c r="P411" s="61">
        <f>IF(ISBLANK(O411)=FALSE,(VLOOKUP(O411,table_MINOR,2,FALSE))*(K411)," ")</f>
        <v>2.1669337383832522E-2</v>
      </c>
      <c r="Q411" s="61">
        <f>SUM(P411:P412)</f>
        <v>2.1669337383832522E-2</v>
      </c>
      <c r="R411" s="61">
        <f>Q411+M411</f>
        <v>0.26388176448333817</v>
      </c>
      <c r="S411" s="61">
        <f>IF(O411="T-INTERSECTION",T411,(T411-K411))</f>
        <v>390.50807808554327</v>
      </c>
      <c r="T411" s="61">
        <f>IF(O411="T-INTERSECTION",(R411+F411-K411),(R411+F411))</f>
        <v>390.58030921015603</v>
      </c>
      <c r="U411" s="61">
        <f>VLOOKUP(C411,table_CIA_JCTS,26)</f>
        <v>394.49</v>
      </c>
      <c r="V411" s="61">
        <f>U411-0.5-S411</f>
        <v>3.4819219144567342</v>
      </c>
      <c r="W411" s="61" t="s">
        <v>10</v>
      </c>
      <c r="X411" s="69">
        <f>IF(B411&gt;0,VLOOKUP(B411,table_CIA_JCTS,28)," ")</f>
        <v>388.88</v>
      </c>
      <c r="Y411" s="1">
        <v>4.51</v>
      </c>
      <c r="Z411" s="88">
        <f t="shared" si="4"/>
        <v>-1.0280780855432656</v>
      </c>
    </row>
    <row r="412" spans="2:26" x14ac:dyDescent="0.2">
      <c r="B412" s="216" t="s">
        <v>10</v>
      </c>
      <c r="C412" s="217" t="s">
        <v>10</v>
      </c>
      <c r="D412" s="62" t="s">
        <v>10</v>
      </c>
      <c r="E412" s="61" t="s">
        <v>10</v>
      </c>
      <c r="F412" s="61" t="s">
        <v>10</v>
      </c>
      <c r="G412" s="62" t="s">
        <v>10</v>
      </c>
      <c r="H412" s="60" t="s">
        <v>10</v>
      </c>
      <c r="I412" s="62" t="s">
        <v>10</v>
      </c>
      <c r="J412" s="61" t="s">
        <v>10</v>
      </c>
      <c r="K412" s="68">
        <f>K411</f>
        <v>7.2231124612775074E-2</v>
      </c>
      <c r="L412" s="63" t="s">
        <v>10</v>
      </c>
      <c r="M412" s="61" t="s">
        <v>10</v>
      </c>
      <c r="N412" s="68" t="s">
        <v>10</v>
      </c>
      <c r="O412" s="52" t="s">
        <v>10</v>
      </c>
      <c r="P412" s="257" t="s">
        <v>10</v>
      </c>
      <c r="Q412" s="61" t="s">
        <v>10</v>
      </c>
      <c r="R412" s="61" t="s">
        <v>10</v>
      </c>
      <c r="S412" s="61" t="s">
        <v>10</v>
      </c>
      <c r="T412" s="61" t="s">
        <v>10</v>
      </c>
      <c r="U412" s="61" t="s">
        <v>10</v>
      </c>
      <c r="V412" s="61" t="s">
        <v>10</v>
      </c>
      <c r="W412" s="61" t="s">
        <v>10</v>
      </c>
      <c r="X412" s="69" t="s">
        <v>10</v>
      </c>
      <c r="Y412" s="1" t="s">
        <v>10</v>
      </c>
    </row>
    <row r="413" spans="2:26" x14ac:dyDescent="0.2">
      <c r="B413" s="216">
        <v>126</v>
      </c>
      <c r="C413" s="217">
        <v>125</v>
      </c>
      <c r="D413" s="58" t="s">
        <v>10</v>
      </c>
      <c r="E413" s="61">
        <f>IF(B413=0,cell_HGL,IF(VLOOKUP(B413,table_HGL_JCTS,17,FALSE)&lt;X413,X413,VLOOKUP(B413,table_HGL_JCTS,17,FALSE)))</f>
        <v>390.50807808554327</v>
      </c>
      <c r="F413" s="61">
        <f>IF(B413=0,(E413+K413),IF(VLOOKUP(B413,table_HGL_JCTS,13,FALSE)="T-INTERSECTION",(E413+K413),(IF(VLOOKUP(B413,table_HGL_JCTS,17,FALSE)&lt;X413,(E413+K413),VLOOKUP(B413,table_HGL_JCTS,18,FALSE)))))</f>
        <v>390.58030921015603</v>
      </c>
      <c r="G413" s="62">
        <f>VLOOKUP(C413,table_CIA_JCTS,18)</f>
        <v>18</v>
      </c>
      <c r="H413" s="60">
        <f>VLOOKUP(C413,table_CIA_JCTS,17)</f>
        <v>1.8648034521387458</v>
      </c>
      <c r="I413" s="62">
        <f>VLOOKUP(C413,table_CIA_JCTS,21)</f>
        <v>105</v>
      </c>
      <c r="J413" s="61">
        <f>H413/((G413/12)^2*3.1416/4)</f>
        <v>1.0552604205295226</v>
      </c>
      <c r="K413" s="61">
        <f>(J413^2)/64.4</f>
        <v>1.7291530359256908E-2</v>
      </c>
      <c r="L413" s="63">
        <f>(H413/((1.486/cell_NP)*((3.1416*(G413/12)^2)/4)*(G413/48)^(2/3)))^2</f>
        <v>3.1515680884627964E-4</v>
      </c>
      <c r="M413" s="61">
        <f>L413*I413</f>
        <v>3.3091464928859365E-2</v>
      </c>
      <c r="N413" s="68" t="s">
        <v>10</v>
      </c>
      <c r="O413" s="52" t="s">
        <v>10</v>
      </c>
      <c r="P413" s="257" t="s">
        <v>10</v>
      </c>
      <c r="Q413" s="61">
        <f>SUM(P413)</f>
        <v>0</v>
      </c>
      <c r="R413" s="61">
        <f>Q413+M413</f>
        <v>3.3091464928859365E-2</v>
      </c>
      <c r="S413" s="61">
        <f>IF(O413="T-INTERSECTION",T413,(T413-K413))</f>
        <v>390.59610914472563</v>
      </c>
      <c r="T413" s="61">
        <f>IF(O413="T-INTERSECTION",(R413+F413-K413),(R413+F413))</f>
        <v>390.6134006750849</v>
      </c>
      <c r="U413" s="61">
        <f>VLOOKUP(C413,table_CIA_JCTS,26)</f>
        <v>394.71</v>
      </c>
      <c r="V413" s="61">
        <f>U413-0.5-S413</f>
        <v>3.6138908552743487</v>
      </c>
      <c r="W413" s="61" t="s">
        <v>10</v>
      </c>
      <c r="X413" s="69">
        <f>IF(B413&gt;0,VLOOKUP(B413,table_CIA_JCTS,28)," ")</f>
        <v>388.9</v>
      </c>
      <c r="Y413" s="1">
        <v>4.6399999999999997</v>
      </c>
      <c r="Z413" s="88">
        <f t="shared" si="4"/>
        <v>-1.026109144725651</v>
      </c>
    </row>
    <row r="414" spans="2:26" x14ac:dyDescent="0.2">
      <c r="B414" s="216" t="s">
        <v>10</v>
      </c>
      <c r="C414" s="217" t="s">
        <v>10</v>
      </c>
      <c r="D414" s="62" t="s">
        <v>10</v>
      </c>
      <c r="E414" s="61" t="s">
        <v>10</v>
      </c>
      <c r="F414" s="61" t="s">
        <v>10</v>
      </c>
      <c r="G414" s="62" t="s">
        <v>10</v>
      </c>
      <c r="H414" s="60" t="s">
        <v>10</v>
      </c>
      <c r="I414" s="62" t="s">
        <v>10</v>
      </c>
      <c r="J414" s="61" t="s">
        <v>10</v>
      </c>
      <c r="K414" s="68" t="s">
        <v>10</v>
      </c>
      <c r="L414" s="63" t="s">
        <v>10</v>
      </c>
      <c r="M414" s="61" t="s">
        <v>10</v>
      </c>
      <c r="N414" s="68" t="s">
        <v>10</v>
      </c>
      <c r="O414" s="52" t="s">
        <v>176</v>
      </c>
      <c r="P414" s="61" t="s">
        <v>10</v>
      </c>
      <c r="Q414" s="61" t="s">
        <v>10</v>
      </c>
      <c r="R414" s="61" t="s">
        <v>10</v>
      </c>
      <c r="S414" s="61" t="s">
        <v>10</v>
      </c>
      <c r="T414" s="61" t="s">
        <v>10</v>
      </c>
      <c r="U414" s="61" t="s">
        <v>10</v>
      </c>
      <c r="V414" s="61" t="s">
        <v>10</v>
      </c>
      <c r="W414" s="61" t="s">
        <v>10</v>
      </c>
      <c r="X414" s="69" t="s">
        <v>10</v>
      </c>
      <c r="Y414" s="1" t="s">
        <v>10</v>
      </c>
    </row>
    <row r="415" spans="2:26" x14ac:dyDescent="0.2">
      <c r="B415" s="216" t="s">
        <v>10</v>
      </c>
      <c r="C415" s="217" t="s">
        <v>10</v>
      </c>
      <c r="D415" s="62" t="s">
        <v>10</v>
      </c>
      <c r="E415" s="61" t="s">
        <v>10</v>
      </c>
      <c r="F415" s="61" t="s">
        <v>10</v>
      </c>
      <c r="G415" s="62" t="s">
        <v>10</v>
      </c>
      <c r="H415" s="60" t="s">
        <v>10</v>
      </c>
      <c r="I415" s="62" t="s">
        <v>10</v>
      </c>
      <c r="J415" s="61" t="s">
        <v>10</v>
      </c>
      <c r="K415" s="68" t="s">
        <v>10</v>
      </c>
      <c r="L415" s="63" t="s">
        <v>10</v>
      </c>
      <c r="M415" s="61" t="s">
        <v>10</v>
      </c>
      <c r="N415" s="68" t="s">
        <v>10</v>
      </c>
      <c r="O415" s="52" t="s">
        <v>176</v>
      </c>
      <c r="P415" s="61" t="s">
        <v>10</v>
      </c>
      <c r="Q415" s="61" t="s">
        <v>10</v>
      </c>
      <c r="R415" s="61" t="s">
        <v>10</v>
      </c>
      <c r="S415" s="61" t="s">
        <v>10</v>
      </c>
      <c r="T415" s="61" t="s">
        <v>10</v>
      </c>
      <c r="U415" s="61" t="s">
        <v>10</v>
      </c>
      <c r="V415" s="61" t="s">
        <v>10</v>
      </c>
      <c r="W415" s="61" t="s">
        <v>10</v>
      </c>
      <c r="X415" s="69" t="s">
        <v>10</v>
      </c>
      <c r="Y415" s="1" t="s">
        <v>10</v>
      </c>
    </row>
    <row r="416" spans="2:26" x14ac:dyDescent="0.2">
      <c r="B416" s="216">
        <v>132</v>
      </c>
      <c r="C416" s="217">
        <v>100</v>
      </c>
      <c r="D416" s="58" t="s">
        <v>10</v>
      </c>
      <c r="E416" s="61">
        <f>IF(B416=0,cell_HGL,IF(VLOOKUP(B416,table_HGL_JCTS,17,FALSE)&lt;X416,X416,VLOOKUP(B416,table_HGL_JCTS,17,FALSE)))</f>
        <v>385.19767577456844</v>
      </c>
      <c r="F416" s="61">
        <f>IF(B416=0,(E416+K416),IF(VLOOKUP(B416,table_HGL_JCTS,13,FALSE)="T-INTERSECTION",(E416+K416),(IF(VLOOKUP(B416,table_HGL_JCTS,17,FALSE)&lt;X416,(E416+K416),VLOOKUP(B416,table_HGL_JCTS,18,FALSE)))))</f>
        <v>386.1543089107135</v>
      </c>
      <c r="G416" s="62">
        <f>VLOOKUP(C416,table_CIA_JCTS,18)</f>
        <v>54</v>
      </c>
      <c r="H416" s="60">
        <f>VLOOKUP(C416,table_CIA_JCTS,17)</f>
        <v>52.328239513237087</v>
      </c>
      <c r="I416" s="62">
        <f>VLOOKUP(C416,table_CIA_JCTS,21)</f>
        <v>376</v>
      </c>
      <c r="J416" s="61">
        <f>H416/((G416/12)^2*3.1416/4)</f>
        <v>3.2901841014085509</v>
      </c>
      <c r="K416" s="61">
        <f>(J416^2)/64.4</f>
        <v>0.16809489784412412</v>
      </c>
      <c r="L416" s="63">
        <f>(H416/((1.486/cell_NP)*((3.1416*(G416/12)^2)/4)*(G416/48)^(2/3)))^2</f>
        <v>7.0808618532018327E-4</v>
      </c>
      <c r="M416" s="61">
        <f>L416*I416</f>
        <v>0.26624040568038893</v>
      </c>
      <c r="N416" s="68" t="s">
        <v>10</v>
      </c>
      <c r="O416" s="72" t="s">
        <v>156</v>
      </c>
      <c r="P416" s="61">
        <f>IF(ISBLANK(O416)=FALSE,(VLOOKUP(O416,table_MINOR,2,FALSE))*(K416)," ")</f>
        <v>0.12607117338309309</v>
      </c>
      <c r="Q416" s="61">
        <f>SUM(P416:P417)</f>
        <v>0.12607117338309309</v>
      </c>
      <c r="R416" s="61">
        <f>Q416+M416</f>
        <v>0.39231157906348202</v>
      </c>
      <c r="S416" s="61">
        <f>IF(O416="T-INTERSECTION",T416,(T416-K416))</f>
        <v>386.37852559193283</v>
      </c>
      <c r="T416" s="61">
        <f>IF(O416="T-INTERSECTION",(R416+F416-K416),(R416+F416))</f>
        <v>386.54662048977696</v>
      </c>
      <c r="U416" s="61">
        <f>VLOOKUP(C416,table_CIA_JCTS,26)</f>
        <v>390.51</v>
      </c>
      <c r="V416" s="61">
        <f>U416-0.5-S416</f>
        <v>3.631474408067163</v>
      </c>
      <c r="W416" s="61" t="s">
        <v>10</v>
      </c>
      <c r="X416" s="69">
        <f>IF(B416&gt;0,VLOOKUP(B416,table_CIA_JCTS,28)," ")</f>
        <v>384</v>
      </c>
      <c r="Y416" s="1">
        <v>4.5599999999999996</v>
      </c>
      <c r="Z416" s="88">
        <f t="shared" si="4"/>
        <v>-0.92852559193283657</v>
      </c>
    </row>
    <row r="417" spans="2:26" x14ac:dyDescent="0.2">
      <c r="B417" s="216" t="s">
        <v>10</v>
      </c>
      <c r="C417" s="217" t="s">
        <v>10</v>
      </c>
      <c r="D417" s="62" t="s">
        <v>10</v>
      </c>
      <c r="E417" s="61" t="s">
        <v>10</v>
      </c>
      <c r="F417" s="61" t="s">
        <v>10</v>
      </c>
      <c r="G417" s="62" t="s">
        <v>10</v>
      </c>
      <c r="H417" s="60" t="s">
        <v>10</v>
      </c>
      <c r="I417" s="62" t="s">
        <v>10</v>
      </c>
      <c r="J417" s="61" t="s">
        <v>10</v>
      </c>
      <c r="K417" s="68">
        <f>K416</f>
        <v>0.16809489784412412</v>
      </c>
      <c r="L417" s="63" t="s">
        <v>10</v>
      </c>
      <c r="M417" s="61" t="s">
        <v>10</v>
      </c>
      <c r="N417" s="68" t="s">
        <v>10</v>
      </c>
      <c r="O417" s="52" t="s">
        <v>10</v>
      </c>
      <c r="P417" s="257" t="s">
        <v>10</v>
      </c>
      <c r="Q417" s="61" t="s">
        <v>10</v>
      </c>
      <c r="R417" s="61" t="s">
        <v>10</v>
      </c>
      <c r="S417" s="61" t="s">
        <v>10</v>
      </c>
      <c r="T417" s="61" t="s">
        <v>10</v>
      </c>
      <c r="U417" s="61" t="s">
        <v>10</v>
      </c>
      <c r="V417" s="61" t="s">
        <v>10</v>
      </c>
      <c r="W417" s="61" t="s">
        <v>10</v>
      </c>
      <c r="X417" s="69" t="s">
        <v>10</v>
      </c>
      <c r="Y417" s="1" t="s">
        <v>10</v>
      </c>
    </row>
    <row r="418" spans="2:26" x14ac:dyDescent="0.2">
      <c r="B418" s="216">
        <v>100</v>
      </c>
      <c r="C418" s="217">
        <v>98</v>
      </c>
      <c r="D418" s="58" t="s">
        <v>10</v>
      </c>
      <c r="E418" s="61">
        <f>IF(B418=0,cell_HGL,IF(VLOOKUP(B418,table_HGL_JCTS,17,FALSE)&lt;X418,X418,VLOOKUP(B418,table_HGL_JCTS,17,FALSE)))</f>
        <v>386.37852559193283</v>
      </c>
      <c r="F418" s="61">
        <f>IF(B418=0,(E418+K418),IF(VLOOKUP(B418,table_HGL_JCTS,13,FALSE)="T-INTERSECTION",(E418+K418),(IF(VLOOKUP(B418,table_HGL_JCTS,17,FALSE)&lt;X418,(E418+K418),VLOOKUP(B418,table_HGL_JCTS,18,FALSE)))))</f>
        <v>386.54662048977696</v>
      </c>
      <c r="G418" s="62">
        <f>VLOOKUP(C418,table_CIA_JCTS,18)</f>
        <v>48</v>
      </c>
      <c r="H418" s="60">
        <f>VLOOKUP(C418,table_CIA_JCTS,17)</f>
        <v>52.637271885787719</v>
      </c>
      <c r="I418" s="62">
        <f>VLOOKUP(C418,table_CIA_JCTS,21)</f>
        <v>656</v>
      </c>
      <c r="J418" s="61">
        <f>H418/((G418/12)^2*3.1416/4)</f>
        <v>4.1887312106719286</v>
      </c>
      <c r="K418" s="61">
        <f>(J418^2)/64.4</f>
        <v>0.27244517321827821</v>
      </c>
      <c r="L418" s="63">
        <f>(H418/((1.486/cell_NP)*((3.1416*(G418/12)^2)/4)*(G418/48)^(2/3)))^2</f>
        <v>1.3428084677440104E-3</v>
      </c>
      <c r="M418" s="61">
        <f>L418*I418</f>
        <v>0.88088235484007082</v>
      </c>
      <c r="N418" s="68" t="s">
        <v>10</v>
      </c>
      <c r="O418" s="72" t="s">
        <v>156</v>
      </c>
      <c r="P418" s="61">
        <f>IF(ISBLANK(O418)=FALSE,(VLOOKUP(O418,table_MINOR,2,FALSE))*(K418)," ")</f>
        <v>0.20433387991370866</v>
      </c>
      <c r="Q418" s="61">
        <f>SUM(P418:P419)</f>
        <v>0.20433387991370866</v>
      </c>
      <c r="R418" s="61">
        <f>Q418+M418</f>
        <v>1.0852162347537795</v>
      </c>
      <c r="S418" s="61">
        <f>IF(O418="T-INTERSECTION",T418,(T418-K418))</f>
        <v>387.35939155131246</v>
      </c>
      <c r="T418" s="61">
        <f>IF(O418="T-INTERSECTION",(R418+F418-K418),(R418+F418))</f>
        <v>387.63183672453073</v>
      </c>
      <c r="U418" s="61">
        <f>VLOOKUP(C418,table_CIA_JCTS,26)</f>
        <v>390.2</v>
      </c>
      <c r="V418" s="61">
        <f>U418-0.5-S418</f>
        <v>2.3406084486875329</v>
      </c>
      <c r="W418" s="61" t="s">
        <v>10</v>
      </c>
      <c r="X418" s="69">
        <f>IF(B418&gt;0,VLOOKUP(B418,table_CIA_JCTS,28)," ")</f>
        <v>383.9</v>
      </c>
      <c r="Y418" s="1">
        <v>3.28</v>
      </c>
      <c r="Z418" s="88">
        <f t="shared" si="4"/>
        <v>-0.93939155131246688</v>
      </c>
    </row>
    <row r="419" spans="2:26" x14ac:dyDescent="0.2">
      <c r="B419" s="216" t="s">
        <v>10</v>
      </c>
      <c r="C419" s="217" t="s">
        <v>10</v>
      </c>
      <c r="D419" s="62" t="s">
        <v>10</v>
      </c>
      <c r="E419" s="61" t="s">
        <v>10</v>
      </c>
      <c r="F419" s="61" t="s">
        <v>10</v>
      </c>
      <c r="G419" s="62" t="s">
        <v>10</v>
      </c>
      <c r="H419" s="60" t="s">
        <v>10</v>
      </c>
      <c r="I419" s="62" t="s">
        <v>10</v>
      </c>
      <c r="J419" s="61" t="s">
        <v>10</v>
      </c>
      <c r="K419" s="68">
        <f>K418</f>
        <v>0.27244517321827821</v>
      </c>
      <c r="L419" s="63" t="s">
        <v>10</v>
      </c>
      <c r="M419" s="61" t="s">
        <v>10</v>
      </c>
      <c r="N419" s="68" t="s">
        <v>10</v>
      </c>
      <c r="O419" s="52" t="s">
        <v>10</v>
      </c>
      <c r="P419" s="257" t="s">
        <v>10</v>
      </c>
      <c r="Q419" s="61" t="s">
        <v>10</v>
      </c>
      <c r="R419" s="61" t="s">
        <v>10</v>
      </c>
      <c r="S419" s="61" t="s">
        <v>10</v>
      </c>
      <c r="T419" s="61" t="s">
        <v>10</v>
      </c>
      <c r="U419" s="61" t="s">
        <v>10</v>
      </c>
      <c r="V419" s="61" t="s">
        <v>10</v>
      </c>
      <c r="W419" s="61" t="s">
        <v>10</v>
      </c>
      <c r="X419" s="69" t="s">
        <v>10</v>
      </c>
      <c r="Y419" s="1" t="s">
        <v>10</v>
      </c>
    </row>
    <row r="420" spans="2:26" x14ac:dyDescent="0.2">
      <c r="B420" s="216">
        <v>98</v>
      </c>
      <c r="C420" s="217">
        <v>96</v>
      </c>
      <c r="D420" s="58" t="s">
        <v>10</v>
      </c>
      <c r="E420" s="61">
        <f>IF(B420=0,cell_HGL,IF(VLOOKUP(B420,table_HGL_JCTS,17,FALSE)&lt;X420,X420,VLOOKUP(B420,table_HGL_JCTS,17,FALSE)))</f>
        <v>387.35939155131246</v>
      </c>
      <c r="F420" s="61">
        <f>IF(B420=0,(E420+K420),IF(VLOOKUP(B420,table_HGL_JCTS,13,FALSE)="T-INTERSECTION",(E420+K420),(IF(VLOOKUP(B420,table_HGL_JCTS,17,FALSE)&lt;X420,(E420+K420),VLOOKUP(B420,table_HGL_JCTS,18,FALSE)))))</f>
        <v>387.63183672453073</v>
      </c>
      <c r="G420" s="62">
        <f>VLOOKUP(C420,table_CIA_JCTS,18)</f>
        <v>48</v>
      </c>
      <c r="H420" s="60">
        <f>VLOOKUP(C420,table_CIA_JCTS,17)</f>
        <v>50.604876930360248</v>
      </c>
      <c r="I420" s="62">
        <f>VLOOKUP(C420,table_CIA_JCTS,21)</f>
        <v>338</v>
      </c>
      <c r="J420" s="61">
        <f>H420/((G420/12)^2*3.1416/4)</f>
        <v>4.0269987371371476</v>
      </c>
      <c r="K420" s="61">
        <f>(J420^2)/64.4</f>
        <v>0.25181240417553075</v>
      </c>
      <c r="L420" s="63">
        <f>(H420/((1.486/cell_NP)*((3.1416*(G420/12)^2)/4)*(G420/48)^(2/3)))^2</f>
        <v>1.2411151374628006E-3</v>
      </c>
      <c r="M420" s="61">
        <f>L420*I420</f>
        <v>0.41949691646242659</v>
      </c>
      <c r="N420" s="68" t="s">
        <v>10</v>
      </c>
      <c r="O420" s="72" t="s">
        <v>129</v>
      </c>
      <c r="P420" s="61">
        <f>IF(ISBLANK(O420)=FALSE,(VLOOKUP(O420,table_MINOR,2,FALSE))*(K420)," ")</f>
        <v>0.12590620208776537</v>
      </c>
      <c r="Q420" s="61">
        <f>SUM(P420:P424)</f>
        <v>0.32735612542818998</v>
      </c>
      <c r="R420" s="61">
        <f>Q420+M420</f>
        <v>0.74685304189061652</v>
      </c>
      <c r="S420" s="61">
        <f>IF(O420="T-INTERSECTION",T420,(T420-K420))</f>
        <v>388.12687736224581</v>
      </c>
      <c r="T420" s="61">
        <f>IF(O420="T-INTERSECTION",(R420+F420-K420),(R420+F420))</f>
        <v>388.37868976642136</v>
      </c>
      <c r="U420" s="61">
        <f>VLOOKUP(C420,table_CIA_JCTS,26)</f>
        <v>390.06</v>
      </c>
      <c r="V420" s="277">
        <f>U420-0.5-S420</f>
        <v>1.4331226377541952</v>
      </c>
      <c r="W420" s="61" t="s">
        <v>10</v>
      </c>
      <c r="X420" s="69">
        <f>IF(B420&gt;0,VLOOKUP(B420,table_CIA_JCTS,28)," ")</f>
        <v>383.73</v>
      </c>
      <c r="Y420" s="1">
        <v>2.2200000000000002</v>
      </c>
      <c r="Z420" s="88">
        <f t="shared" si="4"/>
        <v>-0.78687736224580496</v>
      </c>
    </row>
    <row r="421" spans="2:26" x14ac:dyDescent="0.2">
      <c r="B421" s="216" t="s">
        <v>10</v>
      </c>
      <c r="C421" s="217" t="s">
        <v>10</v>
      </c>
      <c r="D421" s="62" t="s">
        <v>10</v>
      </c>
      <c r="E421" s="61" t="s">
        <v>10</v>
      </c>
      <c r="F421" s="61" t="s">
        <v>10</v>
      </c>
      <c r="G421" s="62" t="s">
        <v>10</v>
      </c>
      <c r="H421" s="60" t="s">
        <v>10</v>
      </c>
      <c r="I421" s="62" t="s">
        <v>10</v>
      </c>
      <c r="J421" s="61" t="s">
        <v>10</v>
      </c>
      <c r="K421" s="68">
        <f>K420</f>
        <v>0.25181240417553075</v>
      </c>
      <c r="L421" s="63" t="s">
        <v>10</v>
      </c>
      <c r="M421" s="61" t="s">
        <v>10</v>
      </c>
      <c r="N421" s="68" t="s">
        <v>10</v>
      </c>
      <c r="O421" s="52" t="s">
        <v>130</v>
      </c>
      <c r="P421" s="61">
        <f>IF(ISBLANK(O421)=FALSE,(VLOOKUP(O421,table_MINOR,2,FALSE))*(K421)," ")</f>
        <v>7.5543721252659221E-2</v>
      </c>
      <c r="Q421" s="61" t="s">
        <v>10</v>
      </c>
      <c r="R421" s="61" t="s">
        <v>10</v>
      </c>
      <c r="S421" s="61" t="s">
        <v>10</v>
      </c>
      <c r="T421" s="61" t="s">
        <v>10</v>
      </c>
      <c r="U421" s="61" t="s">
        <v>10</v>
      </c>
      <c r="V421" s="61" t="s">
        <v>10</v>
      </c>
      <c r="W421" s="61" t="s">
        <v>10</v>
      </c>
      <c r="X421" s="69" t="s">
        <v>10</v>
      </c>
      <c r="Y421" t="s">
        <v>10</v>
      </c>
    </row>
    <row r="422" spans="2:26" x14ac:dyDescent="0.2">
      <c r="B422" s="216" t="s">
        <v>10</v>
      </c>
      <c r="C422" s="217" t="s">
        <v>10</v>
      </c>
      <c r="D422" s="62" t="s">
        <v>10</v>
      </c>
      <c r="E422" s="61" t="s">
        <v>10</v>
      </c>
      <c r="F422" s="61" t="s">
        <v>10</v>
      </c>
      <c r="G422" s="62" t="s">
        <v>10</v>
      </c>
      <c r="H422" s="60" t="s">
        <v>10</v>
      </c>
      <c r="I422" s="62" t="s">
        <v>10</v>
      </c>
      <c r="J422" s="61" t="s">
        <v>10</v>
      </c>
      <c r="K422" s="68">
        <f>K421</f>
        <v>0.25181240417553075</v>
      </c>
      <c r="L422" s="63" t="s">
        <v>10</v>
      </c>
      <c r="M422" s="61" t="s">
        <v>10</v>
      </c>
      <c r="N422" s="68" t="s">
        <v>10</v>
      </c>
      <c r="O422" s="52" t="s">
        <v>131</v>
      </c>
      <c r="P422" s="61">
        <f>IF(ISBLANK(O422)=FALSE,(VLOOKUP(O422,table_MINOR,2,FALSE))*(K422)," ")</f>
        <v>6.2953101043882687E-2</v>
      </c>
      <c r="Q422" s="61" t="s">
        <v>10</v>
      </c>
      <c r="R422" s="61" t="s">
        <v>10</v>
      </c>
      <c r="S422" s="61" t="s">
        <v>10</v>
      </c>
      <c r="T422" s="61" t="s">
        <v>10</v>
      </c>
      <c r="U422" s="61" t="s">
        <v>10</v>
      </c>
      <c r="V422" s="61" t="s">
        <v>10</v>
      </c>
      <c r="W422" s="61" t="s">
        <v>10</v>
      </c>
      <c r="X422" s="69" t="s">
        <v>10</v>
      </c>
      <c r="Y422" s="1" t="s">
        <v>10</v>
      </c>
    </row>
    <row r="423" spans="2:26" x14ac:dyDescent="0.2">
      <c r="B423" s="216" t="s">
        <v>10</v>
      </c>
      <c r="C423" s="217" t="s">
        <v>10</v>
      </c>
      <c r="D423" s="62" t="s">
        <v>10</v>
      </c>
      <c r="E423" s="61" t="s">
        <v>10</v>
      </c>
      <c r="F423" s="61" t="s">
        <v>10</v>
      </c>
      <c r="G423" s="62" t="s">
        <v>10</v>
      </c>
      <c r="H423" s="60" t="s">
        <v>10</v>
      </c>
      <c r="I423" s="62" t="s">
        <v>10</v>
      </c>
      <c r="J423" s="61" t="s">
        <v>10</v>
      </c>
      <c r="K423" s="68">
        <f>K422</f>
        <v>0.25181240417553075</v>
      </c>
      <c r="L423" s="63" t="s">
        <v>10</v>
      </c>
      <c r="M423" s="61" t="s">
        <v>10</v>
      </c>
      <c r="N423" s="68" t="s">
        <v>10</v>
      </c>
      <c r="O423" s="52" t="s">
        <v>131</v>
      </c>
      <c r="P423" s="61">
        <f>IF(ISBLANK(O423)=FALSE,(VLOOKUP(O423,table_MINOR,2,FALSE))*(K423)," ")</f>
        <v>6.2953101043882687E-2</v>
      </c>
      <c r="Q423" s="61" t="s">
        <v>10</v>
      </c>
      <c r="R423" s="61" t="s">
        <v>10</v>
      </c>
      <c r="S423" s="61" t="s">
        <v>10</v>
      </c>
      <c r="T423" s="61" t="s">
        <v>10</v>
      </c>
      <c r="U423" s="61" t="s">
        <v>10</v>
      </c>
      <c r="V423" s="61" t="s">
        <v>10</v>
      </c>
      <c r="W423" s="61" t="s">
        <v>10</v>
      </c>
      <c r="X423" s="69" t="s">
        <v>10</v>
      </c>
      <c r="Y423" s="1" t="s">
        <v>10</v>
      </c>
    </row>
    <row r="424" spans="2:26" x14ac:dyDescent="0.2">
      <c r="B424" s="216" t="s">
        <v>10</v>
      </c>
      <c r="C424" s="217" t="s">
        <v>10</v>
      </c>
      <c r="D424" s="62" t="s">
        <v>10</v>
      </c>
      <c r="E424" s="61" t="s">
        <v>10</v>
      </c>
      <c r="F424" s="61" t="s">
        <v>10</v>
      </c>
      <c r="G424" s="62" t="s">
        <v>10</v>
      </c>
      <c r="H424" s="60" t="s">
        <v>10</v>
      </c>
      <c r="I424" s="62" t="s">
        <v>10</v>
      </c>
      <c r="J424" s="61" t="s">
        <v>10</v>
      </c>
      <c r="K424" s="68">
        <f>K423</f>
        <v>0.25181240417553075</v>
      </c>
      <c r="L424" s="63" t="s">
        <v>10</v>
      </c>
      <c r="M424" s="61" t="s">
        <v>10</v>
      </c>
      <c r="N424" s="68" t="s">
        <v>10</v>
      </c>
      <c r="O424" s="52" t="s">
        <v>10</v>
      </c>
      <c r="P424" s="257" t="s">
        <v>10</v>
      </c>
      <c r="Q424" s="61" t="s">
        <v>10</v>
      </c>
      <c r="R424" s="61" t="s">
        <v>10</v>
      </c>
      <c r="S424" s="61" t="s">
        <v>10</v>
      </c>
      <c r="T424" s="61" t="s">
        <v>10</v>
      </c>
      <c r="U424" s="61" t="s">
        <v>10</v>
      </c>
      <c r="V424" s="61" t="s">
        <v>10</v>
      </c>
      <c r="W424" s="61" t="s">
        <v>10</v>
      </c>
      <c r="X424" s="69" t="s">
        <v>10</v>
      </c>
      <c r="Y424" s="1" t="s">
        <v>10</v>
      </c>
    </row>
    <row r="425" spans="2:26" x14ac:dyDescent="0.2">
      <c r="B425" s="216">
        <v>96</v>
      </c>
      <c r="C425" s="217">
        <v>95.4</v>
      </c>
      <c r="D425" s="58" t="s">
        <v>10</v>
      </c>
      <c r="E425" s="61">
        <f>IF(B425=0,cell_HGL,IF(VLOOKUP(B425,table_HGL_JCTS,17,FALSE)&lt;X425,X425,VLOOKUP(B425,table_HGL_JCTS,17,FALSE)))</f>
        <v>388.12687736224581</v>
      </c>
      <c r="F425" s="61">
        <f>IF(B425=0,(E425+K425),IF(VLOOKUP(B425,table_HGL_JCTS,13,FALSE)="T-INTERSECTION",(E425+K425),(IF(VLOOKUP(B425,table_HGL_JCTS,17,FALSE)&lt;X425,(E425+K425),VLOOKUP(B425,table_HGL_JCTS,18,FALSE)))))</f>
        <v>388.37868976642136</v>
      </c>
      <c r="G425" s="62">
        <f>VLOOKUP(C425,table_CIA_JCTS,18)</f>
        <v>48</v>
      </c>
      <c r="H425" s="60">
        <f>VLOOKUP(C425,table_CIA_JCTS,17)</f>
        <v>46.861717159326076</v>
      </c>
      <c r="I425" s="62">
        <f>VLOOKUP(C425,table_CIA_JCTS,21)</f>
        <v>554</v>
      </c>
      <c r="J425" s="61">
        <f>H425/((G425/12)^2*3.1416/4)</f>
        <v>3.7291282435165263</v>
      </c>
      <c r="K425" s="61">
        <f>(J425^2)/64.4</f>
        <v>0.21593784870485483</v>
      </c>
      <c r="L425" s="63">
        <f>(H425/((1.486/cell_NP)*((3.1416*(G425/12)^2)/4)*(G425/48)^(2/3)))^2</f>
        <v>1.0642991700755544E-3</v>
      </c>
      <c r="M425" s="61">
        <f>L425*I425</f>
        <v>0.5896217402218572</v>
      </c>
      <c r="N425" s="68" t="s">
        <v>10</v>
      </c>
      <c r="O425" s="72" t="s">
        <v>152</v>
      </c>
      <c r="P425" s="61">
        <f>IF(ISBLANK(O425)=FALSE,(VLOOKUP(O425,table_MINOR,2,FALSE))*(K425)," ")</f>
        <v>0.12956270922291288</v>
      </c>
      <c r="Q425" s="61">
        <f>SUM(P425:P427)</f>
        <v>0.18354717139912657</v>
      </c>
      <c r="R425" s="61">
        <f>Q425+M425</f>
        <v>0.77316891162098378</v>
      </c>
      <c r="S425" s="61">
        <f>IF(O425="T-INTERSECTION",T425,(T425-K425))</f>
        <v>388.93592082933748</v>
      </c>
      <c r="T425" s="61">
        <f>IF(O425="T-INTERSECTION",(R425+F425-K425),(R425+F425))</f>
        <v>389.15185867804234</v>
      </c>
      <c r="U425" s="61">
        <f>VLOOKUP(C425,table_CIA_JCTS,26)</f>
        <v>391.49</v>
      </c>
      <c r="V425" s="61">
        <f>U425-0.5-S425</f>
        <v>2.0540791706625328</v>
      </c>
      <c r="W425" s="61" t="s">
        <v>10</v>
      </c>
      <c r="X425" s="69">
        <f>IF(B425&gt;0,VLOOKUP(B425,table_CIA_JCTS,28)," ")</f>
        <v>383.91</v>
      </c>
      <c r="Y425" s="1">
        <v>3.01</v>
      </c>
      <c r="Z425" s="88">
        <f t="shared" si="4"/>
        <v>-0.95592082933746703</v>
      </c>
    </row>
    <row r="426" spans="2:26" x14ac:dyDescent="0.2">
      <c r="B426" s="216" t="s">
        <v>10</v>
      </c>
      <c r="C426" s="217" t="s">
        <v>10</v>
      </c>
      <c r="D426" s="62" t="s">
        <v>10</v>
      </c>
      <c r="E426" s="61" t="s">
        <v>10</v>
      </c>
      <c r="F426" s="61" t="s">
        <v>10</v>
      </c>
      <c r="G426" s="62" t="s">
        <v>10</v>
      </c>
      <c r="H426" s="60" t="s">
        <v>10</v>
      </c>
      <c r="I426" s="62" t="s">
        <v>10</v>
      </c>
      <c r="J426" s="61" t="s">
        <v>10</v>
      </c>
      <c r="K426" s="68">
        <f>K425</f>
        <v>0.21593784870485483</v>
      </c>
      <c r="L426" s="63" t="s">
        <v>10</v>
      </c>
      <c r="M426" s="61" t="s">
        <v>10</v>
      </c>
      <c r="N426" s="68" t="s">
        <v>10</v>
      </c>
      <c r="O426" s="52" t="s">
        <v>131</v>
      </c>
      <c r="P426" s="61">
        <f>IF(ISBLANK(O426)=FALSE,(VLOOKUP(O426,table_MINOR,2,FALSE))*(K426)," ")</f>
        <v>5.3984462176213707E-2</v>
      </c>
      <c r="Q426" s="61" t="s">
        <v>10</v>
      </c>
      <c r="R426" s="61" t="s">
        <v>10</v>
      </c>
      <c r="S426" s="61" t="s">
        <v>10</v>
      </c>
      <c r="T426" s="61" t="s">
        <v>10</v>
      </c>
      <c r="U426" s="61" t="s">
        <v>10</v>
      </c>
      <c r="V426" s="61" t="s">
        <v>10</v>
      </c>
      <c r="W426" s="61" t="s">
        <v>10</v>
      </c>
      <c r="X426" s="69" t="s">
        <v>10</v>
      </c>
      <c r="Y426" s="1" t="s">
        <v>10</v>
      </c>
    </row>
    <row r="427" spans="2:26" x14ac:dyDescent="0.2">
      <c r="B427" s="216" t="s">
        <v>10</v>
      </c>
      <c r="C427" s="217" t="s">
        <v>10</v>
      </c>
      <c r="D427" s="62" t="s">
        <v>10</v>
      </c>
      <c r="E427" s="61" t="s">
        <v>10</v>
      </c>
      <c r="F427" s="61" t="s">
        <v>10</v>
      </c>
      <c r="G427" s="62" t="s">
        <v>10</v>
      </c>
      <c r="H427" s="60" t="s">
        <v>10</v>
      </c>
      <c r="I427" s="62" t="s">
        <v>10</v>
      </c>
      <c r="J427" s="61" t="s">
        <v>10</v>
      </c>
      <c r="K427" s="68">
        <f>K426</f>
        <v>0.21593784870485483</v>
      </c>
      <c r="L427" s="63" t="s">
        <v>10</v>
      </c>
      <c r="M427" s="61" t="s">
        <v>10</v>
      </c>
      <c r="N427" s="68" t="s">
        <v>10</v>
      </c>
      <c r="O427" s="52" t="s">
        <v>10</v>
      </c>
      <c r="P427" s="257" t="s">
        <v>10</v>
      </c>
      <c r="Q427" s="61" t="s">
        <v>10</v>
      </c>
      <c r="R427" s="61" t="s">
        <v>10</v>
      </c>
      <c r="S427" s="61" t="s">
        <v>10</v>
      </c>
      <c r="T427" s="61" t="s">
        <v>10</v>
      </c>
      <c r="U427" s="61" t="s">
        <v>10</v>
      </c>
      <c r="V427" s="61" t="s">
        <v>10</v>
      </c>
      <c r="W427" s="61" t="s">
        <v>10</v>
      </c>
      <c r="X427" s="69" t="s">
        <v>10</v>
      </c>
      <c r="Y427" s="1" t="s">
        <v>10</v>
      </c>
    </row>
    <row r="428" spans="2:26" x14ac:dyDescent="0.2">
      <c r="B428" s="216">
        <v>95.4</v>
      </c>
      <c r="C428" s="217">
        <v>95</v>
      </c>
      <c r="D428" s="58" t="s">
        <v>10</v>
      </c>
      <c r="E428" s="61">
        <f>IF(B428=0,cell_HGL,IF(VLOOKUP(B428,table_HGL_JCTS,17,FALSE)&lt;X428,X428,VLOOKUP(B428,table_HGL_JCTS,17,FALSE)))</f>
        <v>388.93592082933748</v>
      </c>
      <c r="F428" s="61">
        <f>IF(B428=0,(E428+K428),IF(VLOOKUP(B428,table_HGL_JCTS,13,FALSE)="T-INTERSECTION",(E428+K428),(IF(VLOOKUP(B428,table_HGL_JCTS,17,FALSE)&lt;X428,(E428+K428),VLOOKUP(B428,table_HGL_JCTS,18,FALSE)))))</f>
        <v>389.15185867804234</v>
      </c>
      <c r="G428" s="62">
        <f>VLOOKUP(C428,table_CIA_JCTS,18)</f>
        <v>42</v>
      </c>
      <c r="H428" s="60">
        <f>VLOOKUP(C428,table_CIA_JCTS,17)</f>
        <v>45.127648919128823</v>
      </c>
      <c r="I428" s="62">
        <f>VLOOKUP(C428,table_CIA_JCTS,21)</f>
        <v>944</v>
      </c>
      <c r="J428" s="61">
        <f>H428/((G428/12)^2*3.1416/4)</f>
        <v>4.6904630859230778</v>
      </c>
      <c r="K428" s="61">
        <f>(J428^2)/64.4</f>
        <v>0.34162180062743852</v>
      </c>
      <c r="L428" s="63">
        <f>(H428/((1.486/cell_NP)*((3.1416*(G428/12)^2)/4)*(G428/48)^(2/3)))^2</f>
        <v>2.0118848789034195E-3</v>
      </c>
      <c r="M428" s="61">
        <f>L428*I428</f>
        <v>1.899219325684828</v>
      </c>
      <c r="N428" s="68" t="s">
        <v>10</v>
      </c>
      <c r="O428" s="72" t="s">
        <v>153</v>
      </c>
      <c r="P428" s="61">
        <f>IF(ISBLANK(O428)=FALSE,(VLOOKUP(O428,table_MINOR,2,FALSE))*(K428)," ")</f>
        <v>0.51243270094115778</v>
      </c>
      <c r="Q428" s="61">
        <f>SUM(P428:P432)</f>
        <v>1.0248654018823156</v>
      </c>
      <c r="R428" s="61">
        <f>Q428+M428</f>
        <v>2.9240847275671435</v>
      </c>
      <c r="S428" s="61">
        <f>IF(O428="T-INTERSECTION",T428,(T428-K428))</f>
        <v>391.73432160498209</v>
      </c>
      <c r="T428" s="61">
        <f>IF(O428="T-INTERSECTION",(R428+F428-K428),(R428+F428))</f>
        <v>391.73432160498209</v>
      </c>
      <c r="U428" s="61">
        <f>VLOOKUP(C428,table_CIA_JCTS,26)</f>
        <v>398</v>
      </c>
      <c r="V428" s="61">
        <f>U428-0.5-S428</f>
        <v>5.7656783950179147</v>
      </c>
      <c r="W428" s="61" t="s">
        <v>10</v>
      </c>
      <c r="X428" s="69">
        <f>IF(B428&gt;0,VLOOKUP(B428,table_CIA_JCTS,28)," ")</f>
        <v>384.18</v>
      </c>
      <c r="Y428" s="1">
        <v>6.75</v>
      </c>
      <c r="Z428" s="88">
        <f t="shared" si="4"/>
        <v>-0.98432160498208532</v>
      </c>
    </row>
    <row r="429" spans="2:26" x14ac:dyDescent="0.2">
      <c r="B429" s="216" t="s">
        <v>10</v>
      </c>
      <c r="C429" s="217" t="s">
        <v>10</v>
      </c>
      <c r="D429" s="62" t="s">
        <v>10</v>
      </c>
      <c r="E429" s="61" t="s">
        <v>10</v>
      </c>
      <c r="F429" s="61" t="s">
        <v>10</v>
      </c>
      <c r="G429" s="62" t="s">
        <v>10</v>
      </c>
      <c r="H429" s="60" t="s">
        <v>10</v>
      </c>
      <c r="I429" s="62" t="s">
        <v>10</v>
      </c>
      <c r="J429" s="61" t="s">
        <v>10</v>
      </c>
      <c r="K429" s="68">
        <f>K428</f>
        <v>0.34162180062743852</v>
      </c>
      <c r="L429" s="63" t="s">
        <v>10</v>
      </c>
      <c r="M429" s="61" t="s">
        <v>10</v>
      </c>
      <c r="N429" s="68" t="s">
        <v>10</v>
      </c>
      <c r="O429" s="52" t="s">
        <v>129</v>
      </c>
      <c r="P429" s="61">
        <f>IF(ISBLANK(O429)=FALSE,(VLOOKUP(O429,table_MINOR,2,FALSE))*(K429)," ")</f>
        <v>0.17081090031371926</v>
      </c>
      <c r="Q429" s="61" t="s">
        <v>10</v>
      </c>
      <c r="R429" s="61" t="s">
        <v>10</v>
      </c>
      <c r="S429" s="61" t="s">
        <v>10</v>
      </c>
      <c r="T429" s="61" t="s">
        <v>10</v>
      </c>
      <c r="U429" s="61" t="s">
        <v>10</v>
      </c>
      <c r="V429" s="61" t="s">
        <v>10</v>
      </c>
      <c r="W429" s="61" t="s">
        <v>10</v>
      </c>
      <c r="X429" s="69" t="s">
        <v>10</v>
      </c>
      <c r="Y429" s="1" t="s">
        <v>10</v>
      </c>
    </row>
    <row r="430" spans="2:26" x14ac:dyDescent="0.2">
      <c r="B430" s="216" t="s">
        <v>10</v>
      </c>
      <c r="C430" s="217" t="s">
        <v>10</v>
      </c>
      <c r="D430" s="62" t="s">
        <v>10</v>
      </c>
      <c r="E430" s="61" t="s">
        <v>10</v>
      </c>
      <c r="F430" s="61" t="s">
        <v>10</v>
      </c>
      <c r="G430" s="62" t="s">
        <v>10</v>
      </c>
      <c r="H430" s="60" t="s">
        <v>10</v>
      </c>
      <c r="I430" s="62" t="s">
        <v>10</v>
      </c>
      <c r="J430" s="61" t="s">
        <v>10</v>
      </c>
      <c r="K430" s="68">
        <f>K429</f>
        <v>0.34162180062743852</v>
      </c>
      <c r="L430" s="63" t="s">
        <v>10</v>
      </c>
      <c r="M430" s="61" t="s">
        <v>10</v>
      </c>
      <c r="N430" s="68" t="s">
        <v>10</v>
      </c>
      <c r="O430" s="52" t="s">
        <v>129</v>
      </c>
      <c r="P430" s="61">
        <f>IF(ISBLANK(O430)=FALSE,(VLOOKUP(O430,table_MINOR,2,FALSE))*(K430)," ")</f>
        <v>0.17081090031371926</v>
      </c>
      <c r="Q430" s="61" t="s">
        <v>10</v>
      </c>
      <c r="R430" s="61" t="s">
        <v>10</v>
      </c>
      <c r="S430" s="61" t="s">
        <v>10</v>
      </c>
      <c r="T430" s="61" t="s">
        <v>10</v>
      </c>
      <c r="U430" s="61" t="s">
        <v>10</v>
      </c>
      <c r="V430" s="61" t="s">
        <v>10</v>
      </c>
      <c r="W430" s="61" t="s">
        <v>10</v>
      </c>
      <c r="X430" s="69" t="s">
        <v>10</v>
      </c>
      <c r="Y430" s="1" t="s">
        <v>10</v>
      </c>
    </row>
    <row r="431" spans="2:26" x14ac:dyDescent="0.2">
      <c r="B431" s="216" t="s">
        <v>10</v>
      </c>
      <c r="C431" s="217" t="s">
        <v>10</v>
      </c>
      <c r="D431" s="62" t="s">
        <v>10</v>
      </c>
      <c r="E431" s="61" t="s">
        <v>10</v>
      </c>
      <c r="F431" s="61" t="s">
        <v>10</v>
      </c>
      <c r="G431" s="62" t="s">
        <v>10</v>
      </c>
      <c r="H431" s="60" t="s">
        <v>10</v>
      </c>
      <c r="I431" s="62" t="s">
        <v>10</v>
      </c>
      <c r="J431" s="61" t="s">
        <v>10</v>
      </c>
      <c r="K431" s="68">
        <f>K430</f>
        <v>0.34162180062743852</v>
      </c>
      <c r="L431" s="63" t="s">
        <v>10</v>
      </c>
      <c r="M431" s="61" t="s">
        <v>10</v>
      </c>
      <c r="N431" s="68" t="s">
        <v>10</v>
      </c>
      <c r="O431" s="52" t="s">
        <v>129</v>
      </c>
      <c r="P431" s="61">
        <f>IF(ISBLANK(O431)=FALSE,(VLOOKUP(O431,table_MINOR,2,FALSE))*(K431)," ")</f>
        <v>0.17081090031371926</v>
      </c>
      <c r="Q431" s="61" t="s">
        <v>10</v>
      </c>
      <c r="R431" s="61" t="s">
        <v>10</v>
      </c>
      <c r="S431" s="61" t="s">
        <v>10</v>
      </c>
      <c r="T431" s="61" t="s">
        <v>10</v>
      </c>
      <c r="U431" s="61" t="s">
        <v>10</v>
      </c>
      <c r="V431" s="61" t="s">
        <v>10</v>
      </c>
      <c r="W431" s="61" t="s">
        <v>10</v>
      </c>
      <c r="X431" s="69" t="s">
        <v>10</v>
      </c>
      <c r="Y431" s="1" t="s">
        <v>10</v>
      </c>
    </row>
    <row r="432" spans="2:26" x14ac:dyDescent="0.2">
      <c r="B432" s="216" t="s">
        <v>10</v>
      </c>
      <c r="C432" s="217" t="s">
        <v>10</v>
      </c>
      <c r="D432" s="62" t="s">
        <v>10</v>
      </c>
      <c r="E432" s="61" t="s">
        <v>10</v>
      </c>
      <c r="F432" s="61" t="s">
        <v>10</v>
      </c>
      <c r="G432" s="62" t="s">
        <v>10</v>
      </c>
      <c r="H432" s="60" t="s">
        <v>10</v>
      </c>
      <c r="I432" s="62" t="s">
        <v>10</v>
      </c>
      <c r="J432" s="61" t="s">
        <v>10</v>
      </c>
      <c r="K432" s="68">
        <f>K431</f>
        <v>0.34162180062743852</v>
      </c>
      <c r="L432" s="63" t="s">
        <v>10</v>
      </c>
      <c r="M432" s="61" t="s">
        <v>10</v>
      </c>
      <c r="N432" s="68" t="s">
        <v>10</v>
      </c>
      <c r="O432" s="52" t="s">
        <v>10</v>
      </c>
      <c r="P432" s="257" t="s">
        <v>10</v>
      </c>
      <c r="Q432" s="61" t="s">
        <v>10</v>
      </c>
      <c r="R432" s="61" t="s">
        <v>10</v>
      </c>
      <c r="S432" s="61" t="s">
        <v>10</v>
      </c>
      <c r="T432" s="61" t="s">
        <v>10</v>
      </c>
      <c r="U432" s="61" t="s">
        <v>10</v>
      </c>
      <c r="V432" s="61" t="s">
        <v>10</v>
      </c>
      <c r="W432" s="61" t="s">
        <v>10</v>
      </c>
      <c r="X432" s="69" t="s">
        <v>10</v>
      </c>
      <c r="Y432" s="1" t="s">
        <v>10</v>
      </c>
    </row>
    <row r="433" spans="2:26" x14ac:dyDescent="0.2">
      <c r="B433" s="216">
        <v>95</v>
      </c>
      <c r="C433" s="217">
        <v>89</v>
      </c>
      <c r="D433" s="58" t="s">
        <v>10</v>
      </c>
      <c r="E433" s="61">
        <f>IF(B433=0,cell_HGL,IF(VLOOKUP(B433,table_HGL_JCTS,17,FALSE)&lt;X433,X433,VLOOKUP(B433,table_HGL_JCTS,17,FALSE)))</f>
        <v>391.73432160498209</v>
      </c>
      <c r="F433" s="61">
        <f>IF(B433=0,(E433+K433),IF(VLOOKUP(B433,table_HGL_JCTS,13,FALSE)="T-INTERSECTION",(E433+K433),(IF(VLOOKUP(B433,table_HGL_JCTS,17,FALSE)&lt;X433,(E433+K433),VLOOKUP(B433,table_HGL_JCTS,18,FALSE)))))</f>
        <v>392.03406978810466</v>
      </c>
      <c r="G433" s="62">
        <f>VLOOKUP(C433,table_CIA_JCTS,18)</f>
        <v>36</v>
      </c>
      <c r="H433" s="60">
        <f>VLOOKUP(C433,table_CIA_JCTS,17)</f>
        <v>31.056650860624668</v>
      </c>
      <c r="I433" s="62">
        <f>VLOOKUP(C433,table_CIA_JCTS,21)</f>
        <v>296</v>
      </c>
      <c r="J433" s="61">
        <f>H433/((G433/12)^2*3.1416/4)</f>
        <v>4.3936070594777847</v>
      </c>
      <c r="K433" s="61">
        <f>(J433^2)/64.4</f>
        <v>0.29974818312256252</v>
      </c>
      <c r="L433" s="63">
        <f>(H433/((1.486/cell_NP)*((3.1416*(G433/12)^2)/4)*(G433/48)^(2/3)))^2</f>
        <v>2.1680859479075196E-3</v>
      </c>
      <c r="M433" s="61">
        <f>L433*I433</f>
        <v>0.64175344058062578</v>
      </c>
      <c r="N433" s="68" t="s">
        <v>10</v>
      </c>
      <c r="O433" s="72" t="s">
        <v>130</v>
      </c>
      <c r="P433" s="61">
        <f>IF(ISBLANK(O433)=FALSE,(VLOOKUP(O433,table_MINOR,2,FALSE))*(K433)," ")</f>
        <v>8.9924454936768747E-2</v>
      </c>
      <c r="Q433" s="61">
        <f>SUM(P433:P434)</f>
        <v>8.9924454936768747E-2</v>
      </c>
      <c r="R433" s="61">
        <f>Q433+M433</f>
        <v>0.73167789551739448</v>
      </c>
      <c r="S433" s="61">
        <f>IF(O433="T-INTERSECTION",T433,(T433-K433))</f>
        <v>392.46599950049949</v>
      </c>
      <c r="T433" s="61">
        <f>IF(O433="T-INTERSECTION",(R433+F433-K433),(R433+F433))</f>
        <v>392.76574768362207</v>
      </c>
      <c r="U433" s="61">
        <f>VLOOKUP(C433,table_CIA_JCTS,26)</f>
        <v>399.3</v>
      </c>
      <c r="V433" s="61">
        <f>U433-0.5-S433</f>
        <v>6.3340004995005188</v>
      </c>
      <c r="W433" s="61" t="s">
        <v>10</v>
      </c>
      <c r="X433" s="69">
        <f>IF(B433&gt;0,VLOOKUP(B433,table_CIA_JCTS,28)," ")</f>
        <v>388.6</v>
      </c>
      <c r="Y433" s="1">
        <v>7.33</v>
      </c>
      <c r="Z433" s="88">
        <f t="shared" si="4"/>
        <v>-0.99599950049948127</v>
      </c>
    </row>
    <row r="434" spans="2:26" x14ac:dyDescent="0.2">
      <c r="B434" s="216" t="s">
        <v>10</v>
      </c>
      <c r="C434" s="217" t="s">
        <v>10</v>
      </c>
      <c r="D434" s="62" t="s">
        <v>10</v>
      </c>
      <c r="E434" s="61" t="s">
        <v>10</v>
      </c>
      <c r="F434" s="61" t="s">
        <v>10</v>
      </c>
      <c r="G434" s="62" t="s">
        <v>10</v>
      </c>
      <c r="H434" s="60" t="s">
        <v>10</v>
      </c>
      <c r="I434" s="62" t="s">
        <v>10</v>
      </c>
      <c r="J434" s="61" t="s">
        <v>10</v>
      </c>
      <c r="K434" s="68">
        <f>K433</f>
        <v>0.29974818312256252</v>
      </c>
      <c r="L434" s="63" t="s">
        <v>10</v>
      </c>
      <c r="M434" s="61" t="s">
        <v>10</v>
      </c>
      <c r="N434" s="68" t="s">
        <v>10</v>
      </c>
      <c r="O434" s="52" t="s">
        <v>10</v>
      </c>
      <c r="P434" s="257" t="s">
        <v>10</v>
      </c>
      <c r="Q434" s="61" t="s">
        <v>10</v>
      </c>
      <c r="R434" s="61" t="s">
        <v>10</v>
      </c>
      <c r="S434" s="61" t="s">
        <v>10</v>
      </c>
      <c r="T434" s="61" t="s">
        <v>10</v>
      </c>
      <c r="U434" s="61" t="s">
        <v>10</v>
      </c>
      <c r="V434" s="61" t="s">
        <v>10</v>
      </c>
      <c r="W434" s="61" t="s">
        <v>10</v>
      </c>
      <c r="X434" s="69" t="s">
        <v>10</v>
      </c>
      <c r="Y434" s="1" t="s">
        <v>10</v>
      </c>
    </row>
    <row r="435" spans="2:26" x14ac:dyDescent="0.2">
      <c r="B435" s="216">
        <v>89</v>
      </c>
      <c r="C435" s="217">
        <v>88.1</v>
      </c>
      <c r="D435" s="58" t="s">
        <v>10</v>
      </c>
      <c r="E435" s="61">
        <f>IF(B435=0,cell_HGL,IF(VLOOKUP(B435,table_HGL_JCTS,17,FALSE)&lt;X435,X435,VLOOKUP(B435,table_HGL_JCTS,17,FALSE)))</f>
        <v>392.46599950049949</v>
      </c>
      <c r="F435" s="61">
        <f>IF(B435=0,(E435+K435),IF(VLOOKUP(B435,table_HGL_JCTS,13,FALSE)="T-INTERSECTION",(E435+K435),(IF(VLOOKUP(B435,table_HGL_JCTS,17,FALSE)&lt;X435,(E435+K435),VLOOKUP(B435,table_HGL_JCTS,18,FALSE)))))</f>
        <v>392.76574768362207</v>
      </c>
      <c r="G435" s="62">
        <f>VLOOKUP(C435,table_CIA_JCTS,18)</f>
        <v>36</v>
      </c>
      <c r="H435" s="60">
        <f>VLOOKUP(C435,table_CIA_JCTS,17)</f>
        <v>29.247007415171417</v>
      </c>
      <c r="I435" s="62">
        <f>VLOOKUP(C435,table_CIA_JCTS,21)</f>
        <v>650</v>
      </c>
      <c r="J435" s="61">
        <f>H435/((G435/12)^2*3.1416/4)</f>
        <v>4.1375954807417896</v>
      </c>
      <c r="K435" s="61">
        <f>(J435^2)/64.4</f>
        <v>0.26583379444495153</v>
      </c>
      <c r="L435" s="63">
        <f>(H435/((1.486/cell_NP)*((3.1416*(G435/12)^2)/4)*(G435/48)^(2/3)))^2</f>
        <v>1.92278234420315E-3</v>
      </c>
      <c r="M435" s="61">
        <f>L435*I435</f>
        <v>1.2498085237320475</v>
      </c>
      <c r="N435" s="68" t="s">
        <v>10</v>
      </c>
      <c r="O435" s="72" t="s">
        <v>156</v>
      </c>
      <c r="P435" s="61">
        <f>IF(ISBLANK(O435)=FALSE,(VLOOKUP(O435,table_MINOR,2,FALSE))*(K435)," ")</f>
        <v>0.19937534583371364</v>
      </c>
      <c r="Q435" s="61">
        <f>SUM(P435:P436)</f>
        <v>0.19937534583371364</v>
      </c>
      <c r="R435" s="61">
        <f>Q435+M435</f>
        <v>1.4491838695657613</v>
      </c>
      <c r="S435" s="61">
        <f>IF(O435="T-INTERSECTION",T435,(T435-K435))</f>
        <v>393.94909775874288</v>
      </c>
      <c r="T435" s="61">
        <f>IF(O435="T-INTERSECTION",(R435+F435-K435),(R435+F435))</f>
        <v>394.21493155318785</v>
      </c>
      <c r="U435" s="61">
        <f>VLOOKUP(C435,table_CIA_JCTS,26)</f>
        <v>401.5</v>
      </c>
      <c r="V435" s="61">
        <f>U435-0.5-S435</f>
        <v>7.0509022412571198</v>
      </c>
      <c r="W435" s="61" t="s">
        <v>10</v>
      </c>
      <c r="X435" s="69" t="str">
        <f>IF(B435&gt;0,VLOOKUP(B435,table_CIA_JCTS,28)," ")</f>
        <v xml:space="preserve"> </v>
      </c>
      <c r="Y435" s="1">
        <v>8.07</v>
      </c>
      <c r="Z435" s="88">
        <f t="shared" si="4"/>
        <v>-1.0190977587428804</v>
      </c>
    </row>
    <row r="436" spans="2:26" x14ac:dyDescent="0.2">
      <c r="B436" s="216" t="s">
        <v>10</v>
      </c>
      <c r="C436" s="217" t="s">
        <v>10</v>
      </c>
      <c r="D436" s="62" t="s">
        <v>10</v>
      </c>
      <c r="E436" s="61" t="s">
        <v>10</v>
      </c>
      <c r="F436" s="61" t="s">
        <v>10</v>
      </c>
      <c r="G436" s="62" t="s">
        <v>10</v>
      </c>
      <c r="H436" s="60" t="s">
        <v>10</v>
      </c>
      <c r="I436" s="62" t="s">
        <v>10</v>
      </c>
      <c r="J436" s="61" t="s">
        <v>10</v>
      </c>
      <c r="K436" s="68">
        <f>K435</f>
        <v>0.26583379444495153</v>
      </c>
      <c r="L436" s="63" t="s">
        <v>10</v>
      </c>
      <c r="M436" s="61" t="s">
        <v>10</v>
      </c>
      <c r="N436" s="68" t="s">
        <v>10</v>
      </c>
      <c r="O436" s="52" t="s">
        <v>10</v>
      </c>
      <c r="P436" s="257" t="s">
        <v>10</v>
      </c>
      <c r="Q436" s="61" t="s">
        <v>10</v>
      </c>
      <c r="R436" s="61" t="s">
        <v>10</v>
      </c>
      <c r="S436" s="61" t="s">
        <v>10</v>
      </c>
      <c r="T436" s="61" t="s">
        <v>10</v>
      </c>
      <c r="U436" s="61" t="s">
        <v>10</v>
      </c>
      <c r="V436" s="61" t="s">
        <v>10</v>
      </c>
      <c r="W436" s="61" t="s">
        <v>10</v>
      </c>
      <c r="X436" s="69" t="s">
        <v>10</v>
      </c>
      <c r="Y436" s="1" t="s">
        <v>10</v>
      </c>
    </row>
    <row r="437" spans="2:26" x14ac:dyDescent="0.2">
      <c r="B437" s="216">
        <v>88.1</v>
      </c>
      <c r="C437" s="217">
        <v>83.1</v>
      </c>
      <c r="D437" s="58" t="s">
        <v>10</v>
      </c>
      <c r="E437" s="61">
        <f>IF(B437=0,cell_HGL,IF(VLOOKUP(B437,table_HGL_JCTS,17,FALSE)&lt;X437,X437,VLOOKUP(B437,table_HGL_JCTS,17,FALSE)))</f>
        <v>395.84</v>
      </c>
      <c r="F437" s="61">
        <f>IF(B437=0,(E437+K437),IF(VLOOKUP(B437,table_HGL_JCTS,13,FALSE)="T-INTERSECTION",(E437+K437),(IF(VLOOKUP(B437,table_HGL_JCTS,17,FALSE)&lt;X437,(E437+K437),VLOOKUP(B437,table_HGL_JCTS,18,FALSE)))))</f>
        <v>395.97806049021074</v>
      </c>
      <c r="G437" s="62">
        <f>VLOOKUP(C437,table_CIA_JCTS,18)</f>
        <v>30</v>
      </c>
      <c r="H437" s="60">
        <f>VLOOKUP(C437,table_CIA_JCTS,17)</f>
        <v>14.636881388979614</v>
      </c>
      <c r="I437" s="62">
        <f>VLOOKUP(C437,table_CIA_JCTS,21)</f>
        <v>961</v>
      </c>
      <c r="J437" s="61">
        <f>H437/((G437/12)^2*3.1416/4)</f>
        <v>2.9817940186360308</v>
      </c>
      <c r="K437" s="61">
        <f>(J437^2)/64.4</f>
        <v>0.13806049021077033</v>
      </c>
      <c r="L437" s="63">
        <f>(H437/((1.486/cell_NP)*((3.1416*(G437/12)^2)/4)*(G437/48)^(2/3)))^2</f>
        <v>1.2733985209663231E-3</v>
      </c>
      <c r="M437" s="61">
        <f>L437*I437</f>
        <v>1.2237359786486364</v>
      </c>
      <c r="N437" s="68" t="s">
        <v>10</v>
      </c>
      <c r="O437" s="72" t="s">
        <v>129</v>
      </c>
      <c r="P437" s="61">
        <f>IF(ISBLANK(O437)=FALSE,(VLOOKUP(O437,table_MINOR,2,FALSE))*(K437)," ")</f>
        <v>6.9030245105385163E-2</v>
      </c>
      <c r="Q437" s="61">
        <f>SUM(P437:P439)</f>
        <v>0.15186653923184734</v>
      </c>
      <c r="R437" s="61">
        <f>Q437+M437</f>
        <v>1.3756025178804836</v>
      </c>
      <c r="S437" s="61">
        <f>IF(O437="T-INTERSECTION",T437,(T437-K437))</f>
        <v>397.21560251788048</v>
      </c>
      <c r="T437" s="61">
        <f>IF(O437="T-INTERSECTION",(R437+F437-K437),(R437+F437))</f>
        <v>397.35366300809125</v>
      </c>
      <c r="U437" s="61">
        <f>VLOOKUP(C437,table_CIA_JCTS,26)</f>
        <v>402.75</v>
      </c>
      <c r="V437" s="61">
        <f>U437-0.5-S437</f>
        <v>5.0343974821195161</v>
      </c>
      <c r="W437" s="61" t="s">
        <v>10</v>
      </c>
      <c r="X437" s="69">
        <f>IF(B437&gt;0,VLOOKUP(B437,table_CIA_JCTS,28)," ")</f>
        <v>395.84</v>
      </c>
      <c r="Y437" s="1">
        <v>5.0343974821195161</v>
      </c>
      <c r="Z437" s="88">
        <f t="shared" si="4"/>
        <v>0</v>
      </c>
    </row>
    <row r="438" spans="2:26" x14ac:dyDescent="0.2">
      <c r="B438" s="216" t="s">
        <v>10</v>
      </c>
      <c r="C438" s="217" t="s">
        <v>10</v>
      </c>
      <c r="D438" s="62" t="s">
        <v>10</v>
      </c>
      <c r="E438" s="61" t="s">
        <v>10</v>
      </c>
      <c r="F438" s="61" t="s">
        <v>10</v>
      </c>
      <c r="G438" s="62" t="s">
        <v>10</v>
      </c>
      <c r="H438" s="60" t="s">
        <v>10</v>
      </c>
      <c r="I438" s="62" t="s">
        <v>10</v>
      </c>
      <c r="J438" s="61" t="s">
        <v>10</v>
      </c>
      <c r="K438" s="68">
        <f>K437</f>
        <v>0.13806049021077033</v>
      </c>
      <c r="L438" s="63" t="s">
        <v>10</v>
      </c>
      <c r="M438" s="61" t="s">
        <v>10</v>
      </c>
      <c r="N438" s="68" t="s">
        <v>10</v>
      </c>
      <c r="O438" s="52" t="s">
        <v>152</v>
      </c>
      <c r="P438" s="61">
        <f>IF(ISBLANK(O438)=FALSE,(VLOOKUP(O438,table_MINOR,2,FALSE))*(K438)," ")</f>
        <v>8.2836294126462193E-2</v>
      </c>
      <c r="Q438" s="61" t="s">
        <v>10</v>
      </c>
      <c r="R438" s="61" t="s">
        <v>10</v>
      </c>
      <c r="S438" s="61" t="s">
        <v>10</v>
      </c>
      <c r="T438" s="61" t="s">
        <v>10</v>
      </c>
      <c r="U438" s="61" t="s">
        <v>10</v>
      </c>
      <c r="V438" s="61" t="s">
        <v>10</v>
      </c>
      <c r="W438" s="61" t="s">
        <v>10</v>
      </c>
      <c r="X438" s="69" t="s">
        <v>10</v>
      </c>
      <c r="Y438" s="1" t="s">
        <v>10</v>
      </c>
    </row>
    <row r="439" spans="2:26" x14ac:dyDescent="0.2">
      <c r="B439" s="216" t="s">
        <v>10</v>
      </c>
      <c r="C439" s="217" t="s">
        <v>10</v>
      </c>
      <c r="D439" s="62" t="s">
        <v>10</v>
      </c>
      <c r="E439" s="61" t="s">
        <v>10</v>
      </c>
      <c r="F439" s="61" t="s">
        <v>10</v>
      </c>
      <c r="G439" s="62" t="s">
        <v>10</v>
      </c>
      <c r="H439" s="60" t="s">
        <v>10</v>
      </c>
      <c r="I439" s="62" t="s">
        <v>10</v>
      </c>
      <c r="J439" s="61" t="s">
        <v>10</v>
      </c>
      <c r="K439" s="68">
        <f>K438</f>
        <v>0.13806049021077033</v>
      </c>
      <c r="L439" s="63" t="s">
        <v>10</v>
      </c>
      <c r="M439" s="61" t="s">
        <v>10</v>
      </c>
      <c r="N439" s="68" t="s">
        <v>10</v>
      </c>
      <c r="O439" s="52" t="s">
        <v>10</v>
      </c>
      <c r="P439" s="257" t="s">
        <v>10</v>
      </c>
      <c r="Q439" s="61" t="s">
        <v>10</v>
      </c>
      <c r="R439" s="61" t="s">
        <v>10</v>
      </c>
      <c r="S439" s="61" t="s">
        <v>10</v>
      </c>
      <c r="T439" s="61" t="s">
        <v>10</v>
      </c>
      <c r="U439" s="61" t="s">
        <v>10</v>
      </c>
      <c r="V439" s="61" t="s">
        <v>10</v>
      </c>
      <c r="W439" s="61" t="s">
        <v>10</v>
      </c>
      <c r="X439" s="69" t="s">
        <v>10</v>
      </c>
      <c r="Y439" s="1" t="s">
        <v>10</v>
      </c>
    </row>
    <row r="440" spans="2:26" x14ac:dyDescent="0.2">
      <c r="B440" s="216">
        <v>83.1</v>
      </c>
      <c r="C440" s="217">
        <v>83</v>
      </c>
      <c r="D440" s="58" t="s">
        <v>10</v>
      </c>
      <c r="E440" s="61">
        <f>IF(B440=0,cell_HGL,IF(VLOOKUP(B440,table_HGL_JCTS,17,FALSE)&lt;X440,X440,VLOOKUP(B440,table_HGL_JCTS,17,FALSE)))</f>
        <v>397.21560251788048</v>
      </c>
      <c r="F440" s="61">
        <f>IF(B440=0,(E440+K440),IF(VLOOKUP(B440,table_HGL_JCTS,13,FALSE)="T-INTERSECTION",(E440+K440),(IF(VLOOKUP(B440,table_HGL_JCTS,17,FALSE)&lt;X440,(E440+K440),VLOOKUP(B440,table_HGL_JCTS,18,FALSE)))))</f>
        <v>397.35366300809125</v>
      </c>
      <c r="G440" s="62">
        <f>VLOOKUP(C440,table_CIA_JCTS,18)</f>
        <v>30</v>
      </c>
      <c r="H440" s="60">
        <f>VLOOKUP(C440,table_CIA_JCTS,17)</f>
        <v>13.868486438812377</v>
      </c>
      <c r="I440" s="62">
        <f>VLOOKUP(C440,table_CIA_JCTS,21)</f>
        <v>46</v>
      </c>
      <c r="J440" s="61">
        <f>H440/((G440/12)^2*3.1416/4)</f>
        <v>2.8252582508403115</v>
      </c>
      <c r="K440" s="61">
        <f>(J440^2)/64.4</f>
        <v>0.12394540658293875</v>
      </c>
      <c r="L440" s="63">
        <f>(H440/((1.486/cell_NP)*((3.1416*(G440/12)^2)/4)*(G440/48)^(2/3)))^2</f>
        <v>1.1432082935699374E-3</v>
      </c>
      <c r="M440" s="61">
        <f>L440*I440</f>
        <v>5.2587581504217121E-2</v>
      </c>
      <c r="N440" s="68" t="s">
        <v>10</v>
      </c>
      <c r="O440" s="72" t="s">
        <v>130</v>
      </c>
      <c r="P440" s="61">
        <f>IF(ISBLANK(O440)=FALSE,(VLOOKUP(O440,table_MINOR,2,FALSE))*(K440)," ")</f>
        <v>3.718362197488162E-2</v>
      </c>
      <c r="Q440" s="61">
        <f>SUM(P440:P441)</f>
        <v>3.718362197488162E-2</v>
      </c>
      <c r="R440" s="61">
        <f>Q440+M440</f>
        <v>8.9771203479098741E-2</v>
      </c>
      <c r="S440" s="61">
        <f>IF(O440="T-INTERSECTION",T440,(T440-K440))</f>
        <v>397.31948880498737</v>
      </c>
      <c r="T440" s="61">
        <f>IF(O440="T-INTERSECTION",(R440+F440-K440),(R440+F440))</f>
        <v>397.44343421157032</v>
      </c>
      <c r="U440" s="61">
        <f>VLOOKUP(C440,table_CIA_JCTS,26)</f>
        <v>402.5</v>
      </c>
      <c r="V440" s="61">
        <f>U440-0.5-S440</f>
        <v>4.6805111950126275</v>
      </c>
      <c r="W440" s="61" t="s">
        <v>10</v>
      </c>
      <c r="X440" s="69">
        <f>IF(B440&gt;0,VLOOKUP(B440,table_CIA_JCTS,28)," ")</f>
        <v>395.93</v>
      </c>
      <c r="Y440" s="1">
        <v>4.6805111950126275</v>
      </c>
      <c r="Z440" s="88">
        <f t="shared" si="4"/>
        <v>0</v>
      </c>
    </row>
    <row r="441" spans="2:26" x14ac:dyDescent="0.2">
      <c r="B441" s="216" t="s">
        <v>10</v>
      </c>
      <c r="C441" s="217" t="s">
        <v>10</v>
      </c>
      <c r="D441" s="62" t="s">
        <v>10</v>
      </c>
      <c r="E441" s="61" t="s">
        <v>10</v>
      </c>
      <c r="F441" s="61" t="s">
        <v>10</v>
      </c>
      <c r="G441" s="62" t="s">
        <v>10</v>
      </c>
      <c r="H441" s="60" t="s">
        <v>10</v>
      </c>
      <c r="I441" s="62" t="s">
        <v>10</v>
      </c>
      <c r="J441" s="61" t="s">
        <v>10</v>
      </c>
      <c r="K441" s="68">
        <f>K440</f>
        <v>0.12394540658293875</v>
      </c>
      <c r="L441" s="63" t="s">
        <v>10</v>
      </c>
      <c r="M441" s="61" t="s">
        <v>10</v>
      </c>
      <c r="N441" s="68" t="s">
        <v>10</v>
      </c>
      <c r="O441" s="52" t="s">
        <v>10</v>
      </c>
      <c r="P441" s="257" t="s">
        <v>10</v>
      </c>
      <c r="Q441" s="61" t="s">
        <v>10</v>
      </c>
      <c r="R441" s="61" t="s">
        <v>10</v>
      </c>
      <c r="S441" s="61" t="s">
        <v>10</v>
      </c>
      <c r="T441" s="61" t="s">
        <v>10</v>
      </c>
      <c r="U441" s="61" t="s">
        <v>10</v>
      </c>
      <c r="V441" s="61" t="s">
        <v>10</v>
      </c>
      <c r="W441" s="61" t="s">
        <v>10</v>
      </c>
      <c r="X441" s="69" t="s">
        <v>10</v>
      </c>
      <c r="Y441" s="1" t="s">
        <v>10</v>
      </c>
    </row>
    <row r="442" spans="2:26" x14ac:dyDescent="0.2">
      <c r="B442" s="216">
        <v>83</v>
      </c>
      <c r="C442" s="217">
        <v>82</v>
      </c>
      <c r="D442" s="58" t="s">
        <v>10</v>
      </c>
      <c r="E442" s="61">
        <f>IF(B442=0,cell_HGL,IF(VLOOKUP(B442,table_HGL_JCTS,17,FALSE)&lt;X442,X442,VLOOKUP(B442,table_HGL_JCTS,17,FALSE)))</f>
        <v>397.31948880498737</v>
      </c>
      <c r="F442" s="61">
        <f>IF(B442=0,(E442+K442),IF(VLOOKUP(B442,table_HGL_JCTS,13,FALSE)="T-INTERSECTION",(E442+K442),(IF(VLOOKUP(B442,table_HGL_JCTS,17,FALSE)&lt;X442,(E442+K442),VLOOKUP(B442,table_HGL_JCTS,18,FALSE)))))</f>
        <v>397.44343421157032</v>
      </c>
      <c r="G442" s="62">
        <f>VLOOKUP(C442,table_CIA_JCTS,18)</f>
        <v>30</v>
      </c>
      <c r="H442" s="60">
        <f>VLOOKUP(C442,table_CIA_JCTS,17)</f>
        <v>13.140277023990713</v>
      </c>
      <c r="I442" s="62">
        <f>VLOOKUP(C442,table_CIA_JCTS,21)</f>
        <v>509</v>
      </c>
      <c r="J442" s="61">
        <f>H442/((G442/12)^2*3.1416/4)</f>
        <v>2.6769089939375021</v>
      </c>
      <c r="K442" s="61">
        <f>(J442^2)/64.4</f>
        <v>0.11127083481092374</v>
      </c>
      <c r="L442" s="63">
        <f>(H442/((1.486/cell_NP)*((3.1416*(G442/12)^2)/4)*(G442/48)^(2/3)))^2</f>
        <v>1.0263046021247919E-3</v>
      </c>
      <c r="M442" s="61">
        <f>L442*I442</f>
        <v>0.52238904248151907</v>
      </c>
      <c r="N442" s="68" t="s">
        <v>10</v>
      </c>
      <c r="O442" s="72" t="s">
        <v>130</v>
      </c>
      <c r="P442" s="61">
        <f>IF(ISBLANK(O442)=FALSE,(VLOOKUP(O442,table_MINOR,2,FALSE))*(K442)," ")</f>
        <v>3.3381250443277125E-2</v>
      </c>
      <c r="Q442" s="61">
        <f>SUM(P442:P443)</f>
        <v>3.3381250443277125E-2</v>
      </c>
      <c r="R442" s="61">
        <f>Q442+M442</f>
        <v>0.55577029292479618</v>
      </c>
      <c r="S442" s="61">
        <f>IF(O442="T-INTERSECTION",T442,(T442-K442))</f>
        <v>397.88793366968423</v>
      </c>
      <c r="T442" s="61">
        <f>IF(O442="T-INTERSECTION",(R442+F442-K442),(R442+F442))</f>
        <v>397.99920450449514</v>
      </c>
      <c r="U442" s="61">
        <f>VLOOKUP(C442,table_CIA_JCTS,26)</f>
        <v>406.14</v>
      </c>
      <c r="V442" s="61">
        <f>U442-0.5-S442</f>
        <v>7.7520663303157562</v>
      </c>
      <c r="W442" s="61" t="s">
        <v>10</v>
      </c>
      <c r="X442" s="69">
        <f>IF(B442&gt;0,VLOOKUP(B442,table_CIA_JCTS,28)," ")</f>
        <v>395.93</v>
      </c>
      <c r="Y442" s="1">
        <v>7.7520663303157562</v>
      </c>
      <c r="Z442" s="88">
        <f t="shared" si="4"/>
        <v>0</v>
      </c>
    </row>
    <row r="443" spans="2:26" x14ac:dyDescent="0.2">
      <c r="B443" s="216" t="s">
        <v>10</v>
      </c>
      <c r="C443" s="217" t="s">
        <v>10</v>
      </c>
      <c r="D443" s="62" t="s">
        <v>10</v>
      </c>
      <c r="E443" s="61" t="s">
        <v>10</v>
      </c>
      <c r="F443" s="61" t="s">
        <v>10</v>
      </c>
      <c r="G443" s="62" t="s">
        <v>10</v>
      </c>
      <c r="H443" s="60" t="s">
        <v>10</v>
      </c>
      <c r="I443" s="62" t="s">
        <v>10</v>
      </c>
      <c r="J443" s="61" t="s">
        <v>10</v>
      </c>
      <c r="K443" s="68">
        <f>K442</f>
        <v>0.11127083481092374</v>
      </c>
      <c r="L443" s="63" t="s">
        <v>10</v>
      </c>
      <c r="M443" s="61" t="s">
        <v>10</v>
      </c>
      <c r="N443" s="68" t="s">
        <v>10</v>
      </c>
      <c r="O443" s="52" t="s">
        <v>10</v>
      </c>
      <c r="P443" s="257" t="s">
        <v>10</v>
      </c>
      <c r="Q443" s="61" t="s">
        <v>10</v>
      </c>
      <c r="R443" s="61" t="s">
        <v>10</v>
      </c>
      <c r="S443" s="61" t="s">
        <v>10</v>
      </c>
      <c r="T443" s="61" t="s">
        <v>10</v>
      </c>
      <c r="U443" s="61" t="s">
        <v>10</v>
      </c>
      <c r="V443" s="61" t="s">
        <v>10</v>
      </c>
      <c r="W443" s="61" t="s">
        <v>10</v>
      </c>
      <c r="X443" s="69" t="s">
        <v>10</v>
      </c>
      <c r="Y443" s="1" t="s">
        <v>10</v>
      </c>
    </row>
    <row r="444" spans="2:26" x14ac:dyDescent="0.2">
      <c r="B444" s="216">
        <v>82</v>
      </c>
      <c r="C444" s="217">
        <v>81.099999999999994</v>
      </c>
      <c r="D444" s="58" t="s">
        <v>10</v>
      </c>
      <c r="E444" s="61">
        <f>IF(B444=0,cell_HGL,IF(VLOOKUP(B444,table_HGL_JCTS,17,FALSE)&lt;X444,X444,VLOOKUP(B444,table_HGL_JCTS,17,FALSE)))</f>
        <v>399.11</v>
      </c>
      <c r="F444" s="61">
        <f>IF(B444=0,(E444+K444),IF(VLOOKUP(B444,table_HGL_JCTS,13,FALSE)="T-INTERSECTION",(E444+K444),(IF(VLOOKUP(B444,table_HGL_JCTS,17,FALSE)&lt;X444,(E444+K444),VLOOKUP(B444,table_HGL_JCTS,18,FALSE)))))</f>
        <v>399.2214580811679</v>
      </c>
      <c r="G444" s="62">
        <f>VLOOKUP(C444,table_CIA_JCTS,18)</f>
        <v>30</v>
      </c>
      <c r="H444" s="60">
        <f>VLOOKUP(C444,table_CIA_JCTS,17)</f>
        <v>13.151328593604026</v>
      </c>
      <c r="I444" s="62">
        <f>VLOOKUP(C444,table_CIA_JCTS,21)</f>
        <v>401</v>
      </c>
      <c r="J444" s="61">
        <f>H444/((G444/12)^2*3.1416/4)</f>
        <v>2.6791603959468353</v>
      </c>
      <c r="K444" s="61">
        <f>(J444^2)/64.4</f>
        <v>0.11145808116785719</v>
      </c>
      <c r="L444" s="63">
        <f>(H444/((1.486/cell_NP)*((3.1416*(G444/12)^2)/4)*(G444/48)^(2/3)))^2</f>
        <v>1.0280316656287049E-3</v>
      </c>
      <c r="M444" s="61">
        <f>L444*I444</f>
        <v>0.41224069791711065</v>
      </c>
      <c r="N444" s="68" t="s">
        <v>10</v>
      </c>
      <c r="O444" s="72" t="s">
        <v>130</v>
      </c>
      <c r="P444" s="61">
        <f>IF(ISBLANK(O444)=FALSE,(VLOOKUP(O444,table_MINOR,2,FALSE))*(K444)," ")</f>
        <v>3.3437424350357153E-2</v>
      </c>
      <c r="Q444" s="61">
        <f>SUM(P444:P445)</f>
        <v>3.3437424350357153E-2</v>
      </c>
      <c r="R444" s="61">
        <f>Q444+M444</f>
        <v>0.44567812226746784</v>
      </c>
      <c r="S444" s="61">
        <f>IF(O444="T-INTERSECTION",T444,(T444-K444))</f>
        <v>399.55567812226747</v>
      </c>
      <c r="T444" s="61">
        <f>IF(O444="T-INTERSECTION",(R444+F444-K444),(R444+F444))</f>
        <v>399.66713620343535</v>
      </c>
      <c r="U444" s="61">
        <f>VLOOKUP(C444,table_CIA_JCTS,26)</f>
        <v>406.2</v>
      </c>
      <c r="V444" s="61">
        <f>U444-0.5-S444</f>
        <v>6.1443218777325228</v>
      </c>
      <c r="W444" s="61" t="s">
        <v>10</v>
      </c>
      <c r="X444" s="69">
        <f>IF(B444&gt;0,VLOOKUP(B444,table_CIA_JCTS,28)," ")</f>
        <v>399.11</v>
      </c>
      <c r="Y444" s="1">
        <v>6.1443218777325228</v>
      </c>
      <c r="Z444" s="88">
        <f t="shared" si="4"/>
        <v>0</v>
      </c>
    </row>
    <row r="445" spans="2:26" x14ac:dyDescent="0.2">
      <c r="B445" s="216" t="s">
        <v>10</v>
      </c>
      <c r="C445" s="217" t="s">
        <v>10</v>
      </c>
      <c r="D445" s="62" t="s">
        <v>10</v>
      </c>
      <c r="E445" s="61" t="s">
        <v>10</v>
      </c>
      <c r="F445" s="61" t="s">
        <v>10</v>
      </c>
      <c r="G445" s="62" t="s">
        <v>10</v>
      </c>
      <c r="H445" s="60" t="s">
        <v>10</v>
      </c>
      <c r="I445" s="62" t="s">
        <v>10</v>
      </c>
      <c r="J445" s="61" t="s">
        <v>10</v>
      </c>
      <c r="K445" s="68">
        <f>K444</f>
        <v>0.11145808116785719</v>
      </c>
      <c r="L445" s="63" t="s">
        <v>10</v>
      </c>
      <c r="M445" s="61" t="s">
        <v>10</v>
      </c>
      <c r="N445" s="68" t="s">
        <v>10</v>
      </c>
      <c r="O445" s="52" t="s">
        <v>10</v>
      </c>
      <c r="P445" s="257" t="s">
        <v>10</v>
      </c>
      <c r="Q445" s="61" t="s">
        <v>10</v>
      </c>
      <c r="R445" s="61" t="s">
        <v>10</v>
      </c>
      <c r="S445" s="61" t="s">
        <v>10</v>
      </c>
      <c r="T445" s="61" t="s">
        <v>10</v>
      </c>
      <c r="U445" s="61" t="s">
        <v>10</v>
      </c>
      <c r="V445" s="61" t="s">
        <v>10</v>
      </c>
      <c r="W445" s="61" t="s">
        <v>10</v>
      </c>
      <c r="X445" s="69" t="s">
        <v>10</v>
      </c>
      <c r="Y445" s="1" t="s">
        <v>10</v>
      </c>
    </row>
    <row r="446" spans="2:26" x14ac:dyDescent="0.2">
      <c r="B446" s="216">
        <v>81.099999999999994</v>
      </c>
      <c r="C446" s="217">
        <v>81</v>
      </c>
      <c r="D446" s="58" t="s">
        <v>10</v>
      </c>
      <c r="E446" s="61">
        <f>IF(B446=0,cell_HGL,IF(VLOOKUP(B446,table_HGL_JCTS,17,FALSE)&lt;X446,X446,VLOOKUP(B446,table_HGL_JCTS,17,FALSE)))</f>
        <v>399.79</v>
      </c>
      <c r="F446" s="61">
        <f>IF(B446=0,(E446+K446),IF(VLOOKUP(B446,table_HGL_JCTS,13,FALSE)="T-INTERSECTION",(E446+K446),(IF(VLOOKUP(B446,table_HGL_JCTS,17,FALSE)&lt;X446,(E446+K446),VLOOKUP(B446,table_HGL_JCTS,18,FALSE)))))</f>
        <v>399.96940355266975</v>
      </c>
      <c r="G446" s="62">
        <f>VLOOKUP(C446,table_CIA_JCTS,18)</f>
        <v>24</v>
      </c>
      <c r="H446" s="60">
        <f>VLOOKUP(C446,table_CIA_JCTS,17)</f>
        <v>10.678477611078158</v>
      </c>
      <c r="I446" s="62">
        <f>VLOOKUP(C446,table_CIA_JCTS,21)</f>
        <v>79</v>
      </c>
      <c r="J446" s="61">
        <f>H446/((G446/12)^2*3.1416/4)</f>
        <v>3.3990570445244965</v>
      </c>
      <c r="K446" s="61">
        <f>(J446^2)/64.4</f>
        <v>0.17940355266974542</v>
      </c>
      <c r="L446" s="63">
        <f>(H446/((1.486/cell_NP)*((3.1416*(G446/12)^2)/4)*(G446/48)^(2/3)))^2</f>
        <v>2.2281238103977309E-3</v>
      </c>
      <c r="M446" s="61">
        <f>L446*I446</f>
        <v>0.17602178102142074</v>
      </c>
      <c r="N446" s="68" t="s">
        <v>10</v>
      </c>
      <c r="O446" s="72" t="s">
        <v>130</v>
      </c>
      <c r="P446" s="61">
        <f>IF(ISBLANK(O446)=FALSE,(VLOOKUP(O446,table_MINOR,2,FALSE))*(K446)," ")</f>
        <v>5.3821065800923627E-2</v>
      </c>
      <c r="Q446" s="61">
        <f>SUM(P446:P447)</f>
        <v>5.3821065800923627E-2</v>
      </c>
      <c r="R446" s="61">
        <f>Q446+M446</f>
        <v>0.22984284682234438</v>
      </c>
      <c r="S446" s="61">
        <f>IF(O446="T-INTERSECTION",T446,(T446-K446))</f>
        <v>400.01984284682237</v>
      </c>
      <c r="T446" s="61">
        <f>IF(O446="T-INTERSECTION",(R446+F446-K446),(R446+F446))</f>
        <v>400.1992463994921</v>
      </c>
      <c r="U446" s="61">
        <f>VLOOKUP(C446,table_CIA_JCTS,26)</f>
        <v>405.98</v>
      </c>
      <c r="V446" s="61">
        <f>U446-0.5-S446</f>
        <v>5.4601571531776472</v>
      </c>
      <c r="W446" s="61" t="s">
        <v>10</v>
      </c>
      <c r="X446" s="69">
        <f>IF(B446&gt;0,VLOOKUP(B446,table_CIA_JCTS,28)," ")</f>
        <v>399.79</v>
      </c>
      <c r="Y446" s="1">
        <v>5.4601571531776472</v>
      </c>
      <c r="Z446" s="88">
        <f t="shared" si="4"/>
        <v>0</v>
      </c>
    </row>
    <row r="447" spans="2:26" x14ac:dyDescent="0.2">
      <c r="B447" s="216" t="s">
        <v>10</v>
      </c>
      <c r="C447" s="217" t="s">
        <v>10</v>
      </c>
      <c r="D447" s="62" t="s">
        <v>10</v>
      </c>
      <c r="E447" s="61" t="s">
        <v>10</v>
      </c>
      <c r="F447" s="61" t="s">
        <v>10</v>
      </c>
      <c r="G447" s="62" t="s">
        <v>10</v>
      </c>
      <c r="H447" s="60" t="s">
        <v>10</v>
      </c>
      <c r="I447" s="62" t="s">
        <v>10</v>
      </c>
      <c r="J447" s="61" t="s">
        <v>10</v>
      </c>
      <c r="K447" s="68">
        <f>K446</f>
        <v>0.17940355266974542</v>
      </c>
      <c r="L447" s="63" t="s">
        <v>10</v>
      </c>
      <c r="M447" s="61" t="s">
        <v>10</v>
      </c>
      <c r="N447" s="68" t="s">
        <v>10</v>
      </c>
      <c r="O447" s="52" t="s">
        <v>10</v>
      </c>
      <c r="P447" s="257" t="s">
        <v>10</v>
      </c>
      <c r="Q447" s="61" t="s">
        <v>10</v>
      </c>
      <c r="R447" s="61" t="s">
        <v>10</v>
      </c>
      <c r="S447" s="61" t="s">
        <v>10</v>
      </c>
      <c r="T447" s="61" t="s">
        <v>10</v>
      </c>
      <c r="U447" s="61" t="s">
        <v>10</v>
      </c>
      <c r="V447" s="61" t="s">
        <v>10</v>
      </c>
      <c r="W447" s="61" t="s">
        <v>10</v>
      </c>
      <c r="X447" s="69" t="s">
        <v>10</v>
      </c>
      <c r="Y447" s="1" t="s">
        <v>10</v>
      </c>
    </row>
    <row r="448" spans="2:26" x14ac:dyDescent="0.2">
      <c r="B448" s="216">
        <v>81</v>
      </c>
      <c r="C448" s="217">
        <v>80</v>
      </c>
      <c r="D448" s="58" t="s">
        <v>10</v>
      </c>
      <c r="E448" s="61">
        <f>IF(B448=0,cell_HGL,IF(VLOOKUP(B448,table_HGL_JCTS,17,FALSE)&lt;X448,X448,VLOOKUP(B448,table_HGL_JCTS,17,FALSE)))</f>
        <v>400.1</v>
      </c>
      <c r="F448" s="61">
        <f>IF(B448=0,(E448+K448),IF(VLOOKUP(B448,table_HGL_JCTS,13,FALSE)="T-INTERSECTION",(E448+K448),(IF(VLOOKUP(B448,table_HGL_JCTS,17,FALSE)&lt;X448,(E448+K448),VLOOKUP(B448,table_HGL_JCTS,18,FALSE)))))</f>
        <v>400.20652823349008</v>
      </c>
      <c r="G448" s="62">
        <f>VLOOKUP(C448,table_CIA_JCTS,18)</f>
        <v>24</v>
      </c>
      <c r="H448" s="60">
        <f>VLOOKUP(C448,table_CIA_JCTS,17)</f>
        <v>8.2286044194792947</v>
      </c>
      <c r="I448" s="62">
        <f>VLOOKUP(C448,table_CIA_JCTS,21)</f>
        <v>802</v>
      </c>
      <c r="J448" s="61">
        <f>H448/((G448/12)^2*3.1416/4)</f>
        <v>2.619240011293384</v>
      </c>
      <c r="K448" s="61">
        <f>(J448^2)/64.4</f>
        <v>0.10652823349006468</v>
      </c>
      <c r="L448" s="63">
        <f>(H448/((1.486/cell_NP)*((3.1416*(G448/12)^2)/4)*(G448/48)^(2/3)))^2</f>
        <v>1.3230400958433757E-3</v>
      </c>
      <c r="M448" s="61">
        <f>L448*I448</f>
        <v>1.0610781568663874</v>
      </c>
      <c r="N448" s="68" t="s">
        <v>10</v>
      </c>
      <c r="O448" s="72" t="s">
        <v>156</v>
      </c>
      <c r="P448" s="61">
        <f>IF(ISBLANK(O448)=FALSE,(VLOOKUP(O448,table_MINOR,2,FALSE))*(K448)," ")</f>
        <v>7.9896175117548512E-2</v>
      </c>
      <c r="Q448" s="61">
        <f>SUM(P448:P449)</f>
        <v>7.9896175117548512E-2</v>
      </c>
      <c r="R448" s="61">
        <f>Q448+M448</f>
        <v>1.1409743319839358</v>
      </c>
      <c r="S448" s="61">
        <f>IF(O448="T-INTERSECTION",T448,(T448-K448))</f>
        <v>401.24097433198398</v>
      </c>
      <c r="T448" s="61">
        <f>IF(O448="T-INTERSECTION",(R448+F448-K448),(R448+F448))</f>
        <v>401.34750256547403</v>
      </c>
      <c r="U448" s="61">
        <f>VLOOKUP(C448,table_CIA_JCTS,26)</f>
        <v>410.54</v>
      </c>
      <c r="V448" s="61">
        <f>U448-0.5-S448</f>
        <v>8.7990256680160428</v>
      </c>
      <c r="W448" s="61" t="s">
        <v>10</v>
      </c>
      <c r="X448" s="69">
        <f>IF(B448&gt;0,VLOOKUP(B448,table_CIA_JCTS,28)," ")</f>
        <v>400.1</v>
      </c>
      <c r="Y448" s="1">
        <v>8.7990256680160428</v>
      </c>
      <c r="Z448" s="88">
        <f t="shared" si="4"/>
        <v>0</v>
      </c>
    </row>
    <row r="449" spans="2:26" x14ac:dyDescent="0.2">
      <c r="B449" s="216" t="s">
        <v>10</v>
      </c>
      <c r="C449" s="217" t="s">
        <v>10</v>
      </c>
      <c r="D449" s="62" t="s">
        <v>10</v>
      </c>
      <c r="E449" s="61" t="s">
        <v>10</v>
      </c>
      <c r="F449" s="61" t="s">
        <v>10</v>
      </c>
      <c r="G449" s="62" t="s">
        <v>10</v>
      </c>
      <c r="H449" s="60" t="s">
        <v>10</v>
      </c>
      <c r="I449" s="62" t="s">
        <v>10</v>
      </c>
      <c r="J449" s="61" t="s">
        <v>10</v>
      </c>
      <c r="K449" s="68">
        <f>K448</f>
        <v>0.10652823349006468</v>
      </c>
      <c r="L449" s="63" t="s">
        <v>10</v>
      </c>
      <c r="M449" s="61" t="s">
        <v>10</v>
      </c>
      <c r="N449" s="68" t="s">
        <v>10</v>
      </c>
      <c r="O449" s="52" t="s">
        <v>10</v>
      </c>
      <c r="P449" s="257" t="s">
        <v>10</v>
      </c>
      <c r="Q449" s="61" t="s">
        <v>10</v>
      </c>
      <c r="R449" s="61" t="s">
        <v>10</v>
      </c>
      <c r="S449" s="61" t="s">
        <v>10</v>
      </c>
      <c r="T449" s="61" t="s">
        <v>10</v>
      </c>
      <c r="U449" s="61" t="s">
        <v>10</v>
      </c>
      <c r="V449" s="61" t="s">
        <v>10</v>
      </c>
      <c r="W449" s="61" t="s">
        <v>10</v>
      </c>
      <c r="X449" s="69" t="s">
        <v>10</v>
      </c>
      <c r="Y449" s="1" t="s">
        <v>10</v>
      </c>
    </row>
    <row r="450" spans="2:26" x14ac:dyDescent="0.2">
      <c r="B450" s="216">
        <v>80</v>
      </c>
      <c r="C450" s="217">
        <v>78.099999999999994</v>
      </c>
      <c r="D450" s="58" t="s">
        <v>10</v>
      </c>
      <c r="E450" s="61">
        <f>IF(B450=0,cell_HGL,IF(VLOOKUP(B450,table_HGL_JCTS,17,FALSE)&lt;X450,X450,VLOOKUP(B450,table_HGL_JCTS,17,FALSE)))</f>
        <v>403.14</v>
      </c>
      <c r="F450" s="61">
        <f>IF(B450=0,(E450+K450),IF(VLOOKUP(B450,table_HGL_JCTS,13,FALSE)="T-INTERSECTION",(E450+K450),(IF(VLOOKUP(B450,table_HGL_JCTS,17,FALSE)&lt;X450,(E450+K450),VLOOKUP(B450,table_HGL_JCTS,18,FALSE)))))</f>
        <v>403.18144706710382</v>
      </c>
      <c r="G450" s="62">
        <f>VLOOKUP(C450,table_CIA_JCTS,18)</f>
        <v>24</v>
      </c>
      <c r="H450" s="60">
        <f>VLOOKUP(C450,table_CIA_JCTS,17)</f>
        <v>5.1326390528592691</v>
      </c>
      <c r="I450" s="62">
        <f>VLOOKUP(C450,table_CIA_JCTS,21)</f>
        <v>293</v>
      </c>
      <c r="J450" s="61">
        <f>H450/((G450/12)^2*3.1416/4)</f>
        <v>1.6337659322826805</v>
      </c>
      <c r="K450" s="61">
        <f>(J450^2)/64.4</f>
        <v>4.1447067103843105E-2</v>
      </c>
      <c r="L450" s="63">
        <f>(H450/((1.486/cell_NP)*((3.1416*(G450/12)^2)/4)*(G450/48)^(2/3)))^2</f>
        <v>5.1475679110561516E-4</v>
      </c>
      <c r="M450" s="61">
        <f>L450*I450</f>
        <v>0.15082373979394523</v>
      </c>
      <c r="N450" s="68" t="s">
        <v>10</v>
      </c>
      <c r="O450" s="72" t="s">
        <v>129</v>
      </c>
      <c r="P450" s="61">
        <f>IF(ISBLANK(O450)=FALSE,(VLOOKUP(O450,table_MINOR,2,FALSE))*(K450)," ")</f>
        <v>2.0723533551921552E-2</v>
      </c>
      <c r="Q450" s="61">
        <f>SUM(P450:P452)</f>
        <v>3.3157653683074481E-2</v>
      </c>
      <c r="R450" s="61">
        <f>Q450+M450</f>
        <v>0.18398139347701969</v>
      </c>
      <c r="S450" s="61">
        <f>IF(O450="T-INTERSECTION",T450,(T450-K450))</f>
        <v>403.32398139347703</v>
      </c>
      <c r="T450" s="61">
        <f>IF(O450="T-INTERSECTION",(R450+F450-K450),(R450+F450))</f>
        <v>403.36542846058086</v>
      </c>
      <c r="U450" s="61">
        <f>VLOOKUP(C450,table_CIA_JCTS,26)</f>
        <v>411.28</v>
      </c>
      <c r="V450" s="61">
        <f>U450-0.5-S450</f>
        <v>7.4560186065229459</v>
      </c>
      <c r="W450" s="61" t="s">
        <v>10</v>
      </c>
      <c r="X450" s="69">
        <f>IF(B450&gt;0,VLOOKUP(B450,table_CIA_JCTS,28)," ")</f>
        <v>403.14</v>
      </c>
      <c r="Y450" s="1">
        <v>7.4560186065229459</v>
      </c>
      <c r="Z450" s="88">
        <f t="shared" si="4"/>
        <v>0</v>
      </c>
    </row>
    <row r="451" spans="2:26" x14ac:dyDescent="0.2">
      <c r="B451" s="216" t="s">
        <v>10</v>
      </c>
      <c r="C451" s="217" t="s">
        <v>10</v>
      </c>
      <c r="D451" s="62" t="s">
        <v>10</v>
      </c>
      <c r="E451" s="61" t="s">
        <v>10</v>
      </c>
      <c r="F451" s="61" t="s">
        <v>10</v>
      </c>
      <c r="G451" s="62" t="s">
        <v>10</v>
      </c>
      <c r="H451" s="60" t="s">
        <v>10</v>
      </c>
      <c r="I451" s="62" t="s">
        <v>10</v>
      </c>
      <c r="J451" s="61" t="s">
        <v>10</v>
      </c>
      <c r="K451" s="68">
        <f>K450</f>
        <v>4.1447067103843105E-2</v>
      </c>
      <c r="L451" s="63" t="s">
        <v>10</v>
      </c>
      <c r="M451" s="61" t="s">
        <v>10</v>
      </c>
      <c r="N451" s="68" t="s">
        <v>10</v>
      </c>
      <c r="O451" s="52" t="s">
        <v>130</v>
      </c>
      <c r="P451" s="61">
        <f>IF(ISBLANK(O451)=FALSE,(VLOOKUP(O451,table_MINOR,2,FALSE))*(K451)," ")</f>
        <v>1.243412013115293E-2</v>
      </c>
      <c r="Q451" s="61" t="s">
        <v>10</v>
      </c>
      <c r="R451" s="61" t="s">
        <v>10</v>
      </c>
      <c r="S451" s="61" t="s">
        <v>10</v>
      </c>
      <c r="T451" s="61" t="s">
        <v>10</v>
      </c>
      <c r="U451" s="61" t="s">
        <v>10</v>
      </c>
      <c r="V451" s="61" t="s">
        <v>10</v>
      </c>
      <c r="W451" s="61" t="s">
        <v>10</v>
      </c>
      <c r="X451" s="69" t="s">
        <v>10</v>
      </c>
      <c r="Y451" s="1" t="s">
        <v>10</v>
      </c>
    </row>
    <row r="452" spans="2:26" x14ac:dyDescent="0.2">
      <c r="B452" s="216" t="s">
        <v>10</v>
      </c>
      <c r="C452" s="217" t="s">
        <v>10</v>
      </c>
      <c r="D452" s="62" t="s">
        <v>10</v>
      </c>
      <c r="E452" s="61" t="s">
        <v>10</v>
      </c>
      <c r="F452" s="61" t="s">
        <v>10</v>
      </c>
      <c r="G452" s="62" t="s">
        <v>10</v>
      </c>
      <c r="H452" s="60" t="s">
        <v>10</v>
      </c>
      <c r="I452" s="62" t="s">
        <v>10</v>
      </c>
      <c r="J452" s="61" t="s">
        <v>10</v>
      </c>
      <c r="K452" s="68">
        <f>K451</f>
        <v>4.1447067103843105E-2</v>
      </c>
      <c r="L452" s="63" t="s">
        <v>10</v>
      </c>
      <c r="M452" s="61" t="s">
        <v>10</v>
      </c>
      <c r="N452" s="68" t="s">
        <v>10</v>
      </c>
      <c r="O452" s="52" t="s">
        <v>10</v>
      </c>
      <c r="P452" s="257" t="s">
        <v>10</v>
      </c>
      <c r="Q452" s="61" t="s">
        <v>10</v>
      </c>
      <c r="R452" s="61" t="s">
        <v>10</v>
      </c>
      <c r="S452" s="61" t="s">
        <v>10</v>
      </c>
      <c r="T452" s="61" t="s">
        <v>10</v>
      </c>
      <c r="U452" s="61" t="s">
        <v>10</v>
      </c>
      <c r="V452" s="61" t="s">
        <v>10</v>
      </c>
      <c r="W452" s="61" t="s">
        <v>10</v>
      </c>
      <c r="X452" s="69" t="s">
        <v>10</v>
      </c>
      <c r="Y452" s="1" t="s">
        <v>10</v>
      </c>
    </row>
    <row r="453" spans="2:26" x14ac:dyDescent="0.2">
      <c r="B453" s="216">
        <v>78.099999999999994</v>
      </c>
      <c r="C453" s="217">
        <v>78</v>
      </c>
      <c r="D453" s="58" t="s">
        <v>10</v>
      </c>
      <c r="E453" s="61">
        <f>IF(B453=0,cell_HGL,IF(VLOOKUP(B453,table_HGL_JCTS,17,FALSE)&lt;X453,X453,VLOOKUP(B453,table_HGL_JCTS,17,FALSE)))</f>
        <v>407.18</v>
      </c>
      <c r="F453" s="61">
        <f>IF(B453=0,(E453+K453),IF(VLOOKUP(B453,table_HGL_JCTS,13,FALSE)="T-INTERSECTION",(E453+K453),(IF(VLOOKUP(B453,table_HGL_JCTS,17,FALSE)&lt;X453,(E453+K453),VLOOKUP(B453,table_HGL_JCTS,18,FALSE)))))</f>
        <v>407.22443199018221</v>
      </c>
      <c r="G453" s="62">
        <f>VLOOKUP(C453,table_CIA_JCTS,18)</f>
        <v>18</v>
      </c>
      <c r="H453" s="60">
        <f>VLOOKUP(C453,table_CIA_JCTS,17)</f>
        <v>2.9892637249513179</v>
      </c>
      <c r="I453" s="62">
        <f>VLOOKUP(C453,table_CIA_JCTS,21)</f>
        <v>37</v>
      </c>
      <c r="J453" s="61">
        <f>H453/((G453/12)^2*3.1416/4)</f>
        <v>1.6915732818104394</v>
      </c>
      <c r="K453" s="61">
        <f>(J453^2)/64.4</f>
        <v>4.443199018221957E-2</v>
      </c>
      <c r="L453" s="63">
        <f>(H453/((1.486/cell_NP)*((3.1416*(G453/12)^2)/4)*(G453/48)^(2/3)))^2</f>
        <v>8.0982099013700716E-4</v>
      </c>
      <c r="M453" s="61">
        <f>L453*I453</f>
        <v>2.9963376635069264E-2</v>
      </c>
      <c r="N453" s="68" t="s">
        <v>10</v>
      </c>
      <c r="O453" s="52" t="s">
        <v>10</v>
      </c>
      <c r="P453" s="257" t="s">
        <v>10</v>
      </c>
      <c r="Q453" s="61">
        <f>SUM(P453)</f>
        <v>0</v>
      </c>
      <c r="R453" s="61">
        <f>Q453+M453</f>
        <v>2.9963376635069264E-2</v>
      </c>
      <c r="S453" s="61">
        <f>IF(O453="T-INTERSECTION",T453,(T453-K453))</f>
        <v>407.20996337663507</v>
      </c>
      <c r="T453" s="61">
        <f>IF(O453="T-INTERSECTION",(R453+F453-K453),(R453+F453))</f>
        <v>407.25439536681728</v>
      </c>
      <c r="U453" s="61">
        <f>VLOOKUP(C453,table_CIA_JCTS,26)</f>
        <v>411.37</v>
      </c>
      <c r="V453" s="61">
        <f>U453-0.5-S453</f>
        <v>3.6600366233649311</v>
      </c>
      <c r="W453" s="61" t="s">
        <v>10</v>
      </c>
      <c r="X453" s="69">
        <f>IF(B453&gt;0,VLOOKUP(B453,table_CIA_JCTS,28)," ")</f>
        <v>407.18</v>
      </c>
      <c r="Y453" s="1">
        <v>3.6600366233649311</v>
      </c>
      <c r="Z453" s="88">
        <f t="shared" ref="Z453:Z514" si="5">V453-Y453</f>
        <v>0</v>
      </c>
    </row>
    <row r="454" spans="2:26" x14ac:dyDescent="0.2">
      <c r="B454" s="216" t="s">
        <v>10</v>
      </c>
      <c r="C454" s="217" t="s">
        <v>10</v>
      </c>
      <c r="D454" s="62" t="s">
        <v>10</v>
      </c>
      <c r="E454" s="61" t="s">
        <v>10</v>
      </c>
      <c r="F454" s="61" t="s">
        <v>10</v>
      </c>
      <c r="G454" s="62" t="s">
        <v>10</v>
      </c>
      <c r="H454" s="60" t="s">
        <v>10</v>
      </c>
      <c r="I454" s="62" t="s">
        <v>10</v>
      </c>
      <c r="J454" s="61" t="s">
        <v>10</v>
      </c>
      <c r="K454" s="68" t="s">
        <v>10</v>
      </c>
      <c r="L454" s="63" t="s">
        <v>10</v>
      </c>
      <c r="M454" s="61" t="s">
        <v>10</v>
      </c>
      <c r="N454" s="68" t="s">
        <v>10</v>
      </c>
      <c r="O454" s="52" t="s">
        <v>176</v>
      </c>
      <c r="P454" s="61" t="s">
        <v>10</v>
      </c>
      <c r="Q454" s="61" t="s">
        <v>10</v>
      </c>
      <c r="R454" s="61" t="s">
        <v>10</v>
      </c>
      <c r="S454" s="61" t="s">
        <v>10</v>
      </c>
      <c r="T454" s="61" t="s">
        <v>10</v>
      </c>
      <c r="U454" s="61" t="s">
        <v>10</v>
      </c>
      <c r="V454" s="61" t="s">
        <v>10</v>
      </c>
      <c r="W454" s="61" t="s">
        <v>10</v>
      </c>
      <c r="X454" s="69" t="s">
        <v>10</v>
      </c>
      <c r="Y454" s="1" t="s">
        <v>10</v>
      </c>
    </row>
    <row r="455" spans="2:26" x14ac:dyDescent="0.2">
      <c r="B455" s="216" t="s">
        <v>10</v>
      </c>
      <c r="C455" s="217" t="s">
        <v>10</v>
      </c>
      <c r="D455" s="62" t="s">
        <v>10</v>
      </c>
      <c r="E455" s="61" t="s">
        <v>10</v>
      </c>
      <c r="F455" s="61" t="s">
        <v>10</v>
      </c>
      <c r="G455" s="62" t="s">
        <v>10</v>
      </c>
      <c r="H455" s="60" t="s">
        <v>10</v>
      </c>
      <c r="I455" s="62" t="s">
        <v>10</v>
      </c>
      <c r="J455" s="61" t="s">
        <v>10</v>
      </c>
      <c r="K455" s="68" t="s">
        <v>10</v>
      </c>
      <c r="L455" s="63" t="s">
        <v>10</v>
      </c>
      <c r="M455" s="61" t="s">
        <v>10</v>
      </c>
      <c r="N455" s="68" t="s">
        <v>10</v>
      </c>
      <c r="O455" s="52" t="s">
        <v>176</v>
      </c>
      <c r="P455" s="61" t="s">
        <v>10</v>
      </c>
      <c r="Q455" s="61" t="s">
        <v>10</v>
      </c>
      <c r="R455" s="61" t="s">
        <v>10</v>
      </c>
      <c r="S455" s="61" t="s">
        <v>10</v>
      </c>
      <c r="T455" s="61" t="s">
        <v>10</v>
      </c>
      <c r="U455" s="61" t="s">
        <v>10</v>
      </c>
      <c r="V455" s="61" t="s">
        <v>10</v>
      </c>
      <c r="W455" s="61" t="s">
        <v>10</v>
      </c>
      <c r="X455" s="69" t="s">
        <v>10</v>
      </c>
      <c r="Y455" s="1" t="s">
        <v>10</v>
      </c>
    </row>
    <row r="456" spans="2:26" x14ac:dyDescent="0.2">
      <c r="B456" s="216">
        <v>98</v>
      </c>
      <c r="C456" s="217">
        <v>97.1</v>
      </c>
      <c r="D456" s="58" t="s">
        <v>10</v>
      </c>
      <c r="E456" s="61">
        <f>IF(B456=0,cell_HGL,IF(VLOOKUP(B456,table_HGL_JCTS,17,FALSE)&lt;X456,X456,VLOOKUP(B456,table_HGL_JCTS,17,FALSE)))</f>
        <v>387.35939155131246</v>
      </c>
      <c r="F456" s="61">
        <f>IF(B456=0,(E456+K456),IF(VLOOKUP(B456,table_HGL_JCTS,13,FALSE)="T-INTERSECTION",(E456+K456),(IF(VLOOKUP(B456,table_HGL_JCTS,17,FALSE)&lt;X456,(E456+K456),VLOOKUP(B456,table_HGL_JCTS,18,FALSE)))))</f>
        <v>387.63183672453073</v>
      </c>
      <c r="G456" s="62">
        <f>VLOOKUP(C456,table_CIA_JCTS,18)</f>
        <v>18</v>
      </c>
      <c r="H456" s="60">
        <f>VLOOKUP(C456,table_CIA_JCTS,17)</f>
        <v>0.85818336991058375</v>
      </c>
      <c r="I456" s="62">
        <f>VLOOKUP(C456,table_CIA_JCTS,21)</f>
        <v>178</v>
      </c>
      <c r="J456" s="61">
        <f>H456/((G456/12)^2*3.1416/4)</f>
        <v>0.48563131025129941</v>
      </c>
      <c r="K456" s="61">
        <f>(J456^2)/64.4</f>
        <v>3.6620771660930713E-3</v>
      </c>
      <c r="L456" s="63">
        <f>(H456/((1.486/cell_NP)*((3.1416*(G456/12)^2)/4)*(G456/48)^(2/3)))^2</f>
        <v>6.6745309954411569E-5</v>
      </c>
      <c r="M456" s="61">
        <f>L456*I456</f>
        <v>1.188066517188526E-2</v>
      </c>
      <c r="N456" s="68" t="s">
        <v>10</v>
      </c>
      <c r="O456" s="52" t="s">
        <v>10</v>
      </c>
      <c r="P456" s="257" t="s">
        <v>10</v>
      </c>
      <c r="Q456" s="61">
        <f>SUM(P456)</f>
        <v>0</v>
      </c>
      <c r="R456" s="61">
        <f>Q456+M456</f>
        <v>1.188066517188526E-2</v>
      </c>
      <c r="S456" s="61">
        <f>IF(O456="T-INTERSECTION",T456,(T456-K456))</f>
        <v>387.6400553125365</v>
      </c>
      <c r="T456" s="61">
        <f>IF(O456="T-INTERSECTION",(R456+F456-K456),(R456+F456))</f>
        <v>387.6437173897026</v>
      </c>
      <c r="U456" s="61">
        <f>VLOOKUP(C456,table_CIA_JCTS,26)</f>
        <v>389.51</v>
      </c>
      <c r="V456" s="277">
        <f>U456-0.5-S456</f>
        <v>1.3699446874634873</v>
      </c>
      <c r="W456" s="61" t="s">
        <v>10</v>
      </c>
      <c r="X456" s="69">
        <f>IF(B456&gt;0,VLOOKUP(B456,table_CIA_JCTS,28)," ")</f>
        <v>383.73</v>
      </c>
      <c r="Y456" s="1">
        <v>2.31</v>
      </c>
      <c r="Z456" s="88">
        <f t="shared" si="5"/>
        <v>-0.94005531253651275</v>
      </c>
    </row>
    <row r="457" spans="2:26" x14ac:dyDescent="0.2">
      <c r="B457" s="216" t="s">
        <v>10</v>
      </c>
      <c r="C457" s="217" t="s">
        <v>10</v>
      </c>
      <c r="D457" s="62" t="s">
        <v>10</v>
      </c>
      <c r="E457" s="61" t="s">
        <v>10</v>
      </c>
      <c r="F457" s="61" t="s">
        <v>10</v>
      </c>
      <c r="G457" s="62" t="s">
        <v>10</v>
      </c>
      <c r="H457" s="60" t="s">
        <v>10</v>
      </c>
      <c r="I457" s="62" t="s">
        <v>10</v>
      </c>
      <c r="J457" s="61" t="s">
        <v>10</v>
      </c>
      <c r="K457" s="68" t="s">
        <v>10</v>
      </c>
      <c r="L457" s="63" t="s">
        <v>10</v>
      </c>
      <c r="M457" s="61" t="s">
        <v>10</v>
      </c>
      <c r="N457" s="68" t="s">
        <v>10</v>
      </c>
      <c r="O457" s="52" t="s">
        <v>176</v>
      </c>
      <c r="P457" s="61" t="s">
        <v>10</v>
      </c>
      <c r="Q457" s="61" t="s">
        <v>10</v>
      </c>
      <c r="R457" s="61" t="s">
        <v>10</v>
      </c>
      <c r="S457" s="61" t="s">
        <v>10</v>
      </c>
      <c r="T457" s="61" t="s">
        <v>10</v>
      </c>
      <c r="U457" s="61" t="s">
        <v>10</v>
      </c>
      <c r="V457" s="61" t="s">
        <v>10</v>
      </c>
      <c r="W457" s="61" t="s">
        <v>10</v>
      </c>
      <c r="X457" s="69" t="s">
        <v>10</v>
      </c>
      <c r="Y457" s="1" t="s">
        <v>10</v>
      </c>
    </row>
    <row r="458" spans="2:26" x14ac:dyDescent="0.2">
      <c r="B458" s="216">
        <v>97.1</v>
      </c>
      <c r="C458" s="217">
        <v>97</v>
      </c>
      <c r="D458" s="58" t="s">
        <v>10</v>
      </c>
      <c r="E458" s="61">
        <f>IF(B458=0,cell_HGL,IF(VLOOKUP(B458,table_HGL_JCTS,17,FALSE)&lt;X458,X458,VLOOKUP(B458,table_HGL_JCTS,17,FALSE)))</f>
        <v>387.6400553125365</v>
      </c>
      <c r="F458" s="61">
        <f>IF(B458=0,(E458+K458),IF(VLOOKUP(B458,table_HGL_JCTS,13,FALSE)="T-INTERSECTION",(E458+K458),(IF(VLOOKUP(B458,table_HGL_JCTS,17,FALSE)&lt;X458,(E458+K458),VLOOKUP(B458,table_HGL_JCTS,18,FALSE)))))</f>
        <v>387.6437173897026</v>
      </c>
      <c r="G458" s="62">
        <f>VLOOKUP(C458,table_CIA_JCTS,18)</f>
        <v>18</v>
      </c>
      <c r="H458" s="60">
        <f>VLOOKUP(C458,table_CIA_JCTS,17)</f>
        <v>2.3754480846163593</v>
      </c>
      <c r="I458" s="62">
        <f>VLOOKUP(C458,table_CIA_JCTS,21)</f>
        <v>240</v>
      </c>
      <c r="J458" s="61">
        <f>H458/((G458/12)^2*3.1416/4)</f>
        <v>1.3442254956378119</v>
      </c>
      <c r="K458" s="61">
        <f>(J458^2)/64.4</f>
        <v>2.8058108433582623E-2</v>
      </c>
      <c r="L458" s="63">
        <f>(H458/((1.486/cell_NP)*((3.1416*(G458/12)^2)/4)*(G458/48)^(2/3)))^2</f>
        <v>5.1138931791869452E-4</v>
      </c>
      <c r="M458" s="61">
        <f>L458*I458</f>
        <v>0.12273343630048669</v>
      </c>
      <c r="N458" s="68" t="s">
        <v>10</v>
      </c>
      <c r="O458" s="72" t="s">
        <v>129</v>
      </c>
      <c r="P458" s="61">
        <f>IF(ISBLANK(O458)=FALSE,(VLOOKUP(O458,table_MINOR,2,FALSE))*(K458)," ")</f>
        <v>1.4029054216791311E-2</v>
      </c>
      <c r="Q458" s="61">
        <f>SUM(P458:P459)</f>
        <v>1.4029054216791311E-2</v>
      </c>
      <c r="R458" s="61">
        <f>Q458+M458</f>
        <v>0.13676249051727801</v>
      </c>
      <c r="S458" s="61">
        <f>IF(O458="T-INTERSECTION",T458,(T458-K458))</f>
        <v>387.75242177178632</v>
      </c>
      <c r="T458" s="61">
        <f>IF(O458="T-INTERSECTION",(R458+F458-K458),(R458+F458))</f>
        <v>387.7804798802199</v>
      </c>
      <c r="U458" s="61">
        <f>VLOOKUP(C458,table_CIA_JCTS,26)</f>
        <v>389.5</v>
      </c>
      <c r="V458" s="277">
        <f>U458-0.5-S458</f>
        <v>1.2475782282136834</v>
      </c>
      <c r="W458" s="61" t="s">
        <v>10</v>
      </c>
      <c r="X458" s="69" t="str">
        <f>IF(B458&gt;0,VLOOKUP(B458,table_CIA_JCTS,28)," ")</f>
        <v xml:space="preserve"> </v>
      </c>
      <c r="Y458" s="1">
        <v>2.19</v>
      </c>
      <c r="Z458" s="88">
        <f t="shared" si="5"/>
        <v>-0.94242177178631659</v>
      </c>
    </row>
    <row r="459" spans="2:26" x14ac:dyDescent="0.2">
      <c r="B459" s="216" t="s">
        <v>10</v>
      </c>
      <c r="C459" s="217" t="s">
        <v>10</v>
      </c>
      <c r="D459" s="62" t="s">
        <v>10</v>
      </c>
      <c r="E459" s="61" t="s">
        <v>10</v>
      </c>
      <c r="F459" s="61" t="s">
        <v>10</v>
      </c>
      <c r="G459" s="62" t="s">
        <v>10</v>
      </c>
      <c r="H459" s="60" t="s">
        <v>10</v>
      </c>
      <c r="I459" s="62" t="s">
        <v>10</v>
      </c>
      <c r="J459" s="61" t="s">
        <v>10</v>
      </c>
      <c r="K459" s="68">
        <f>K458</f>
        <v>2.8058108433582623E-2</v>
      </c>
      <c r="L459" s="63" t="s">
        <v>10</v>
      </c>
      <c r="M459" s="61" t="s">
        <v>10</v>
      </c>
      <c r="N459" s="68" t="s">
        <v>10</v>
      </c>
      <c r="O459" s="52" t="s">
        <v>10</v>
      </c>
      <c r="P459" s="257" t="s">
        <v>10</v>
      </c>
      <c r="Q459" s="61" t="s">
        <v>10</v>
      </c>
      <c r="R459" s="61" t="s">
        <v>10</v>
      </c>
      <c r="S459" s="61" t="s">
        <v>10</v>
      </c>
      <c r="T459" s="61" t="s">
        <v>10</v>
      </c>
      <c r="U459" s="61" t="s">
        <v>10</v>
      </c>
      <c r="V459" s="61" t="s">
        <v>10</v>
      </c>
      <c r="W459" s="61" t="s">
        <v>10</v>
      </c>
      <c r="X459" s="69" t="s">
        <v>10</v>
      </c>
      <c r="Y459" s="1" t="s">
        <v>10</v>
      </c>
    </row>
    <row r="460" spans="2:26" x14ac:dyDescent="0.2">
      <c r="B460" s="216">
        <v>97</v>
      </c>
      <c r="C460" s="217">
        <v>96.1</v>
      </c>
      <c r="D460" s="58" t="s">
        <v>10</v>
      </c>
      <c r="E460" s="61">
        <f>IF(B460=0,cell_HGL,IF(VLOOKUP(B460,table_HGL_JCTS,17,FALSE)&lt;X460,X460,VLOOKUP(B460,table_HGL_JCTS,17,FALSE)))</f>
        <v>387.75242177178632</v>
      </c>
      <c r="F460" s="61">
        <f>IF(B460=0,(E460+K460),IF(VLOOKUP(B460,table_HGL_JCTS,13,FALSE)="T-INTERSECTION",(E460+K460),(IF(VLOOKUP(B460,table_HGL_JCTS,17,FALSE)&lt;X460,(E460+K460),VLOOKUP(B460,table_HGL_JCTS,18,FALSE)))))</f>
        <v>387.7804798802199</v>
      </c>
      <c r="G460" s="62">
        <f>VLOOKUP(C460,table_CIA_JCTS,18)</f>
        <v>18</v>
      </c>
      <c r="H460" s="60">
        <f>VLOOKUP(C460,table_CIA_JCTS,17)</f>
        <v>1.8205047056959742</v>
      </c>
      <c r="I460" s="62">
        <f>VLOOKUP(C460,table_CIA_JCTS,21)</f>
        <v>436</v>
      </c>
      <c r="J460" s="61">
        <f>H460/((G460/12)^2*3.1416/4)</f>
        <v>1.0301925165922385</v>
      </c>
      <c r="K460" s="61">
        <f>(J460^2)/64.4</f>
        <v>1.6479761199420025E-2</v>
      </c>
      <c r="L460" s="63">
        <f>(H460/((1.486/cell_NP)*((3.1416*(G460/12)^2)/4)*(G460/48)^(2/3)))^2</f>
        <v>3.0036143951697926E-4</v>
      </c>
      <c r="M460" s="61">
        <f>L460*I460</f>
        <v>0.13095758762940296</v>
      </c>
      <c r="N460" s="68" t="s">
        <v>10</v>
      </c>
      <c r="O460" s="52" t="s">
        <v>10</v>
      </c>
      <c r="P460" s="257" t="s">
        <v>10</v>
      </c>
      <c r="Q460" s="61">
        <f>SUM(P460)</f>
        <v>0</v>
      </c>
      <c r="R460" s="61">
        <f>Q460+M460</f>
        <v>0.13095758762940296</v>
      </c>
      <c r="S460" s="61">
        <f>IF(O460="T-INTERSECTION",T460,(T460-K460))</f>
        <v>387.89495770664985</v>
      </c>
      <c r="T460" s="61">
        <f>IF(O460="T-INTERSECTION",(R460+F460-K460),(R460+F460))</f>
        <v>387.91143746784928</v>
      </c>
      <c r="U460" s="61">
        <f>VLOOKUP(C460,table_CIA_JCTS,26)</f>
        <v>390</v>
      </c>
      <c r="V460" s="277">
        <f>U460-0.5-S460</f>
        <v>1.6050422933501522</v>
      </c>
      <c r="W460" s="61" t="s">
        <v>10</v>
      </c>
      <c r="X460" s="69" t="str">
        <f>IF(B460&gt;0,VLOOKUP(B460,table_CIA_JCTS,28)," ")</f>
        <v xml:space="preserve"> </v>
      </c>
      <c r="Y460" s="1">
        <v>2.54</v>
      </c>
      <c r="Z460" s="88">
        <f t="shared" si="5"/>
        <v>-0.93495770664984779</v>
      </c>
    </row>
    <row r="461" spans="2:26" x14ac:dyDescent="0.2">
      <c r="B461" s="216" t="s">
        <v>10</v>
      </c>
      <c r="C461" s="217" t="s">
        <v>10</v>
      </c>
      <c r="D461" s="62" t="s">
        <v>10</v>
      </c>
      <c r="E461" s="61" t="s">
        <v>10</v>
      </c>
      <c r="F461" s="61" t="s">
        <v>10</v>
      </c>
      <c r="G461" s="62" t="s">
        <v>10</v>
      </c>
      <c r="H461" s="60" t="s">
        <v>10</v>
      </c>
      <c r="I461" s="62" t="s">
        <v>10</v>
      </c>
      <c r="J461" s="61" t="s">
        <v>10</v>
      </c>
      <c r="K461" s="68" t="s">
        <v>10</v>
      </c>
      <c r="L461" s="63" t="s">
        <v>10</v>
      </c>
      <c r="M461" s="61" t="s">
        <v>10</v>
      </c>
      <c r="N461" s="68" t="s">
        <v>10</v>
      </c>
      <c r="O461" s="52" t="s">
        <v>176</v>
      </c>
      <c r="P461" s="61" t="s">
        <v>10</v>
      </c>
      <c r="Q461" s="61" t="s">
        <v>10</v>
      </c>
      <c r="R461" s="61" t="s">
        <v>10</v>
      </c>
      <c r="S461" s="61" t="s">
        <v>10</v>
      </c>
      <c r="T461" s="61" t="s">
        <v>10</v>
      </c>
      <c r="U461" s="61" t="s">
        <v>10</v>
      </c>
      <c r="V461" s="61" t="s">
        <v>10</v>
      </c>
      <c r="W461" s="61" t="s">
        <v>10</v>
      </c>
      <c r="X461" s="69" t="s">
        <v>10</v>
      </c>
      <c r="Y461" s="1" t="s">
        <v>10</v>
      </c>
    </row>
    <row r="462" spans="2:26" x14ac:dyDescent="0.2">
      <c r="B462" s="216" t="s">
        <v>10</v>
      </c>
      <c r="C462" s="217" t="s">
        <v>10</v>
      </c>
      <c r="D462" s="62" t="s">
        <v>10</v>
      </c>
      <c r="E462" s="61" t="s">
        <v>10</v>
      </c>
      <c r="F462" s="61" t="s">
        <v>10</v>
      </c>
      <c r="G462" s="62" t="s">
        <v>10</v>
      </c>
      <c r="H462" s="60" t="s">
        <v>10</v>
      </c>
      <c r="I462" s="62" t="s">
        <v>10</v>
      </c>
      <c r="J462" s="61" t="s">
        <v>10</v>
      </c>
      <c r="K462" s="68" t="s">
        <v>10</v>
      </c>
      <c r="L462" s="63" t="s">
        <v>10</v>
      </c>
      <c r="M462" s="61" t="s">
        <v>10</v>
      </c>
      <c r="N462" s="68" t="s">
        <v>10</v>
      </c>
      <c r="O462" s="52" t="s">
        <v>176</v>
      </c>
      <c r="P462" s="61" t="s">
        <v>10</v>
      </c>
      <c r="Q462" s="61" t="s">
        <v>10</v>
      </c>
      <c r="R462" s="61" t="s">
        <v>10</v>
      </c>
      <c r="S462" s="61" t="s">
        <v>10</v>
      </c>
      <c r="T462" s="61" t="s">
        <v>10</v>
      </c>
      <c r="U462" s="61" t="s">
        <v>10</v>
      </c>
      <c r="V462" s="61" t="s">
        <v>10</v>
      </c>
      <c r="W462" s="61" t="s">
        <v>10</v>
      </c>
      <c r="X462" s="69" t="s">
        <v>10</v>
      </c>
      <c r="Y462" s="1" t="s">
        <v>10</v>
      </c>
    </row>
    <row r="463" spans="2:26" x14ac:dyDescent="0.2">
      <c r="B463" s="216" t="s">
        <v>10</v>
      </c>
      <c r="C463" s="217" t="s">
        <v>10</v>
      </c>
      <c r="D463" s="62" t="s">
        <v>10</v>
      </c>
      <c r="E463" s="61" t="s">
        <v>10</v>
      </c>
      <c r="F463" s="61" t="s">
        <v>10</v>
      </c>
      <c r="G463" s="62" t="s">
        <v>10</v>
      </c>
      <c r="H463" s="60" t="s">
        <v>10</v>
      </c>
      <c r="I463" s="62" t="s">
        <v>10</v>
      </c>
      <c r="J463" s="61" t="s">
        <v>10</v>
      </c>
      <c r="K463" s="68" t="s">
        <v>10</v>
      </c>
      <c r="L463" s="63" t="s">
        <v>10</v>
      </c>
      <c r="M463" s="61" t="s">
        <v>10</v>
      </c>
      <c r="N463" s="68" t="s">
        <v>10</v>
      </c>
      <c r="O463" s="52" t="s">
        <v>176</v>
      </c>
      <c r="P463" s="61" t="s">
        <v>10</v>
      </c>
      <c r="Q463" s="61" t="s">
        <v>10</v>
      </c>
      <c r="R463" s="61" t="s">
        <v>10</v>
      </c>
      <c r="S463" s="61" t="s">
        <v>10</v>
      </c>
      <c r="T463" s="61" t="s">
        <v>10</v>
      </c>
      <c r="U463" s="61" t="s">
        <v>10</v>
      </c>
      <c r="V463" s="61" t="s">
        <v>10</v>
      </c>
      <c r="W463" s="61" t="s">
        <v>10</v>
      </c>
      <c r="X463" s="69" t="s">
        <v>10</v>
      </c>
      <c r="Y463" s="1" t="s">
        <v>10</v>
      </c>
    </row>
    <row r="464" spans="2:26" x14ac:dyDescent="0.2">
      <c r="B464" s="216" t="s">
        <v>10</v>
      </c>
      <c r="C464" s="217" t="s">
        <v>10</v>
      </c>
      <c r="D464" s="62" t="s">
        <v>10</v>
      </c>
      <c r="E464" s="61" t="s">
        <v>10</v>
      </c>
      <c r="F464" s="61" t="s">
        <v>10</v>
      </c>
      <c r="G464" s="62" t="s">
        <v>10</v>
      </c>
      <c r="H464" s="60" t="s">
        <v>10</v>
      </c>
      <c r="I464" s="62" t="s">
        <v>10</v>
      </c>
      <c r="J464" s="61" t="s">
        <v>10</v>
      </c>
      <c r="K464" s="68" t="s">
        <v>10</v>
      </c>
      <c r="L464" s="63" t="s">
        <v>10</v>
      </c>
      <c r="M464" s="61" t="s">
        <v>10</v>
      </c>
      <c r="N464" s="68" t="s">
        <v>10</v>
      </c>
      <c r="O464" s="52" t="s">
        <v>176</v>
      </c>
      <c r="P464" s="61" t="s">
        <v>10</v>
      </c>
      <c r="Q464" s="61" t="s">
        <v>10</v>
      </c>
      <c r="R464" s="61" t="s">
        <v>10</v>
      </c>
      <c r="S464" s="61" t="s">
        <v>10</v>
      </c>
      <c r="T464" s="61" t="s">
        <v>10</v>
      </c>
      <c r="U464" s="61" t="s">
        <v>10</v>
      </c>
      <c r="V464" s="61" t="s">
        <v>10</v>
      </c>
      <c r="W464" s="61" t="s">
        <v>10</v>
      </c>
      <c r="X464" s="69" t="s">
        <v>10</v>
      </c>
      <c r="Y464" s="1" t="s">
        <v>10</v>
      </c>
    </row>
    <row r="465" spans="2:26" x14ac:dyDescent="0.2">
      <c r="B465" s="216">
        <v>80</v>
      </c>
      <c r="C465" s="217">
        <v>79</v>
      </c>
      <c r="D465" s="58" t="s">
        <v>10</v>
      </c>
      <c r="E465" s="61">
        <f>IF(B465=0,cell_HGL,IF(VLOOKUP(B465,table_HGL_JCTS,17,FALSE)&lt;X465,X465,VLOOKUP(B465,table_HGL_JCTS,17,FALSE)))</f>
        <v>403.14</v>
      </c>
      <c r="F465" s="61">
        <f>IF(B465=0,(E465+K465),IF(VLOOKUP(B465,table_HGL_JCTS,13,FALSE)="T-INTERSECTION",(E465+K465),(IF(VLOOKUP(B465,table_HGL_JCTS,17,FALSE)&lt;X465,(E465+K465),VLOOKUP(B465,table_HGL_JCTS,18,FALSE)))))</f>
        <v>403.20041717550538</v>
      </c>
      <c r="G465" s="62">
        <f>VLOOKUP(C465,table_CIA_JCTS,18)</f>
        <v>18</v>
      </c>
      <c r="H465" s="60">
        <f>VLOOKUP(C465,table_CIA_JCTS,17)</f>
        <v>3.485752582746529</v>
      </c>
      <c r="I465" s="62">
        <f>VLOOKUP(C465,table_CIA_JCTS,21)</f>
        <v>157</v>
      </c>
      <c r="J465" s="61">
        <f>H465/((G465/12)^2*3.1416/4)</f>
        <v>1.9725278458232345</v>
      </c>
      <c r="K465" s="61">
        <f>(J465^2)/64.4</f>
        <v>6.04171755054045E-2</v>
      </c>
      <c r="L465" s="63">
        <f>(H465/((1.486/cell_NP)*((3.1416*(G465/12)^2)/4)*(G465/48)^(2/3)))^2</f>
        <v>1.1011682503622641E-3</v>
      </c>
      <c r="M465" s="61">
        <f>L465*I465</f>
        <v>0.17288341530687548</v>
      </c>
      <c r="N465" s="68" t="s">
        <v>10</v>
      </c>
      <c r="O465" s="52" t="s">
        <v>10</v>
      </c>
      <c r="P465" s="257" t="s">
        <v>10</v>
      </c>
      <c r="Q465" s="61">
        <f>SUM(P465)</f>
        <v>0</v>
      </c>
      <c r="R465" s="61">
        <f>Q465+M465</f>
        <v>0.17288341530687548</v>
      </c>
      <c r="S465" s="61">
        <f>IF(O465="T-INTERSECTION",T465,(T465-K465))</f>
        <v>403.31288341530689</v>
      </c>
      <c r="T465" s="61">
        <f>IF(O465="T-INTERSECTION",(R465+F465-K465),(R465+F465))</f>
        <v>403.37330059081228</v>
      </c>
      <c r="U465" s="61">
        <f>VLOOKUP(C465,table_CIA_JCTS,26)</f>
        <v>409.13</v>
      </c>
      <c r="V465" s="61">
        <f>U465-0.5-S465</f>
        <v>5.3171165846931103</v>
      </c>
      <c r="W465" s="61" t="s">
        <v>10</v>
      </c>
      <c r="X465" s="69">
        <f>IF(B465&gt;0,VLOOKUP(B465,table_CIA_JCTS,28)," ")</f>
        <v>403.14</v>
      </c>
      <c r="Y465" s="1">
        <v>5.3171165846931103</v>
      </c>
      <c r="Z465" s="88">
        <f t="shared" si="5"/>
        <v>0</v>
      </c>
    </row>
    <row r="466" spans="2:26" x14ac:dyDescent="0.2">
      <c r="B466" s="216" t="s">
        <v>10</v>
      </c>
      <c r="C466" s="217" t="s">
        <v>10</v>
      </c>
      <c r="D466" s="62" t="s">
        <v>10</v>
      </c>
      <c r="E466" s="61" t="s">
        <v>10</v>
      </c>
      <c r="F466" s="61" t="s">
        <v>10</v>
      </c>
      <c r="G466" s="62" t="s">
        <v>10</v>
      </c>
      <c r="H466" s="60" t="s">
        <v>10</v>
      </c>
      <c r="I466" s="62" t="s">
        <v>10</v>
      </c>
      <c r="J466" s="61" t="s">
        <v>10</v>
      </c>
      <c r="K466" s="68" t="s">
        <v>10</v>
      </c>
      <c r="L466" s="63" t="s">
        <v>10</v>
      </c>
      <c r="M466" s="61" t="s">
        <v>10</v>
      </c>
      <c r="N466" s="68" t="s">
        <v>10</v>
      </c>
      <c r="O466" s="52" t="s">
        <v>176</v>
      </c>
      <c r="P466" s="61" t="s">
        <v>10</v>
      </c>
      <c r="Q466" s="61" t="s">
        <v>10</v>
      </c>
      <c r="R466" s="61" t="s">
        <v>10</v>
      </c>
      <c r="S466" s="61" t="s">
        <v>10</v>
      </c>
      <c r="T466" s="61" t="s">
        <v>10</v>
      </c>
      <c r="U466" s="61" t="s">
        <v>10</v>
      </c>
      <c r="V466" s="61" t="s">
        <v>10</v>
      </c>
      <c r="W466" s="61" t="s">
        <v>10</v>
      </c>
      <c r="X466" s="69" t="s">
        <v>10</v>
      </c>
      <c r="Y466" s="1" t="s">
        <v>10</v>
      </c>
    </row>
    <row r="467" spans="2:26" x14ac:dyDescent="0.2">
      <c r="B467" s="216">
        <v>88.1</v>
      </c>
      <c r="C467" s="217">
        <v>88</v>
      </c>
      <c r="D467" s="58" t="s">
        <v>10</v>
      </c>
      <c r="E467" s="61">
        <f>IF(B467=0,cell_HGL,IF(VLOOKUP(B467,table_HGL_JCTS,17,FALSE)&lt;X467,X467,VLOOKUP(B467,table_HGL_JCTS,17,FALSE)))</f>
        <v>395.84</v>
      </c>
      <c r="F467" s="61">
        <f>IF(B467=0,(E467+K467),IF(VLOOKUP(B467,table_HGL_JCTS,13,FALSE)="T-INTERSECTION",(E467+K467),(IF(VLOOKUP(B467,table_HGL_JCTS,17,FALSE)&lt;X467,(E467+K467),VLOOKUP(B467,table_HGL_JCTS,18,FALSE)))))</f>
        <v>395.84005629897274</v>
      </c>
      <c r="G467" s="62">
        <f>VLOOKUP(C467,table_CIA_JCTS,18)</f>
        <v>30</v>
      </c>
      <c r="H467" s="60">
        <f>VLOOKUP(C467,table_CIA_JCTS,17)</f>
        <v>0.2955725397286027</v>
      </c>
      <c r="I467" s="62">
        <f>VLOOKUP(C467,table_CIA_JCTS,21)</f>
        <v>176</v>
      </c>
      <c r="J467" s="61">
        <f>H467/((G467/12)^2*3.1416/4)</f>
        <v>6.0213402542114131E-2</v>
      </c>
      <c r="K467" s="61">
        <f>(J467^2)/64.4</f>
        <v>5.6298972759296212E-5</v>
      </c>
      <c r="L467" s="63">
        <f>(H467/((1.486/cell_NP)*((3.1416*(G467/12)^2)/4)*(G467/48)^(2/3)))^2</f>
        <v>5.1927259228301938E-7</v>
      </c>
      <c r="M467" s="61">
        <f>L467*I467</f>
        <v>9.1391976241811409E-5</v>
      </c>
      <c r="N467" s="68" t="s">
        <v>10</v>
      </c>
      <c r="O467" s="52" t="s">
        <v>10</v>
      </c>
      <c r="P467" s="257" t="s">
        <v>10</v>
      </c>
      <c r="Q467" s="61">
        <f>SUM(P467)</f>
        <v>0</v>
      </c>
      <c r="R467" s="61">
        <f>Q467+M467</f>
        <v>9.1391976241811409E-5</v>
      </c>
      <c r="S467" s="61">
        <f>IF(O467="T-INTERSECTION",T467,(T467-K467))</f>
        <v>395.84009139197622</v>
      </c>
      <c r="T467" s="61">
        <f>IF(O467="T-INTERSECTION",(R467+F467-K467),(R467+F467))</f>
        <v>395.84014769094898</v>
      </c>
      <c r="U467" s="61">
        <f>VLOOKUP(C467,table_CIA_JCTS,26)</f>
        <v>398</v>
      </c>
      <c r="V467" s="277">
        <f>U467-0.5-S467</f>
        <v>1.6599086080237839</v>
      </c>
      <c r="W467" s="61" t="s">
        <v>10</v>
      </c>
      <c r="X467" s="69">
        <f>IF(B467&gt;0,VLOOKUP(B467,table_CIA_JCTS,28)," ")</f>
        <v>395.84</v>
      </c>
      <c r="Y467" s="1">
        <v>1.6599086080237839</v>
      </c>
      <c r="Z467" s="88">
        <f t="shared" si="5"/>
        <v>0</v>
      </c>
    </row>
    <row r="468" spans="2:26" x14ac:dyDescent="0.2">
      <c r="B468" s="216" t="s">
        <v>10</v>
      </c>
      <c r="C468" s="217" t="s">
        <v>10</v>
      </c>
      <c r="D468" s="62" t="s">
        <v>10</v>
      </c>
      <c r="E468" s="61" t="s">
        <v>10</v>
      </c>
      <c r="F468" s="61" t="s">
        <v>10</v>
      </c>
      <c r="G468" s="62" t="s">
        <v>10</v>
      </c>
      <c r="H468" s="60" t="s">
        <v>10</v>
      </c>
      <c r="I468" s="62" t="s">
        <v>10</v>
      </c>
      <c r="J468" s="61" t="s">
        <v>10</v>
      </c>
      <c r="K468" s="68" t="s">
        <v>10</v>
      </c>
      <c r="L468" s="63" t="s">
        <v>10</v>
      </c>
      <c r="M468" s="61" t="s">
        <v>10</v>
      </c>
      <c r="N468" s="68" t="s">
        <v>10</v>
      </c>
      <c r="O468" s="52" t="s">
        <v>176</v>
      </c>
      <c r="P468" s="61" t="s">
        <v>10</v>
      </c>
      <c r="Q468" s="61" t="s">
        <v>10</v>
      </c>
      <c r="R468" s="61" t="s">
        <v>10</v>
      </c>
      <c r="S468" s="61" t="s">
        <v>10</v>
      </c>
      <c r="T468" s="61" t="s">
        <v>10</v>
      </c>
      <c r="U468" s="61" t="s">
        <v>10</v>
      </c>
      <c r="V468" s="61" t="s">
        <v>10</v>
      </c>
      <c r="W468" s="61" t="s">
        <v>10</v>
      </c>
      <c r="X468" s="69" t="s">
        <v>10</v>
      </c>
      <c r="Y468" s="1" t="s">
        <v>10</v>
      </c>
    </row>
    <row r="469" spans="2:26" x14ac:dyDescent="0.2">
      <c r="B469" s="216" t="s">
        <v>10</v>
      </c>
      <c r="C469" s="217" t="s">
        <v>10</v>
      </c>
      <c r="D469" s="62" t="s">
        <v>10</v>
      </c>
      <c r="E469" s="61" t="s">
        <v>10</v>
      </c>
      <c r="F469" s="61" t="s">
        <v>10</v>
      </c>
      <c r="G469" s="62" t="s">
        <v>10</v>
      </c>
      <c r="H469" s="60" t="s">
        <v>10</v>
      </c>
      <c r="I469" s="62" t="s">
        <v>10</v>
      </c>
      <c r="J469" s="61" t="s">
        <v>10</v>
      </c>
      <c r="K469" s="68" t="s">
        <v>10</v>
      </c>
      <c r="L469" s="63" t="s">
        <v>10</v>
      </c>
      <c r="M469" s="61" t="s">
        <v>10</v>
      </c>
      <c r="N469" s="68" t="s">
        <v>10</v>
      </c>
      <c r="O469" s="52" t="s">
        <v>176</v>
      </c>
      <c r="P469" s="61" t="s">
        <v>10</v>
      </c>
      <c r="Q469" s="61" t="s">
        <v>10</v>
      </c>
      <c r="R469" s="61" t="s">
        <v>10</v>
      </c>
      <c r="S469" s="61" t="s">
        <v>10</v>
      </c>
      <c r="T469" s="61" t="s">
        <v>10</v>
      </c>
      <c r="U469" s="61" t="s">
        <v>10</v>
      </c>
      <c r="V469" s="61" t="s">
        <v>10</v>
      </c>
      <c r="W469" s="61" t="s">
        <v>10</v>
      </c>
      <c r="X469" s="69" t="s">
        <v>10</v>
      </c>
      <c r="Y469" s="1" t="s">
        <v>10</v>
      </c>
    </row>
    <row r="470" spans="2:26" x14ac:dyDescent="0.2">
      <c r="B470" s="216">
        <v>88.1</v>
      </c>
      <c r="C470" s="217">
        <v>87</v>
      </c>
      <c r="D470" s="58" t="s">
        <v>10</v>
      </c>
      <c r="E470" s="61">
        <f>IF(B470=0,cell_HGL,IF(VLOOKUP(B470,table_HGL_JCTS,17,FALSE)&lt;X470,X470,VLOOKUP(B470,table_HGL_JCTS,17,FALSE)))</f>
        <v>395.84</v>
      </c>
      <c r="F470" s="61">
        <f>IF(B470=0,(E470+K470),IF(VLOOKUP(B470,table_HGL_JCTS,13,FALSE)="T-INTERSECTION",(E470+K470),(IF(VLOOKUP(B470,table_HGL_JCTS,17,FALSE)&lt;X470,(E470+K470),VLOOKUP(B470,table_HGL_JCTS,18,FALSE)))))</f>
        <v>396.13274821475943</v>
      </c>
      <c r="G470" s="62">
        <f>VLOOKUP(C470,table_CIA_JCTS,18)</f>
        <v>24</v>
      </c>
      <c r="H470" s="60">
        <f>VLOOKUP(C470,table_CIA_JCTS,17)</f>
        <v>13.640834808179626</v>
      </c>
      <c r="I470" s="62">
        <f>VLOOKUP(C470,table_CIA_JCTS,21)</f>
        <v>970</v>
      </c>
      <c r="J470" s="61">
        <f>H470/((G470/12)^2*3.1416/4)</f>
        <v>4.3420024217531275</v>
      </c>
      <c r="K470" s="61">
        <f>(J470^2)/64.4</f>
        <v>0.29274821475947238</v>
      </c>
      <c r="L470" s="63">
        <f>(H470/((1.486/cell_NP)*((3.1416*(G470/12)^2)/4)*(G470/48)^(2/3)))^2</f>
        <v>3.6358213538711559E-3</v>
      </c>
      <c r="M470" s="61">
        <f>L470*I470</f>
        <v>3.5267467132550214</v>
      </c>
      <c r="N470" s="68" t="s">
        <v>10</v>
      </c>
      <c r="O470" s="72" t="s">
        <v>156</v>
      </c>
      <c r="P470" s="61">
        <f>IF(ISBLANK(O470)=FALSE,(VLOOKUP(O470,table_MINOR,2,FALSE))*(K470)," ")</f>
        <v>0.21956116106960427</v>
      </c>
      <c r="Q470" s="61">
        <f>SUM(P470:P471)</f>
        <v>0.21956116106960427</v>
      </c>
      <c r="R470" s="61">
        <f>Q470+M470</f>
        <v>3.7463078743246259</v>
      </c>
      <c r="S470" s="61">
        <f>IF(O470="T-INTERSECTION",T470,(T470-K470))</f>
        <v>399.58630787432458</v>
      </c>
      <c r="T470" s="61">
        <f>IF(O470="T-INTERSECTION",(R470+F470-K470),(R470+F470))</f>
        <v>399.87905608908403</v>
      </c>
      <c r="U470" s="61">
        <f>VLOOKUP(C470,table_CIA_JCTS,26)</f>
        <v>409</v>
      </c>
      <c r="V470" s="61">
        <f>U470-0.5-S470</f>
        <v>8.9136921256754249</v>
      </c>
      <c r="W470" s="61" t="s">
        <v>10</v>
      </c>
      <c r="X470" s="69">
        <f>IF(B470&gt;0,VLOOKUP(B470,table_CIA_JCTS,28)," ")</f>
        <v>395.84</v>
      </c>
      <c r="Y470" s="1">
        <v>9.2473180321998143</v>
      </c>
      <c r="Z470" s="88">
        <f t="shared" si="5"/>
        <v>-0.33362590652438939</v>
      </c>
    </row>
    <row r="471" spans="2:26" x14ac:dyDescent="0.2">
      <c r="B471" s="216" t="s">
        <v>10</v>
      </c>
      <c r="C471" s="217" t="s">
        <v>10</v>
      </c>
      <c r="D471" s="62" t="s">
        <v>10</v>
      </c>
      <c r="E471" s="61" t="s">
        <v>10</v>
      </c>
      <c r="F471" s="61" t="s">
        <v>10</v>
      </c>
      <c r="G471" s="62" t="s">
        <v>10</v>
      </c>
      <c r="H471" s="60" t="s">
        <v>10</v>
      </c>
      <c r="I471" s="62" t="s">
        <v>10</v>
      </c>
      <c r="J471" s="61" t="s">
        <v>10</v>
      </c>
      <c r="K471" s="68">
        <f>K470</f>
        <v>0.29274821475947238</v>
      </c>
      <c r="L471" s="63" t="s">
        <v>10</v>
      </c>
      <c r="M471" s="61" t="s">
        <v>10</v>
      </c>
      <c r="N471" s="68" t="s">
        <v>10</v>
      </c>
      <c r="O471" s="52" t="s">
        <v>10</v>
      </c>
      <c r="P471" s="257" t="s">
        <v>10</v>
      </c>
      <c r="Q471" s="61" t="s">
        <v>10</v>
      </c>
      <c r="R471" s="61" t="s">
        <v>10</v>
      </c>
      <c r="S471" s="61" t="s">
        <v>10</v>
      </c>
      <c r="T471" s="61" t="s">
        <v>10</v>
      </c>
      <c r="U471" s="61" t="s">
        <v>10</v>
      </c>
      <c r="V471" s="61" t="s">
        <v>10</v>
      </c>
      <c r="W471" s="61" t="s">
        <v>10</v>
      </c>
      <c r="X471" s="69" t="s">
        <v>10</v>
      </c>
      <c r="Y471" s="1" t="s">
        <v>10</v>
      </c>
    </row>
    <row r="472" spans="2:26" x14ac:dyDescent="0.2">
      <c r="B472" s="216">
        <v>87</v>
      </c>
      <c r="C472" s="217">
        <v>85</v>
      </c>
      <c r="D472" s="58" t="s">
        <v>10</v>
      </c>
      <c r="E472" s="61">
        <f>IF(B472=0,cell_HGL,IF(VLOOKUP(B472,table_HGL_JCTS,17,FALSE)&lt;X472,X472,VLOOKUP(B472,table_HGL_JCTS,17,FALSE)))</f>
        <v>399.58630787432458</v>
      </c>
      <c r="F472" s="61">
        <f>IF(B472=0,(E472+K472),IF(VLOOKUP(B472,table_HGL_JCTS,13,FALSE)="T-INTERSECTION",(E472+K472),(IF(VLOOKUP(B472,table_HGL_JCTS,17,FALSE)&lt;X472,(E472+K472),VLOOKUP(B472,table_HGL_JCTS,18,FALSE)))))</f>
        <v>399.87905608908403</v>
      </c>
      <c r="G472" s="62">
        <f>VLOOKUP(C472,table_CIA_JCTS,18)</f>
        <v>18</v>
      </c>
      <c r="H472" s="60">
        <f>VLOOKUP(C472,table_CIA_JCTS,17)</f>
        <v>6.0003814397664135</v>
      </c>
      <c r="I472" s="62">
        <f>VLOOKUP(C472,table_CIA_JCTS,21)</f>
        <v>1292</v>
      </c>
      <c r="J472" s="61">
        <f>H472/((G472/12)^2*3.1416/4)</f>
        <v>3.3955133631929453</v>
      </c>
      <c r="K472" s="61">
        <f>(J472^2)/64.4</f>
        <v>0.17902967390717181</v>
      </c>
      <c r="L472" s="63">
        <f>(H472/((1.486/cell_NP)*((3.1416*(G472/12)^2)/4)*(G472/48)^(2/3)))^2</f>
        <v>3.2630090885604566E-3</v>
      </c>
      <c r="M472" s="61">
        <f>L472*I472</f>
        <v>4.2158077424201101</v>
      </c>
      <c r="N472" s="68" t="s">
        <v>10</v>
      </c>
      <c r="O472" s="72" t="s">
        <v>152</v>
      </c>
      <c r="P472" s="61">
        <f>IF(ISBLANK(O472)=FALSE,(VLOOKUP(O472,table_MINOR,2,FALSE))*(K472)," ")</f>
        <v>0.10741780434430308</v>
      </c>
      <c r="Q472" s="61">
        <f>SUM(P472:P473)</f>
        <v>0.10741780434430308</v>
      </c>
      <c r="R472" s="61">
        <f>Q472+M472</f>
        <v>4.3232255467644132</v>
      </c>
      <c r="S472" s="61">
        <f>IF(O472="T-INTERSECTION",T472,(T472-K472))</f>
        <v>404.0232519619413</v>
      </c>
      <c r="T472" s="61">
        <f>IF(O472="T-INTERSECTION",(R472+F472-K472),(R472+F472))</f>
        <v>404.20228163584846</v>
      </c>
      <c r="U472" s="61">
        <f>VLOOKUP(C472,table_CIA_JCTS,26)</f>
        <v>409</v>
      </c>
      <c r="V472" s="61">
        <f>U472-0.5-S472</f>
        <v>4.4767480380587017</v>
      </c>
      <c r="W472" s="61" t="s">
        <v>10</v>
      </c>
      <c r="X472" s="69">
        <f>IF(B472&gt;0,VLOOKUP(B472,table_CIA_JCTS,28)," ")</f>
        <v>398.93</v>
      </c>
      <c r="Y472" s="1">
        <v>3.6966714764923267</v>
      </c>
      <c r="Z472" s="88">
        <f t="shared" si="5"/>
        <v>0.78007656156637495</v>
      </c>
    </row>
    <row r="473" spans="2:26" x14ac:dyDescent="0.2">
      <c r="B473" s="216" t="s">
        <v>10</v>
      </c>
      <c r="C473" s="217" t="s">
        <v>10</v>
      </c>
      <c r="D473" s="62" t="s">
        <v>10</v>
      </c>
      <c r="E473" s="61" t="s">
        <v>10</v>
      </c>
      <c r="F473" s="61" t="s">
        <v>10</v>
      </c>
      <c r="G473" s="62" t="s">
        <v>10</v>
      </c>
      <c r="H473" s="60" t="s">
        <v>10</v>
      </c>
      <c r="I473" s="62" t="s">
        <v>10</v>
      </c>
      <c r="J473" s="61" t="s">
        <v>10</v>
      </c>
      <c r="K473" s="68">
        <f>K472</f>
        <v>0.17902967390717181</v>
      </c>
      <c r="L473" s="63" t="s">
        <v>10</v>
      </c>
      <c r="M473" s="61" t="s">
        <v>10</v>
      </c>
      <c r="N473" s="68" t="s">
        <v>10</v>
      </c>
      <c r="O473" s="52" t="s">
        <v>10</v>
      </c>
      <c r="P473" s="257" t="s">
        <v>10</v>
      </c>
      <c r="Q473" s="61" t="s">
        <v>10</v>
      </c>
      <c r="R473" s="61" t="s">
        <v>10</v>
      </c>
      <c r="S473" s="61" t="s">
        <v>10</v>
      </c>
      <c r="T473" s="61" t="s">
        <v>10</v>
      </c>
      <c r="U473" s="61" t="s">
        <v>10</v>
      </c>
      <c r="V473" s="61" t="s">
        <v>10</v>
      </c>
      <c r="W473" s="61" t="s">
        <v>10</v>
      </c>
      <c r="X473" s="69" t="s">
        <v>10</v>
      </c>
      <c r="Y473" s="1" t="s">
        <v>10</v>
      </c>
    </row>
    <row r="474" spans="2:26" x14ac:dyDescent="0.2">
      <c r="B474" s="216">
        <v>85</v>
      </c>
      <c r="C474" s="217">
        <v>84</v>
      </c>
      <c r="D474" s="58" t="s">
        <v>10</v>
      </c>
      <c r="E474" s="61">
        <f>IF(B474=0,cell_HGL,IF(VLOOKUP(B474,table_HGL_JCTS,17,FALSE)&lt;X474,X474,VLOOKUP(B474,table_HGL_JCTS,17,FALSE)))</f>
        <v>404.0232519619413</v>
      </c>
      <c r="F474" s="61">
        <f>IF(B474=0,(E474+K474),IF(VLOOKUP(B474,table_HGL_JCTS,13,FALSE)="T-INTERSECTION",(E474+K474),(IF(VLOOKUP(B474,table_HGL_JCTS,17,FALSE)&lt;X474,(E474+K474),VLOOKUP(B474,table_HGL_JCTS,18,FALSE)))))</f>
        <v>404.20228163584846</v>
      </c>
      <c r="G474" s="62">
        <f>VLOOKUP(C474,table_CIA_JCTS,18)</f>
        <v>18</v>
      </c>
      <c r="H474" s="60">
        <f>VLOOKUP(C474,table_CIA_JCTS,17)</f>
        <v>2.4115610310059612</v>
      </c>
      <c r="I474" s="62">
        <f>VLOOKUP(C474,table_CIA_JCTS,21)</f>
        <v>215</v>
      </c>
      <c r="J474" s="61">
        <f>H474/((G474/12)^2*3.1416/4)</f>
        <v>1.3646611951480978</v>
      </c>
      <c r="K474" s="61">
        <f>(J474^2)/64.4</f>
        <v>2.8917704620233457E-2</v>
      </c>
      <c r="L474" s="63">
        <f>(H474/((1.486/cell_NP)*((3.1416*(G474/12)^2)/4)*(G474/48)^(2/3)))^2</f>
        <v>5.270563864460488E-4</v>
      </c>
      <c r="M474" s="61">
        <f>L474*I474</f>
        <v>0.11331712308590049</v>
      </c>
      <c r="N474" s="68" t="s">
        <v>10</v>
      </c>
      <c r="O474" s="52" t="s">
        <v>10</v>
      </c>
      <c r="P474" s="257" t="s">
        <v>10</v>
      </c>
      <c r="Q474" s="61">
        <f>SUM(P474)</f>
        <v>0</v>
      </c>
      <c r="R474" s="61">
        <f>Q474+M474</f>
        <v>0.11331712308590049</v>
      </c>
      <c r="S474" s="61">
        <f>IF(O474="T-INTERSECTION",T474,(T474-K474))</f>
        <v>404.2866810543141</v>
      </c>
      <c r="T474" s="61">
        <f>IF(O474="T-INTERSECTION",(R474+F474-K474),(R474+F474))</f>
        <v>404.31559875893436</v>
      </c>
      <c r="U474" s="61">
        <f>VLOOKUP(C474,table_CIA_JCTS,26)</f>
        <v>408.5</v>
      </c>
      <c r="V474" s="61">
        <f>U474-0.5-S474</f>
        <v>3.7133189456858986</v>
      </c>
      <c r="W474" s="61" t="s">
        <v>10</v>
      </c>
      <c r="X474" s="69">
        <f>IF(B474&gt;0,VLOOKUP(B474,table_CIA_JCTS,28)," ")</f>
        <v>401.33</v>
      </c>
      <c r="Y474" s="1">
        <v>2.8736984573541804</v>
      </c>
      <c r="Z474" s="88">
        <f t="shared" si="5"/>
        <v>0.83962048833171821</v>
      </c>
    </row>
    <row r="475" spans="2:26" x14ac:dyDescent="0.2">
      <c r="B475" s="216" t="s">
        <v>10</v>
      </c>
      <c r="C475" s="217" t="s">
        <v>10</v>
      </c>
      <c r="D475" s="62" t="s">
        <v>10</v>
      </c>
      <c r="E475" s="61" t="s">
        <v>10</v>
      </c>
      <c r="F475" s="61" t="s">
        <v>10</v>
      </c>
      <c r="G475" s="62" t="s">
        <v>10</v>
      </c>
      <c r="H475" s="60" t="s">
        <v>10</v>
      </c>
      <c r="I475" s="62" t="s">
        <v>10</v>
      </c>
      <c r="J475" s="61" t="s">
        <v>10</v>
      </c>
      <c r="K475" s="68" t="s">
        <v>10</v>
      </c>
      <c r="L475" s="63" t="s">
        <v>10</v>
      </c>
      <c r="M475" s="61" t="s">
        <v>10</v>
      </c>
      <c r="N475" s="68" t="s">
        <v>10</v>
      </c>
      <c r="O475" s="52" t="s">
        <v>176</v>
      </c>
      <c r="P475" s="61" t="s">
        <v>10</v>
      </c>
      <c r="Q475" s="61" t="s">
        <v>10</v>
      </c>
      <c r="R475" s="61" t="s">
        <v>10</v>
      </c>
      <c r="S475" s="61" t="s">
        <v>10</v>
      </c>
      <c r="T475" s="61" t="s">
        <v>10</v>
      </c>
      <c r="U475" s="61" t="s">
        <v>10</v>
      </c>
      <c r="V475" s="61" t="s">
        <v>10</v>
      </c>
      <c r="W475" s="61" t="s">
        <v>10</v>
      </c>
      <c r="X475" s="69" t="s">
        <v>10</v>
      </c>
      <c r="Y475" s="1" t="s">
        <v>10</v>
      </c>
    </row>
    <row r="476" spans="2:26" x14ac:dyDescent="0.2">
      <c r="B476" s="216" t="s">
        <v>10</v>
      </c>
      <c r="C476" s="217" t="s">
        <v>10</v>
      </c>
      <c r="D476" s="62" t="s">
        <v>10</v>
      </c>
      <c r="E476" s="61" t="s">
        <v>10</v>
      </c>
      <c r="F476" s="61" t="s">
        <v>10</v>
      </c>
      <c r="G476" s="62" t="s">
        <v>10</v>
      </c>
      <c r="H476" s="60" t="s">
        <v>10</v>
      </c>
      <c r="I476" s="62" t="s">
        <v>10</v>
      </c>
      <c r="J476" s="61" t="s">
        <v>10</v>
      </c>
      <c r="K476" s="68" t="s">
        <v>10</v>
      </c>
      <c r="L476" s="63" t="s">
        <v>10</v>
      </c>
      <c r="M476" s="61" t="s">
        <v>10</v>
      </c>
      <c r="N476" s="68" t="s">
        <v>10</v>
      </c>
      <c r="O476" s="52" t="s">
        <v>176</v>
      </c>
      <c r="P476" s="61" t="s">
        <v>10</v>
      </c>
      <c r="Q476" s="61" t="s">
        <v>10</v>
      </c>
      <c r="R476" s="61" t="s">
        <v>10</v>
      </c>
      <c r="S476" s="61" t="s">
        <v>10</v>
      </c>
      <c r="T476" s="61" t="s">
        <v>10</v>
      </c>
      <c r="U476" s="61" t="s">
        <v>10</v>
      </c>
      <c r="V476" s="61" t="s">
        <v>10</v>
      </c>
      <c r="W476" s="61" t="s">
        <v>10</v>
      </c>
      <c r="X476" s="69" t="s">
        <v>10</v>
      </c>
      <c r="Y476" s="1" t="s">
        <v>10</v>
      </c>
    </row>
    <row r="477" spans="2:26" x14ac:dyDescent="0.2">
      <c r="B477" s="216">
        <v>87</v>
      </c>
      <c r="C477" s="217">
        <v>86.1</v>
      </c>
      <c r="D477" s="58" t="s">
        <v>10</v>
      </c>
      <c r="E477" s="61">
        <f>IF(B477=0,cell_HGL,IF(VLOOKUP(B477,table_HGL_JCTS,17,FALSE)&lt;X477,X477,VLOOKUP(B477,table_HGL_JCTS,17,FALSE)))</f>
        <v>399.58630787432458</v>
      </c>
      <c r="F477" s="61">
        <f>IF(B477=0,(E477+K477),IF(VLOOKUP(B477,table_HGL_JCTS,13,FALSE)="T-INTERSECTION",(E477+K477),(IF(VLOOKUP(B477,table_HGL_JCTS,17,FALSE)&lt;X477,(E477+K477),VLOOKUP(B477,table_HGL_JCTS,18,FALSE)))))</f>
        <v>399.87905608908403</v>
      </c>
      <c r="G477" s="62">
        <f>VLOOKUP(C477,table_CIA_JCTS,18)</f>
        <v>24</v>
      </c>
      <c r="H477" s="60">
        <f>VLOOKUP(C477,table_CIA_JCTS,17)</f>
        <v>7.9832541065110076</v>
      </c>
      <c r="I477" s="62">
        <f>VLOOKUP(C477,table_CIA_JCTS,21)</f>
        <v>575</v>
      </c>
      <c r="J477" s="61">
        <f>H477/((G477/12)^2*3.1416/4)</f>
        <v>2.541142763722628</v>
      </c>
      <c r="K477" s="61">
        <f>(J477^2)/64.4</f>
        <v>0.1002702879754639</v>
      </c>
      <c r="L477" s="63">
        <f>(H477/((1.486/cell_NP)*((3.1416*(G477/12)^2)/4)*(G477/48)^(2/3)))^2</f>
        <v>1.2453187954691212E-3</v>
      </c>
      <c r="M477" s="61">
        <f>L477*I477</f>
        <v>0.71605830739474463</v>
      </c>
      <c r="N477" s="68" t="s">
        <v>10</v>
      </c>
      <c r="O477" s="72"/>
      <c r="P477" s="61"/>
      <c r="Q477" s="61">
        <f>SUM(P477:P478)</f>
        <v>0</v>
      </c>
      <c r="R477" s="61">
        <f>Q477+M477</f>
        <v>0.71605830739474463</v>
      </c>
      <c r="S477" s="61">
        <f>IF(O477="T-INTERSECTION",T477,(T477-K477))</f>
        <v>400.49484410850329</v>
      </c>
      <c r="T477" s="61">
        <f>IF(O477="T-INTERSECTION",(R477+F477-K477),(R477+F477))</f>
        <v>400.49484410850329</v>
      </c>
      <c r="U477" s="61">
        <f>VLOOKUP(C477,table_CIA_JCTS,26)</f>
        <v>404.95</v>
      </c>
      <c r="V477" s="61">
        <f>U477-0.5-S477</f>
        <v>3.9551558914967018</v>
      </c>
      <c r="W477" s="61" t="s">
        <v>10</v>
      </c>
      <c r="X477" s="69">
        <f>IF(B477&gt;0,VLOOKUP(B477,table_CIA_JCTS,28)," ")</f>
        <v>398.93</v>
      </c>
      <c r="Y477" s="88">
        <v>8.2457655879193794</v>
      </c>
      <c r="Z477" s="88">
        <f>V477-Y477</f>
        <v>-4.2906096964226776</v>
      </c>
    </row>
    <row r="478" spans="2:26" x14ac:dyDescent="0.2">
      <c r="B478" s="216" t="s">
        <v>10</v>
      </c>
      <c r="C478" s="217" t="s">
        <v>10</v>
      </c>
      <c r="D478" s="62" t="s">
        <v>10</v>
      </c>
      <c r="E478" s="61" t="s">
        <v>10</v>
      </c>
      <c r="F478" s="61" t="s">
        <v>10</v>
      </c>
      <c r="G478" s="62" t="s">
        <v>10</v>
      </c>
      <c r="H478" s="60" t="s">
        <v>10</v>
      </c>
      <c r="I478" s="62" t="s">
        <v>10</v>
      </c>
      <c r="J478" s="61" t="s">
        <v>10</v>
      </c>
      <c r="K478" s="68">
        <f>K477</f>
        <v>0.1002702879754639</v>
      </c>
      <c r="L478" s="63" t="s">
        <v>10</v>
      </c>
      <c r="M478" s="61" t="s">
        <v>10</v>
      </c>
      <c r="N478" s="68" t="s">
        <v>10</v>
      </c>
      <c r="O478" s="52" t="s">
        <v>10</v>
      </c>
      <c r="P478" s="257" t="s">
        <v>10</v>
      </c>
      <c r="Q478" s="61" t="s">
        <v>10</v>
      </c>
      <c r="R478" s="61" t="s">
        <v>10</v>
      </c>
      <c r="S478" s="61" t="s">
        <v>10</v>
      </c>
      <c r="T478" s="61" t="s">
        <v>10</v>
      </c>
      <c r="U478" s="61" t="s">
        <v>10</v>
      </c>
      <c r="V478" s="61" t="s">
        <v>10</v>
      </c>
      <c r="W478" s="61" t="s">
        <v>10</v>
      </c>
      <c r="X478" s="69" t="s">
        <v>10</v>
      </c>
      <c r="Y478" s="88" t="s">
        <v>10</v>
      </c>
    </row>
    <row r="479" spans="2:26" x14ac:dyDescent="0.2">
      <c r="B479" s="216">
        <v>86.1</v>
      </c>
      <c r="C479" s="217">
        <v>86</v>
      </c>
      <c r="D479" s="58" t="s">
        <v>10</v>
      </c>
      <c r="E479" s="61">
        <f>IF(B479=0,cell_HGL,IF(VLOOKUP(B479,table_HGL_JCTS,17,FALSE)&lt;X479,X479,VLOOKUP(B479,table_HGL_JCTS,17,FALSE)))</f>
        <v>400.59</v>
      </c>
      <c r="F479" s="61">
        <f>IF(B479=0,(E479+K479),IF(VLOOKUP(B479,table_HGL_JCTS,13,FALSE)="T-INTERSECTION",(E479+K479),(IF(VLOOKUP(B479,table_HGL_JCTS,17,FALSE)&lt;X479,(E479+K479),VLOOKUP(B479,table_HGL_JCTS,18,FALSE)))))</f>
        <v>400.69027028797547</v>
      </c>
      <c r="G479" s="62">
        <f>VLOOKUP(C479,table_CIA_JCTS,18)</f>
        <v>24</v>
      </c>
      <c r="H479" s="60">
        <f>VLOOKUP(C479,table_CIA_JCTS,17)</f>
        <v>7.9832541065110076</v>
      </c>
      <c r="I479" s="62">
        <f>VLOOKUP(C479,table_CIA_JCTS,21)</f>
        <v>575</v>
      </c>
      <c r="J479" s="61">
        <f>H479/((G479/12)^2*3.1416/4)</f>
        <v>2.541142763722628</v>
      </c>
      <c r="K479" s="61">
        <f>(J479^2)/64.4</f>
        <v>0.1002702879754639</v>
      </c>
      <c r="L479" s="63">
        <f>(H479/((1.486/cell_NP)*((3.1416*(G479/12)^2)/4)*(G479/48)^(2/3)))^2</f>
        <v>1.2453187954691212E-3</v>
      </c>
      <c r="M479" s="61">
        <f>L479*I479</f>
        <v>0.71605830739474463</v>
      </c>
      <c r="N479" s="68" t="s">
        <v>10</v>
      </c>
      <c r="O479" s="52" t="s">
        <v>10</v>
      </c>
      <c r="P479" s="257" t="s">
        <v>10</v>
      </c>
      <c r="Q479" s="61">
        <f>SUM(P479)</f>
        <v>0</v>
      </c>
      <c r="R479" s="61">
        <f>Q479+M479</f>
        <v>0.71605830739474463</v>
      </c>
      <c r="S479" s="61">
        <f>IF(O479="T-INTERSECTION",T479,(T479-K479))</f>
        <v>401.30605830739472</v>
      </c>
      <c r="T479" s="61">
        <f>IF(O479="T-INTERSECTION",(R479+F479-K479),(R479+F479))</f>
        <v>401.40632859537021</v>
      </c>
      <c r="U479" s="61">
        <f>VLOOKUP(C479,table_CIA_JCTS,26)</f>
        <v>404.95</v>
      </c>
      <c r="V479" s="61">
        <f>U479-0.5-S479</f>
        <v>3.1439416926052672</v>
      </c>
      <c r="W479" s="61" t="s">
        <v>10</v>
      </c>
      <c r="X479" s="69">
        <f>IF(B479&gt;0,VLOOKUP(B479,table_CIA_JCTS,28)," ")</f>
        <v>400.59</v>
      </c>
      <c r="Y479" s="1">
        <v>4.5949775005760785</v>
      </c>
      <c r="Z479" s="88">
        <f t="shared" si="5"/>
        <v>-1.4510358079708112</v>
      </c>
    </row>
    <row r="480" spans="2:26" x14ac:dyDescent="0.2">
      <c r="B480" s="216" t="s">
        <v>10</v>
      </c>
      <c r="C480" s="217" t="s">
        <v>10</v>
      </c>
      <c r="D480" s="62" t="s">
        <v>10</v>
      </c>
      <c r="E480" s="61" t="s">
        <v>10</v>
      </c>
      <c r="F480" s="61" t="s">
        <v>10</v>
      </c>
      <c r="G480" s="62" t="s">
        <v>10</v>
      </c>
      <c r="H480" s="60" t="s">
        <v>10</v>
      </c>
      <c r="I480" s="62" t="s">
        <v>10</v>
      </c>
      <c r="J480" s="61" t="s">
        <v>10</v>
      </c>
      <c r="K480" s="68" t="s">
        <v>10</v>
      </c>
      <c r="L480" s="63" t="s">
        <v>10</v>
      </c>
      <c r="M480" s="61" t="s">
        <v>10</v>
      </c>
      <c r="N480" s="68" t="s">
        <v>10</v>
      </c>
      <c r="O480" s="52" t="s">
        <v>176</v>
      </c>
      <c r="P480" s="61" t="s">
        <v>10</v>
      </c>
      <c r="Q480" s="61" t="s">
        <v>10</v>
      </c>
      <c r="R480" s="61" t="s">
        <v>10</v>
      </c>
      <c r="S480" s="61" t="s">
        <v>10</v>
      </c>
      <c r="T480" s="61" t="s">
        <v>10</v>
      </c>
      <c r="U480" s="61" t="s">
        <v>10</v>
      </c>
      <c r="V480" s="61" t="s">
        <v>10</v>
      </c>
      <c r="W480" s="61" t="s">
        <v>10</v>
      </c>
      <c r="X480" s="69" t="s">
        <v>10</v>
      </c>
      <c r="Y480" s="1" t="s">
        <v>10</v>
      </c>
    </row>
    <row r="481" spans="2:26" x14ac:dyDescent="0.2">
      <c r="B481" s="216" t="s">
        <v>10</v>
      </c>
      <c r="C481" s="217" t="s">
        <v>10</v>
      </c>
      <c r="D481" s="62" t="s">
        <v>10</v>
      </c>
      <c r="E481" s="61" t="s">
        <v>10</v>
      </c>
      <c r="F481" s="61" t="s">
        <v>10</v>
      </c>
      <c r="G481" s="62" t="s">
        <v>10</v>
      </c>
      <c r="H481" s="60" t="s">
        <v>10</v>
      </c>
      <c r="I481" s="62" t="s">
        <v>10</v>
      </c>
      <c r="J481" s="61" t="s">
        <v>10</v>
      </c>
      <c r="K481" s="68" t="s">
        <v>10</v>
      </c>
      <c r="L481" s="63" t="s">
        <v>10</v>
      </c>
      <c r="M481" s="61" t="s">
        <v>10</v>
      </c>
      <c r="N481" s="68" t="s">
        <v>10</v>
      </c>
      <c r="O481" s="52" t="s">
        <v>176</v>
      </c>
      <c r="P481" s="61" t="s">
        <v>10</v>
      </c>
      <c r="Q481" s="61" t="s">
        <v>10</v>
      </c>
      <c r="R481" s="61" t="s">
        <v>10</v>
      </c>
      <c r="S481" s="61" t="s">
        <v>10</v>
      </c>
      <c r="T481" s="61" t="s">
        <v>10</v>
      </c>
      <c r="U481" s="61" t="s">
        <v>10</v>
      </c>
      <c r="V481" s="61" t="s">
        <v>10</v>
      </c>
      <c r="W481" s="61" t="s">
        <v>10</v>
      </c>
      <c r="X481" s="69" t="s">
        <v>10</v>
      </c>
      <c r="Y481" s="1" t="s">
        <v>10</v>
      </c>
    </row>
    <row r="482" spans="2:26" x14ac:dyDescent="0.2">
      <c r="B482" s="216">
        <v>100</v>
      </c>
      <c r="C482" s="217">
        <v>99</v>
      </c>
      <c r="D482" s="58" t="s">
        <v>10</v>
      </c>
      <c r="E482" s="61">
        <f>IF(B482=0,cell_HGL,IF(VLOOKUP(B482,table_HGL_JCTS,17,FALSE)&lt;X482,X482,VLOOKUP(B482,table_HGL_JCTS,17,FALSE)))</f>
        <v>386.37852559193283</v>
      </c>
      <c r="F482" s="61">
        <f>IF(B482=0,(E482+K482),IF(VLOOKUP(B482,table_HGL_JCTS,13,FALSE)="T-INTERSECTION",(E482+K482),(IF(VLOOKUP(B482,table_HGL_JCTS,17,FALSE)&lt;X482,(E482+K482),VLOOKUP(B482,table_HGL_JCTS,18,FALSE)))))</f>
        <v>386.54662048977696</v>
      </c>
      <c r="G482" s="62">
        <f>VLOOKUP(C482,table_CIA_JCTS,18)</f>
        <v>18</v>
      </c>
      <c r="H482" s="60">
        <f>VLOOKUP(C482,table_CIA_JCTS,17)</f>
        <v>1.5948792874467954</v>
      </c>
      <c r="I482" s="62">
        <f>VLOOKUP(C482,table_CIA_JCTS,21)</f>
        <v>240</v>
      </c>
      <c r="J482" s="61">
        <f>H482/((G482/12)^2*3.1416/4)</f>
        <v>0.90251494635248586</v>
      </c>
      <c r="K482" s="61">
        <f>(J482^2)/64.4</f>
        <v>1.2648031496733389E-2</v>
      </c>
      <c r="L482" s="63">
        <f>(H482/((1.486/cell_NP)*((3.1416*(G482/12)^2)/4)*(G482/48)^(2/3)))^2</f>
        <v>2.3052402892516626E-4</v>
      </c>
      <c r="M482" s="61">
        <f>L482*I482</f>
        <v>5.5325766942039903E-2</v>
      </c>
      <c r="N482" s="68" t="s">
        <v>10</v>
      </c>
      <c r="O482" s="52" t="s">
        <v>10</v>
      </c>
      <c r="P482" s="257" t="s">
        <v>10</v>
      </c>
      <c r="Q482" s="61">
        <f>SUM(P482)</f>
        <v>0</v>
      </c>
      <c r="R482" s="61">
        <f>Q482+M482</f>
        <v>5.5325766942039903E-2</v>
      </c>
      <c r="S482" s="61">
        <f>IF(O482="T-INTERSECTION",T482,(T482-K482))</f>
        <v>386.58929822522225</v>
      </c>
      <c r="T482" s="61">
        <f>IF(O482="T-INTERSECTION",(R482+F482-K482),(R482+F482))</f>
        <v>386.60194625671897</v>
      </c>
      <c r="U482" s="61">
        <f>VLOOKUP(C482,table_CIA_JCTS,26)</f>
        <v>389</v>
      </c>
      <c r="V482" s="277">
        <f>U482-0.5-S482</f>
        <v>1.9107017747777491</v>
      </c>
      <c r="W482" s="61" t="s">
        <v>10</v>
      </c>
      <c r="X482" s="69">
        <f>IF(B482&gt;0,VLOOKUP(B482,table_CIA_JCTS,28)," ")</f>
        <v>383.9</v>
      </c>
      <c r="Y482" s="1">
        <v>2.84</v>
      </c>
      <c r="Z482" s="88">
        <f t="shared" si="5"/>
        <v>-0.92929822522225081</v>
      </c>
    </row>
    <row r="483" spans="2:26" x14ac:dyDescent="0.2">
      <c r="B483" s="216" t="s">
        <v>10</v>
      </c>
      <c r="C483" s="217" t="s">
        <v>10</v>
      </c>
      <c r="D483" s="62" t="s">
        <v>10</v>
      </c>
      <c r="E483" s="61" t="s">
        <v>10</v>
      </c>
      <c r="F483" s="61" t="s">
        <v>10</v>
      </c>
      <c r="G483" s="62" t="s">
        <v>10</v>
      </c>
      <c r="H483" s="60" t="s">
        <v>10</v>
      </c>
      <c r="I483" s="62" t="s">
        <v>10</v>
      </c>
      <c r="J483" s="61" t="s">
        <v>10</v>
      </c>
      <c r="K483" s="68" t="s">
        <v>10</v>
      </c>
      <c r="L483" s="63" t="s">
        <v>10</v>
      </c>
      <c r="M483" s="61" t="s">
        <v>10</v>
      </c>
      <c r="N483" s="68" t="s">
        <v>10</v>
      </c>
      <c r="O483" s="52" t="s">
        <v>176</v>
      </c>
      <c r="P483" s="61" t="s">
        <v>10</v>
      </c>
      <c r="Q483" s="61" t="s">
        <v>10</v>
      </c>
      <c r="R483" s="61" t="s">
        <v>10</v>
      </c>
      <c r="S483" s="61" t="s">
        <v>10</v>
      </c>
      <c r="T483" s="61" t="s">
        <v>10</v>
      </c>
      <c r="U483" s="61" t="s">
        <v>10</v>
      </c>
      <c r="V483" s="61" t="s">
        <v>10</v>
      </c>
      <c r="W483" s="61" t="s">
        <v>10</v>
      </c>
      <c r="X483" s="69" t="s">
        <v>10</v>
      </c>
      <c r="Y483" s="1" t="s">
        <v>10</v>
      </c>
    </row>
    <row r="484" spans="2:26" x14ac:dyDescent="0.2">
      <c r="B484" s="216" t="s">
        <v>10</v>
      </c>
      <c r="C484" s="217" t="s">
        <v>10</v>
      </c>
      <c r="D484" s="62" t="s">
        <v>10</v>
      </c>
      <c r="E484" s="61" t="s">
        <v>10</v>
      </c>
      <c r="F484" s="61" t="s">
        <v>10</v>
      </c>
      <c r="G484" s="62" t="s">
        <v>10</v>
      </c>
      <c r="H484" s="60" t="s">
        <v>10</v>
      </c>
      <c r="I484" s="62" t="s">
        <v>10</v>
      </c>
      <c r="J484" s="61" t="s">
        <v>10</v>
      </c>
      <c r="K484" s="68" t="s">
        <v>10</v>
      </c>
      <c r="L484" s="63" t="s">
        <v>10</v>
      </c>
      <c r="M484" s="61" t="s">
        <v>10</v>
      </c>
      <c r="N484" s="68" t="s">
        <v>10</v>
      </c>
      <c r="O484" s="52" t="s">
        <v>176</v>
      </c>
      <c r="P484" s="61" t="s">
        <v>10</v>
      </c>
      <c r="Q484" s="61" t="s">
        <v>10</v>
      </c>
      <c r="R484" s="61" t="s">
        <v>10</v>
      </c>
      <c r="S484" s="61" t="s">
        <v>10</v>
      </c>
      <c r="T484" s="61" t="s">
        <v>10</v>
      </c>
      <c r="U484" s="61" t="s">
        <v>10</v>
      </c>
      <c r="V484" s="61" t="s">
        <v>10</v>
      </c>
      <c r="W484" s="61" t="s">
        <v>10</v>
      </c>
      <c r="X484" s="69" t="s">
        <v>10</v>
      </c>
      <c r="Y484" s="1" t="s">
        <v>10</v>
      </c>
    </row>
    <row r="485" spans="2:26" x14ac:dyDescent="0.2">
      <c r="B485" s="216">
        <v>98</v>
      </c>
      <c r="C485" s="217">
        <v>97</v>
      </c>
      <c r="D485" s="58" t="s">
        <v>10</v>
      </c>
      <c r="E485" s="61">
        <f>IF(B485=0,cell_HGL,IF(VLOOKUP(B485,table_HGL_JCTS,17,FALSE)&lt;X485,X485,VLOOKUP(B485,table_HGL_JCTS,17,FALSE)))</f>
        <v>387.35939155131246</v>
      </c>
      <c r="F485" s="61">
        <f>IF(B485=0,(E485+K485),IF(VLOOKUP(B485,table_HGL_JCTS,13,FALSE)="T-INTERSECTION",(E485+K485),(IF(VLOOKUP(B485,table_HGL_JCTS,17,FALSE)&lt;X485,(E485+K485),VLOOKUP(B485,table_HGL_JCTS,18,FALSE)))))</f>
        <v>387.63183672453073</v>
      </c>
      <c r="G485" s="62">
        <f>VLOOKUP(C485,table_CIA_JCTS,18)</f>
        <v>18</v>
      </c>
      <c r="H485" s="60">
        <f>VLOOKUP(C485,table_CIA_JCTS,17)</f>
        <v>2.3754480846163593</v>
      </c>
      <c r="I485" s="62">
        <f>VLOOKUP(C485,table_CIA_JCTS,21)</f>
        <v>240</v>
      </c>
      <c r="J485" s="61">
        <f>H485/((G485/12)^2*3.1416/4)</f>
        <v>1.3442254956378119</v>
      </c>
      <c r="K485" s="61">
        <f>(J485^2)/64.4</f>
        <v>2.8058108433582623E-2</v>
      </c>
      <c r="L485" s="63">
        <f>(H485/((1.486/cell_NP)*((3.1416*(G485/12)^2)/4)*(G485/48)^(2/3)))^2</f>
        <v>5.1138931791869452E-4</v>
      </c>
      <c r="M485" s="61">
        <f>L485*I485</f>
        <v>0.12273343630048669</v>
      </c>
      <c r="N485" s="68" t="s">
        <v>10</v>
      </c>
      <c r="O485" s="52" t="s">
        <v>10</v>
      </c>
      <c r="P485" s="257" t="s">
        <v>10</v>
      </c>
      <c r="Q485" s="61">
        <f>SUM(P485)</f>
        <v>0</v>
      </c>
      <c r="R485" s="61">
        <f>Q485+M485</f>
        <v>0.12273343630048669</v>
      </c>
      <c r="S485" s="61">
        <f>IF(O485="T-INTERSECTION",T485,(T485-K485))</f>
        <v>387.72651205239765</v>
      </c>
      <c r="T485" s="61">
        <f>IF(O485="T-INTERSECTION",(R485+F485-K485),(R485+F485))</f>
        <v>387.75457016083124</v>
      </c>
      <c r="U485" s="61">
        <f>VLOOKUP(C485,table_CIA_JCTS,26)</f>
        <v>389.5</v>
      </c>
      <c r="V485" s="277">
        <f>U485-0.5-S485</f>
        <v>1.273487947602348</v>
      </c>
      <c r="W485" s="61" t="s">
        <v>10</v>
      </c>
      <c r="X485" s="69">
        <f>IF(B485&gt;0,VLOOKUP(B485,table_CIA_JCTS,28)," ")</f>
        <v>383.73</v>
      </c>
      <c r="Y485" s="1">
        <v>2.21</v>
      </c>
      <c r="Z485" s="88">
        <f t="shared" si="5"/>
        <v>-0.93651205239765201</v>
      </c>
    </row>
    <row r="486" spans="2:26" x14ac:dyDescent="0.2">
      <c r="B486" s="216" t="s">
        <v>10</v>
      </c>
      <c r="C486" s="217" t="s">
        <v>10</v>
      </c>
      <c r="D486" s="62" t="s">
        <v>10</v>
      </c>
      <c r="E486" s="61" t="s">
        <v>10</v>
      </c>
      <c r="F486" s="61" t="s">
        <v>10</v>
      </c>
      <c r="G486" s="62" t="s">
        <v>10</v>
      </c>
      <c r="H486" s="60" t="s">
        <v>10</v>
      </c>
      <c r="I486" s="62" t="s">
        <v>10</v>
      </c>
      <c r="J486" s="61" t="s">
        <v>10</v>
      </c>
      <c r="K486" s="68" t="s">
        <v>10</v>
      </c>
      <c r="L486" s="63" t="s">
        <v>10</v>
      </c>
      <c r="M486" s="61" t="s">
        <v>10</v>
      </c>
      <c r="N486" s="68" t="s">
        <v>10</v>
      </c>
      <c r="O486" s="52" t="s">
        <v>176</v>
      </c>
      <c r="P486" s="61" t="s">
        <v>10</v>
      </c>
      <c r="Q486" s="61" t="s">
        <v>10</v>
      </c>
      <c r="R486" s="61" t="s">
        <v>10</v>
      </c>
      <c r="S486" s="61" t="s">
        <v>10</v>
      </c>
      <c r="T486" s="61" t="s">
        <v>10</v>
      </c>
      <c r="U486" s="61" t="s">
        <v>10</v>
      </c>
      <c r="V486" s="61" t="s">
        <v>10</v>
      </c>
      <c r="W486" s="61" t="s">
        <v>10</v>
      </c>
      <c r="X486" s="69" t="s">
        <v>10</v>
      </c>
      <c r="Y486" s="1" t="s">
        <v>10</v>
      </c>
    </row>
    <row r="487" spans="2:26" x14ac:dyDescent="0.2">
      <c r="B487" s="216" t="s">
        <v>10</v>
      </c>
      <c r="C487" s="217" t="s">
        <v>10</v>
      </c>
      <c r="D487" s="62" t="s">
        <v>10</v>
      </c>
      <c r="E487" s="61" t="s">
        <v>10</v>
      </c>
      <c r="F487" s="61" t="s">
        <v>10</v>
      </c>
      <c r="G487" s="62" t="s">
        <v>10</v>
      </c>
      <c r="H487" s="60" t="s">
        <v>10</v>
      </c>
      <c r="I487" s="62" t="s">
        <v>10</v>
      </c>
      <c r="J487" s="61" t="s">
        <v>10</v>
      </c>
      <c r="K487" s="68" t="s">
        <v>10</v>
      </c>
      <c r="L487" s="63" t="s">
        <v>10</v>
      </c>
      <c r="M487" s="61" t="s">
        <v>10</v>
      </c>
      <c r="N487" s="68" t="s">
        <v>10</v>
      </c>
      <c r="O487" s="52" t="s">
        <v>176</v>
      </c>
      <c r="P487" s="61" t="s">
        <v>10</v>
      </c>
      <c r="Q487" s="61" t="s">
        <v>10</v>
      </c>
      <c r="R487" s="61" t="s">
        <v>10</v>
      </c>
      <c r="S487" s="61" t="s">
        <v>10</v>
      </c>
      <c r="T487" s="61" t="s">
        <v>10</v>
      </c>
      <c r="U487" s="61" t="s">
        <v>10</v>
      </c>
      <c r="V487" s="61" t="s">
        <v>10</v>
      </c>
      <c r="W487" s="61" t="s">
        <v>10</v>
      </c>
      <c r="X487" s="69" t="s">
        <v>10</v>
      </c>
      <c r="Y487" s="1" t="s">
        <v>10</v>
      </c>
    </row>
    <row r="488" spans="2:26" x14ac:dyDescent="0.2">
      <c r="B488" s="216">
        <v>95.4</v>
      </c>
      <c r="C488" s="217">
        <v>95.3</v>
      </c>
      <c r="D488" s="58" t="s">
        <v>10</v>
      </c>
      <c r="E488" s="61">
        <f>IF(B488=0,cell_HGL,IF(VLOOKUP(B488,table_HGL_JCTS,17,FALSE)&lt;X488,X488,VLOOKUP(B488,table_HGL_JCTS,17,FALSE)))</f>
        <v>388.93592082933748</v>
      </c>
      <c r="F488" s="61">
        <f>IF(B488=0,(E488+K488),IF(VLOOKUP(B488,table_HGL_JCTS,13,FALSE)="T-INTERSECTION",(E488+K488),(IF(VLOOKUP(B488,table_HGL_JCTS,17,FALSE)&lt;X488,(E488+K488),VLOOKUP(B488,table_HGL_JCTS,18,FALSE)))))</f>
        <v>389.15185867804234</v>
      </c>
      <c r="G488" s="62">
        <f>VLOOKUP(C488,table_CIA_JCTS,18)</f>
        <v>24</v>
      </c>
      <c r="H488" s="60">
        <f>VLOOKUP(C488,table_CIA_JCTS,17)</f>
        <v>5.1960908562645853</v>
      </c>
      <c r="I488" s="62">
        <f>VLOOKUP(C488,table_CIA_JCTS,21)</f>
        <v>145</v>
      </c>
      <c r="J488" s="61">
        <f>H488/((G488/12)^2*3.1416/4)</f>
        <v>1.6539632213727353</v>
      </c>
      <c r="K488" s="61">
        <f>(J488^2)/64.4</f>
        <v>4.2478172944932856E-2</v>
      </c>
      <c r="L488" s="63">
        <f>(H488/((1.486/cell_NP)*((3.1416*(G488/12)^2)/4)*(G488/48)^(2/3)))^2</f>
        <v>5.2756273302473344E-4</v>
      </c>
      <c r="M488" s="61">
        <f>L488*I488</f>
        <v>7.6496596288586349E-2</v>
      </c>
      <c r="N488" s="68" t="s">
        <v>10</v>
      </c>
      <c r="O488" s="72" t="s">
        <v>129</v>
      </c>
      <c r="P488" s="61">
        <f>IF(ISBLANK(O488)=FALSE,(VLOOKUP(O488,table_MINOR,2,FALSE))*(K488)," ")</f>
        <v>2.1239086472466428E-2</v>
      </c>
      <c r="Q488" s="61">
        <f>SUM(P488:P489)</f>
        <v>2.1239086472466428E-2</v>
      </c>
      <c r="R488" s="61">
        <f>Q488+M488</f>
        <v>9.7735682761052781E-2</v>
      </c>
      <c r="S488" s="61">
        <f>IF(O488="T-INTERSECTION",T488,(T488-K488))</f>
        <v>389.20711618785845</v>
      </c>
      <c r="T488" s="61">
        <f>IF(O488="T-INTERSECTION",(R488+F488-K488),(R488+F488))</f>
        <v>389.24959436080337</v>
      </c>
      <c r="U488" s="61">
        <f>VLOOKUP(C488,table_CIA_JCTS,26)</f>
        <v>395</v>
      </c>
      <c r="V488" s="61">
        <f>U488-0.5-S488</f>
        <v>5.2928838121415538</v>
      </c>
      <c r="W488" s="61" t="s">
        <v>10</v>
      </c>
      <c r="X488" s="69">
        <f>IF(B488&gt;0,VLOOKUP(B488,table_CIA_JCTS,28)," ")</f>
        <v>384.18</v>
      </c>
      <c r="Y488" s="1">
        <v>6.25</v>
      </c>
      <c r="Z488" s="88">
        <f t="shared" si="5"/>
        <v>-0.95711618785844621</v>
      </c>
    </row>
    <row r="489" spans="2:26" x14ac:dyDescent="0.2">
      <c r="B489" s="216" t="s">
        <v>10</v>
      </c>
      <c r="C489" s="217" t="s">
        <v>10</v>
      </c>
      <c r="D489" s="62" t="s">
        <v>10</v>
      </c>
      <c r="E489" s="61" t="s">
        <v>10</v>
      </c>
      <c r="F489" s="61" t="s">
        <v>10</v>
      </c>
      <c r="G489" s="62" t="s">
        <v>10</v>
      </c>
      <c r="H489" s="60" t="s">
        <v>10</v>
      </c>
      <c r="I489" s="62" t="s">
        <v>10</v>
      </c>
      <c r="J489" s="61" t="s">
        <v>10</v>
      </c>
      <c r="K489" s="68">
        <f>K488</f>
        <v>4.2478172944932856E-2</v>
      </c>
      <c r="L489" s="63" t="s">
        <v>10</v>
      </c>
      <c r="M489" s="61" t="s">
        <v>10</v>
      </c>
      <c r="N489" s="68" t="s">
        <v>10</v>
      </c>
      <c r="O489" s="52" t="s">
        <v>10</v>
      </c>
      <c r="P489" s="257" t="s">
        <v>10</v>
      </c>
      <c r="Q489" s="61" t="s">
        <v>10</v>
      </c>
      <c r="R489" s="61" t="s">
        <v>10</v>
      </c>
      <c r="S489" s="61" t="s">
        <v>10</v>
      </c>
      <c r="T489" s="61" t="s">
        <v>10</v>
      </c>
      <c r="U489" s="61" t="s">
        <v>10</v>
      </c>
      <c r="V489" s="61" t="s">
        <v>10</v>
      </c>
      <c r="W489" s="61" t="s">
        <v>10</v>
      </c>
      <c r="X489" s="69" t="s">
        <v>10</v>
      </c>
      <c r="Y489" s="1" t="s">
        <v>10</v>
      </c>
    </row>
    <row r="490" spans="2:26" x14ac:dyDescent="0.2">
      <c r="B490" s="216">
        <v>95.3</v>
      </c>
      <c r="C490" s="217">
        <v>95.2</v>
      </c>
      <c r="D490" s="58" t="s">
        <v>10</v>
      </c>
      <c r="E490" s="61">
        <f>IF(B490=0,cell_HGL,IF(VLOOKUP(B490,table_HGL_JCTS,17,FALSE)&lt;X490,X490,VLOOKUP(B490,table_HGL_JCTS,17,FALSE)))</f>
        <v>389.20711618785845</v>
      </c>
      <c r="F490" s="61">
        <f>IF(B490=0,(E490+K490),IF(VLOOKUP(B490,table_HGL_JCTS,13,FALSE)="T-INTERSECTION",(E490+K490),(IF(VLOOKUP(B490,table_HGL_JCTS,17,FALSE)&lt;X490,(E490+K490),VLOOKUP(B490,table_HGL_JCTS,18,FALSE)))))</f>
        <v>389.24959436080337</v>
      </c>
      <c r="G490" s="62">
        <f>VLOOKUP(C490,table_CIA_JCTS,18)</f>
        <v>24</v>
      </c>
      <c r="H490" s="60">
        <f>VLOOKUP(C490,table_CIA_JCTS,17)</f>
        <v>5.1960908562645853</v>
      </c>
      <c r="I490" s="62">
        <f>VLOOKUP(C490,table_CIA_JCTS,21)</f>
        <v>132</v>
      </c>
      <c r="J490" s="61">
        <f>H490/((G490/12)^2*3.1416/4)</f>
        <v>1.6539632213727353</v>
      </c>
      <c r="K490" s="61">
        <f>(J490^2)/64.4</f>
        <v>4.2478172944932856E-2</v>
      </c>
      <c r="L490" s="63">
        <f>(H490/((1.486/cell_NP)*((3.1416*(G490/12)^2)/4)*(G490/48)^(2/3)))^2</f>
        <v>5.2756273302473344E-4</v>
      </c>
      <c r="M490" s="61">
        <f>L490*I490</f>
        <v>6.9638280759264815E-2</v>
      </c>
      <c r="N490" s="68" t="s">
        <v>10</v>
      </c>
      <c r="O490" s="72" t="s">
        <v>152</v>
      </c>
      <c r="P490" s="61">
        <f>IF(ISBLANK(O490)=FALSE,(VLOOKUP(O490,table_MINOR,2,FALSE))*(K490)," ")</f>
        <v>2.5486903766959713E-2</v>
      </c>
      <c r="Q490" s="61">
        <f>SUM(P490:P491)</f>
        <v>2.5486903766959713E-2</v>
      </c>
      <c r="R490" s="61">
        <f>Q490+M490</f>
        <v>9.5125184526224524E-2</v>
      </c>
      <c r="S490" s="61">
        <f>IF(O490="T-INTERSECTION",T490,(T490-K490))</f>
        <v>389.30224137238469</v>
      </c>
      <c r="T490" s="61">
        <f>IF(O490="T-INTERSECTION",(R490+F490-K490),(R490+F490))</f>
        <v>389.34471954532961</v>
      </c>
      <c r="U490" s="61">
        <f>VLOOKUP(C490,table_CIA_JCTS,26)</f>
        <v>393.84</v>
      </c>
      <c r="V490" s="61">
        <f>U490-0.5-S490</f>
        <v>4.0377586276152897</v>
      </c>
      <c r="W490" s="61" t="s">
        <v>10</v>
      </c>
      <c r="X490" s="69">
        <f>IF(B490&gt;0,VLOOKUP(B490,table_CIA_JCTS,28)," ")</f>
        <v>384.39</v>
      </c>
      <c r="Y490" s="88">
        <v>4.99</v>
      </c>
      <c r="Z490" s="88">
        <f t="shared" si="5"/>
        <v>-0.95224137238471052</v>
      </c>
    </row>
    <row r="491" spans="2:26" x14ac:dyDescent="0.2">
      <c r="B491" s="216" t="s">
        <v>10</v>
      </c>
      <c r="C491" s="217" t="s">
        <v>10</v>
      </c>
      <c r="D491" s="62" t="s">
        <v>10</v>
      </c>
      <c r="E491" s="61" t="s">
        <v>10</v>
      </c>
      <c r="F491" s="61" t="s">
        <v>10</v>
      </c>
      <c r="G491" s="62" t="s">
        <v>10</v>
      </c>
      <c r="H491" s="60" t="s">
        <v>10</v>
      </c>
      <c r="I491" s="62" t="s">
        <v>10</v>
      </c>
      <c r="J491" s="61" t="s">
        <v>10</v>
      </c>
      <c r="K491" s="68">
        <f>K490</f>
        <v>4.2478172944932856E-2</v>
      </c>
      <c r="L491" s="63" t="s">
        <v>10</v>
      </c>
      <c r="M491" s="61" t="s">
        <v>10</v>
      </c>
      <c r="N491" s="68" t="s">
        <v>10</v>
      </c>
      <c r="O491" s="52"/>
      <c r="P491" s="61" t="str">
        <f>IF(ISBLANK(O491)=FALSE,(VLOOKUP(O491,table_MINOR,2,FALSE))*(K491)," ")</f>
        <v xml:space="preserve"> </v>
      </c>
      <c r="Q491" s="61" t="s">
        <v>10</v>
      </c>
      <c r="R491" s="61" t="s">
        <v>10</v>
      </c>
      <c r="S491" s="61" t="s">
        <v>10</v>
      </c>
      <c r="T491" s="61" t="s">
        <v>10</v>
      </c>
      <c r="U491" s="61" t="s">
        <v>10</v>
      </c>
      <c r="V491" s="61" t="s">
        <v>10</v>
      </c>
      <c r="W491" s="61" t="s">
        <v>10</v>
      </c>
      <c r="X491" s="69" t="s">
        <v>10</v>
      </c>
      <c r="Y491" s="1" t="s">
        <v>10</v>
      </c>
    </row>
    <row r="492" spans="2:26" x14ac:dyDescent="0.2">
      <c r="B492" s="216">
        <v>95.2</v>
      </c>
      <c r="C492" s="217">
        <v>95.15</v>
      </c>
      <c r="D492" s="58" t="s">
        <v>10</v>
      </c>
      <c r="E492" s="61">
        <f>IF(B492=0,cell_HGL,IF(VLOOKUP(B492,table_HGL_JCTS,17,FALSE)&lt;X492,X492,VLOOKUP(B492,table_HGL_JCTS,17,FALSE)))</f>
        <v>389.30224137238469</v>
      </c>
      <c r="F492" s="61">
        <f>IF(B492=0,(E492+K492),IF(VLOOKUP(B492,table_HGL_JCTS,13,FALSE)="T-INTERSECTION",(E492+K492),(IF(VLOOKUP(B492,table_HGL_JCTS,17,FALSE)&lt;X492,(E492+K492),VLOOKUP(B492,table_HGL_JCTS,18,FALSE)))))</f>
        <v>389.34471954532961</v>
      </c>
      <c r="G492" s="62">
        <f>VLOOKUP(C492,table_CIA_JCTS,18)</f>
        <v>18</v>
      </c>
      <c r="H492" s="60">
        <f>VLOOKUP(C492,table_CIA_JCTS,17)</f>
        <v>3.2218243064872034</v>
      </c>
      <c r="I492" s="62">
        <f>VLOOKUP(C492,table_CIA_JCTS,21)</f>
        <v>293</v>
      </c>
      <c r="J492" s="61">
        <f>H492/((G492/12)^2*3.1416/4)</f>
        <v>1.8231753424933952</v>
      </c>
      <c r="K492" s="61">
        <f>(J492^2)/64.4</f>
        <v>5.1614415053973739E-2</v>
      </c>
      <c r="L492" s="63">
        <f>(H492/((1.486/cell_NP)*((3.1416*(G492/12)^2)/4)*(G492/48)^(2/3)))^2</f>
        <v>9.4072843761740883E-4</v>
      </c>
      <c r="M492" s="61">
        <f>L492*I492</f>
        <v>0.27563343222190079</v>
      </c>
      <c r="N492" s="68" t="s">
        <v>10</v>
      </c>
      <c r="O492" s="72" t="s">
        <v>152</v>
      </c>
      <c r="P492" s="61">
        <f>IF(ISBLANK(O492)=FALSE,(VLOOKUP(O492,table_MINOR,2,FALSE))*(K492)," ")</f>
        <v>3.0968649032384242E-2</v>
      </c>
      <c r="Q492" s="61">
        <f>SUM(P492:P493)</f>
        <v>3.0968649032384242E-2</v>
      </c>
      <c r="R492" s="61">
        <f>Q492+M492</f>
        <v>0.30660208125428501</v>
      </c>
      <c r="S492" s="61">
        <f>IF(O492="T-INTERSECTION",T492,(T492-K492))</f>
        <v>389.59970721152996</v>
      </c>
      <c r="T492" s="61">
        <f>IF(O492="T-INTERSECTION",(R492+F492-K492),(R492+F492))</f>
        <v>389.65132162658392</v>
      </c>
      <c r="U492" s="61">
        <f>VLOOKUP(C492,table_CIA_JCTS,26)</f>
        <v>394</v>
      </c>
      <c r="V492" s="61">
        <f>U492-0.5-S492</f>
        <v>3.9002927884700398</v>
      </c>
      <c r="W492" s="61" t="s">
        <v>10</v>
      </c>
      <c r="X492" s="69">
        <f>IF(B492&gt;0,VLOOKUP(B492,table_CIA_JCTS,28)," ")</f>
        <v>387.74</v>
      </c>
      <c r="Y492" s="88">
        <v>4.8499999999999996</v>
      </c>
      <c r="Z492" s="88">
        <f t="shared" si="5"/>
        <v>-0.94970721152995985</v>
      </c>
    </row>
    <row r="493" spans="2:26" x14ac:dyDescent="0.2">
      <c r="B493" s="216" t="s">
        <v>10</v>
      </c>
      <c r="C493" s="217" t="s">
        <v>10</v>
      </c>
      <c r="D493" s="62" t="s">
        <v>10</v>
      </c>
      <c r="E493" s="61" t="s">
        <v>10</v>
      </c>
      <c r="F493" s="61" t="s">
        <v>10</v>
      </c>
      <c r="G493" s="62" t="s">
        <v>10</v>
      </c>
      <c r="H493" s="60" t="s">
        <v>10</v>
      </c>
      <c r="I493" s="62" t="s">
        <v>10</v>
      </c>
      <c r="J493" s="61" t="s">
        <v>10</v>
      </c>
      <c r="K493" s="68">
        <f>K492</f>
        <v>5.1614415053973739E-2</v>
      </c>
      <c r="L493" s="63" t="s">
        <v>10</v>
      </c>
      <c r="M493" s="61" t="s">
        <v>10</v>
      </c>
      <c r="N493" s="68" t="s">
        <v>10</v>
      </c>
      <c r="O493" s="52" t="s">
        <v>10</v>
      </c>
      <c r="P493" s="257" t="s">
        <v>10</v>
      </c>
      <c r="Q493" s="61" t="s">
        <v>10</v>
      </c>
      <c r="R493" s="61" t="s">
        <v>10</v>
      </c>
      <c r="S493" s="61" t="s">
        <v>10</v>
      </c>
      <c r="T493" s="61" t="s">
        <v>10</v>
      </c>
      <c r="U493" s="61" t="s">
        <v>10</v>
      </c>
      <c r="V493" s="61" t="s">
        <v>10</v>
      </c>
      <c r="W493" s="61" t="s">
        <v>10</v>
      </c>
      <c r="X493" s="69" t="s">
        <v>10</v>
      </c>
      <c r="Y493" s="88" t="s">
        <v>10</v>
      </c>
    </row>
    <row r="494" spans="2:26" x14ac:dyDescent="0.2">
      <c r="B494" s="216">
        <v>95.15</v>
      </c>
      <c r="C494" s="217">
        <v>95.1</v>
      </c>
      <c r="D494" s="58" t="s">
        <v>10</v>
      </c>
      <c r="E494" s="61">
        <f>IF(B494=0,cell_HGL,IF(VLOOKUP(B494,table_HGL_JCTS,17,FALSE)&lt;X494,X494,VLOOKUP(B494,table_HGL_JCTS,17,FALSE)))</f>
        <v>389.59970721152996</v>
      </c>
      <c r="F494" s="61">
        <f>IF(B494=0,(E494+K494),IF(VLOOKUP(B494,table_HGL_JCTS,13,FALSE)="T-INTERSECTION",(E494+K494),(IF(VLOOKUP(B494,table_HGL_JCTS,17,FALSE)&lt;X494,(E494+K494),VLOOKUP(B494,table_HGL_JCTS,18,FALSE)))))</f>
        <v>389.65132162658392</v>
      </c>
      <c r="G494" s="62">
        <f>VLOOKUP(C494,table_CIA_JCTS,18)</f>
        <v>18</v>
      </c>
      <c r="H494" s="60">
        <f>VLOOKUP(C494,table_CIA_JCTS,17)</f>
        <v>2.5919772879227869</v>
      </c>
      <c r="I494" s="62">
        <f>VLOOKUP(C494,table_CIA_JCTS,21)</f>
        <v>380</v>
      </c>
      <c r="J494" s="61">
        <f>H494/((G494/12)^2*3.1416/4)</f>
        <v>1.4667556732155091</v>
      </c>
      <c r="K494" s="61">
        <f>(J494^2)/64.4</f>
        <v>3.3406400697358403E-2</v>
      </c>
      <c r="L494" s="63">
        <f>(H494/((1.486/cell_NP)*((3.1416*(G494/12)^2)/4)*(G494/48)^(2/3)))^2</f>
        <v>6.0886771847717773E-4</v>
      </c>
      <c r="M494" s="61">
        <f>L494*I494</f>
        <v>0.23136973302132754</v>
      </c>
      <c r="N494" s="68" t="s">
        <v>10</v>
      </c>
      <c r="O494" s="72" t="s">
        <v>129</v>
      </c>
      <c r="P494" s="61">
        <f>IF(ISBLANK(O494)=FALSE,(VLOOKUP(O494,table_MINOR,2,FALSE))*(K494)," ")</f>
        <v>1.6703200348679201E-2</v>
      </c>
      <c r="Q494" s="61">
        <f>SUM(P494:P495)</f>
        <v>1.6703200348679201E-2</v>
      </c>
      <c r="R494" s="61">
        <f>Q494+M494</f>
        <v>0.24807293337000674</v>
      </c>
      <c r="S494" s="61">
        <f>IF(O494="T-INTERSECTION",T494,(T494-K494))</f>
        <v>389.86598815925657</v>
      </c>
      <c r="T494" s="61">
        <f>IF(O494="T-INTERSECTION",(R494+F494-K494),(R494+F494))</f>
        <v>389.89939455995392</v>
      </c>
      <c r="U494" s="61">
        <f>VLOOKUP(C494,table_CIA_JCTS,26)</f>
        <v>391.1</v>
      </c>
      <c r="V494" s="277">
        <f>U494-0.5-S494</f>
        <v>0.73401184074344883</v>
      </c>
      <c r="W494" s="61" t="s">
        <v>10</v>
      </c>
      <c r="X494" s="69">
        <f>IF(B494&gt;0,VLOOKUP(B494,table_CIA_JCTS,28)," ")</f>
        <v>388.18</v>
      </c>
      <c r="Y494" s="1">
        <v>1.69</v>
      </c>
      <c r="Z494" s="88">
        <f t="shared" si="5"/>
        <v>-0.95598815925655112</v>
      </c>
    </row>
    <row r="495" spans="2:26" x14ac:dyDescent="0.2">
      <c r="B495" s="216" t="s">
        <v>10</v>
      </c>
      <c r="C495" s="217" t="s">
        <v>10</v>
      </c>
      <c r="D495" s="62" t="s">
        <v>10</v>
      </c>
      <c r="E495" s="61" t="s">
        <v>10</v>
      </c>
      <c r="F495" s="61" t="s">
        <v>10</v>
      </c>
      <c r="G495" s="62" t="s">
        <v>10</v>
      </c>
      <c r="H495" s="60" t="s">
        <v>10</v>
      </c>
      <c r="I495" s="62" t="s">
        <v>10</v>
      </c>
      <c r="J495" s="61" t="s">
        <v>10</v>
      </c>
      <c r="K495" s="68">
        <f>K494</f>
        <v>3.3406400697358403E-2</v>
      </c>
      <c r="L495" s="63" t="s">
        <v>10</v>
      </c>
      <c r="M495" s="61" t="s">
        <v>10</v>
      </c>
      <c r="N495" s="68" t="s">
        <v>10</v>
      </c>
      <c r="O495" s="52" t="s">
        <v>10</v>
      </c>
      <c r="P495" s="257" t="s">
        <v>10</v>
      </c>
      <c r="Q495" s="61" t="s">
        <v>10</v>
      </c>
      <c r="R495" s="61" t="s">
        <v>10</v>
      </c>
      <c r="S495" s="61" t="s">
        <v>10</v>
      </c>
      <c r="T495" s="61" t="s">
        <v>10</v>
      </c>
      <c r="U495" s="61" t="s">
        <v>10</v>
      </c>
      <c r="V495" s="61" t="s">
        <v>10</v>
      </c>
      <c r="W495" s="61" t="s">
        <v>10</v>
      </c>
      <c r="X495" s="69" t="s">
        <v>10</v>
      </c>
      <c r="Y495" s="88" t="s">
        <v>10</v>
      </c>
    </row>
    <row r="496" spans="2:26" x14ac:dyDescent="0.2">
      <c r="B496" s="216" t="s">
        <v>10</v>
      </c>
      <c r="C496" s="217" t="s">
        <v>10</v>
      </c>
      <c r="D496" s="62" t="s">
        <v>10</v>
      </c>
      <c r="E496" s="61" t="s">
        <v>10</v>
      </c>
      <c r="F496" s="61" t="s">
        <v>10</v>
      </c>
      <c r="G496" s="62" t="s">
        <v>10</v>
      </c>
      <c r="H496" s="60" t="s">
        <v>10</v>
      </c>
      <c r="I496" s="62" t="s">
        <v>10</v>
      </c>
      <c r="J496" s="61" t="s">
        <v>10</v>
      </c>
      <c r="K496" s="68" t="s">
        <v>10</v>
      </c>
      <c r="L496" s="63" t="s">
        <v>10</v>
      </c>
      <c r="M496" s="61" t="s">
        <v>10</v>
      </c>
      <c r="N496" s="68" t="s">
        <v>10</v>
      </c>
      <c r="O496" s="52" t="s">
        <v>176</v>
      </c>
      <c r="P496" s="61" t="s">
        <v>10</v>
      </c>
      <c r="Q496" s="61" t="s">
        <v>10</v>
      </c>
      <c r="R496" s="61" t="s">
        <v>10</v>
      </c>
      <c r="S496" s="61" t="s">
        <v>10</v>
      </c>
      <c r="T496" s="61" t="s">
        <v>10</v>
      </c>
      <c r="U496" s="61" t="s">
        <v>10</v>
      </c>
      <c r="V496" s="61" t="s">
        <v>10</v>
      </c>
      <c r="W496" s="61" t="s">
        <v>10</v>
      </c>
      <c r="X496" s="69" t="s">
        <v>10</v>
      </c>
      <c r="Y496" s="1" t="s">
        <v>10</v>
      </c>
    </row>
    <row r="497" spans="2:26" x14ac:dyDescent="0.2">
      <c r="B497" s="216">
        <v>95</v>
      </c>
      <c r="C497" s="217">
        <v>94.4</v>
      </c>
      <c r="D497" s="58" t="s">
        <v>10</v>
      </c>
      <c r="E497" s="61">
        <f>IF(B497=0,cell_HGL,IF(VLOOKUP(B497,table_HGL_JCTS,17,FALSE)&lt;X497,X497,VLOOKUP(B497,table_HGL_JCTS,17,FALSE)))</f>
        <v>391.73432160498209</v>
      </c>
      <c r="F497" s="61">
        <f>IF(B497=0,(E497+K497),IF(VLOOKUP(B497,table_HGL_JCTS,13,FALSE)="T-INTERSECTION",(E497+K497),(IF(VLOOKUP(B497,table_HGL_JCTS,17,FALSE)&lt;X497,(E497+K497),VLOOKUP(B497,table_HGL_JCTS,18,FALSE)))))</f>
        <v>391.81066213351596</v>
      </c>
      <c r="G497" s="62">
        <f>VLOOKUP(C497,table_CIA_JCTS,18)</f>
        <v>36</v>
      </c>
      <c r="H497" s="60">
        <f>VLOOKUP(C497,table_CIA_JCTS,17)</f>
        <v>15.673064514069573</v>
      </c>
      <c r="I497" s="62">
        <f>VLOOKUP(C497,table_CIA_JCTS,21)</f>
        <v>366</v>
      </c>
      <c r="J497" s="61">
        <f>H497/((G497/12)^2*3.1416/4)</f>
        <v>2.2172798735350101</v>
      </c>
      <c r="K497" s="61">
        <f>(J497^2)/64.4</f>
        <v>7.6340528533904189E-2</v>
      </c>
      <c r="L497" s="63">
        <f>(H497/((1.486/cell_NP)*((3.1416*(G497/12)^2)/4)*(G497/48)^(2/3)))^2</f>
        <v>5.5217291209573431E-4</v>
      </c>
      <c r="M497" s="61">
        <f>L497*I497</f>
        <v>0.20209528582703876</v>
      </c>
      <c r="N497" s="68" t="s">
        <v>10</v>
      </c>
      <c r="O497" s="72" t="s">
        <v>156</v>
      </c>
      <c r="P497" s="61">
        <f>IF(ISBLANK(O497)=FALSE,(VLOOKUP(O497,table_MINOR,2,FALSE))*(K497)," ")</f>
        <v>5.7255396400428142E-2</v>
      </c>
      <c r="Q497" s="61">
        <f>SUM(P497:P498)</f>
        <v>5.7255396400428142E-2</v>
      </c>
      <c r="R497" s="61">
        <f>Q497+M497</f>
        <v>0.25935068222746688</v>
      </c>
      <c r="S497" s="61">
        <f>IF(O497="T-INTERSECTION",T497,(T497-K497))</f>
        <v>391.99367228720956</v>
      </c>
      <c r="T497" s="61">
        <f>IF(O497="T-INTERSECTION",(R497+F497-K497),(R497+F497))</f>
        <v>392.07001281574344</v>
      </c>
      <c r="U497" s="61">
        <f>VLOOKUP(C497,table_CIA_JCTS,26)</f>
        <v>398.4</v>
      </c>
      <c r="V497" s="61">
        <f>U497-0.5-S497</f>
        <v>5.9063277127904144</v>
      </c>
      <c r="W497" s="61" t="s">
        <v>10</v>
      </c>
      <c r="X497" s="69">
        <f>IF(B497&gt;0,VLOOKUP(B497,table_CIA_JCTS,28)," ")</f>
        <v>388.6</v>
      </c>
      <c r="Y497" s="1">
        <v>6.89</v>
      </c>
      <c r="Z497" s="88">
        <f t="shared" si="5"/>
        <v>-0.98367228720958533</v>
      </c>
    </row>
    <row r="498" spans="2:26" x14ac:dyDescent="0.2">
      <c r="B498" s="216" t="s">
        <v>10</v>
      </c>
      <c r="C498" s="217" t="s">
        <v>10</v>
      </c>
      <c r="D498" s="62" t="s">
        <v>10</v>
      </c>
      <c r="E498" s="61" t="s">
        <v>10</v>
      </c>
      <c r="F498" s="61" t="s">
        <v>10</v>
      </c>
      <c r="G498" s="62" t="s">
        <v>10</v>
      </c>
      <c r="H498" s="60" t="s">
        <v>10</v>
      </c>
      <c r="I498" s="62" t="s">
        <v>10</v>
      </c>
      <c r="J498" s="61" t="s">
        <v>10</v>
      </c>
      <c r="K498" s="68">
        <f>K497</f>
        <v>7.6340528533904189E-2</v>
      </c>
      <c r="L498" s="63" t="s">
        <v>10</v>
      </c>
      <c r="M498" s="61" t="s">
        <v>10</v>
      </c>
      <c r="N498" s="68" t="s">
        <v>10</v>
      </c>
      <c r="O498" s="52" t="s">
        <v>10</v>
      </c>
      <c r="P498" s="257" t="s">
        <v>10</v>
      </c>
      <c r="Q498" s="61" t="s">
        <v>10</v>
      </c>
      <c r="R498" s="61" t="s">
        <v>10</v>
      </c>
      <c r="S498" s="61" t="s">
        <v>10</v>
      </c>
      <c r="T498" s="61" t="s">
        <v>10</v>
      </c>
      <c r="U498" s="61" t="s">
        <v>10</v>
      </c>
      <c r="V498" s="61" t="s">
        <v>10</v>
      </c>
      <c r="W498" s="61" t="s">
        <v>10</v>
      </c>
      <c r="X498" s="69" t="s">
        <v>10</v>
      </c>
      <c r="Y498" s="1" t="s">
        <v>10</v>
      </c>
    </row>
    <row r="499" spans="2:26" x14ac:dyDescent="0.2">
      <c r="B499" s="216">
        <v>94.4</v>
      </c>
      <c r="C499" s="217">
        <v>94.1</v>
      </c>
      <c r="D499" s="58" t="s">
        <v>10</v>
      </c>
      <c r="E499" s="61">
        <f>IF(B499=0,cell_HGL,IF(VLOOKUP(B499,table_HGL_JCTS,17,FALSE)&lt;X499,X499,VLOOKUP(B499,table_HGL_JCTS,17,FALSE)))</f>
        <v>391.99367228720956</v>
      </c>
      <c r="F499" s="61">
        <f>IF(B499=0,(E499+K499),IF(VLOOKUP(B499,table_HGL_JCTS,13,FALSE)="T-INTERSECTION",(E499+K499),(IF(VLOOKUP(B499,table_HGL_JCTS,17,FALSE)&lt;X499,(E499+K499),VLOOKUP(B499,table_HGL_JCTS,18,FALSE)))))</f>
        <v>392.07001281574344</v>
      </c>
      <c r="G499" s="62">
        <f>VLOOKUP(C499,table_CIA_JCTS,18)</f>
        <v>36</v>
      </c>
      <c r="H499" s="60">
        <f>VLOOKUP(C499,table_CIA_JCTS,17)</f>
        <v>12.00499882632927</v>
      </c>
      <c r="I499" s="62">
        <f>VLOOKUP(C499,table_CIA_JCTS,21)</f>
        <v>330</v>
      </c>
      <c r="J499" s="61">
        <f>H499/((G499/12)^2*3.1416/4)</f>
        <v>1.6983559440807614</v>
      </c>
      <c r="K499" s="61">
        <f>(J499^2)/64.4</f>
        <v>4.4789020385007053E-2</v>
      </c>
      <c r="L499" s="63">
        <f>(H499/((1.486/cell_NP)*((3.1416*(G499/12)^2)/4)*(G499/48)^(2/3)))^2</f>
        <v>3.2396008111105682E-4</v>
      </c>
      <c r="M499" s="61">
        <f>L499*I499</f>
        <v>0.10690682676664875</v>
      </c>
      <c r="N499" s="68" t="s">
        <v>10</v>
      </c>
      <c r="O499" s="52" t="s">
        <v>10</v>
      </c>
      <c r="P499" s="257" t="s">
        <v>10</v>
      </c>
      <c r="Q499" s="61">
        <f>SUM(P499)</f>
        <v>0</v>
      </c>
      <c r="R499" s="61">
        <f>Q499+M499</f>
        <v>0.10690682676664875</v>
      </c>
      <c r="S499" s="61">
        <f>IF(O499="T-INTERSECTION",T499,(T499-K499))</f>
        <v>392.13213062212509</v>
      </c>
      <c r="T499" s="61">
        <f>IF(O499="T-INTERSECTION",(R499+F499-K499),(R499+F499))</f>
        <v>392.17691964251009</v>
      </c>
      <c r="U499" s="61">
        <f>VLOOKUP(C499,table_CIA_JCTS,26)</f>
        <v>397</v>
      </c>
      <c r="V499" s="61">
        <f>U499-0.5-S499</f>
        <v>4.3678693778749107</v>
      </c>
      <c r="W499" s="61" t="s">
        <v>10</v>
      </c>
      <c r="X499" s="69">
        <f>IF(B499&gt;0,VLOOKUP(B499,table_CIA_JCTS,28)," ")</f>
        <v>391.17</v>
      </c>
      <c r="Y499" s="88">
        <v>5.2230931732333374</v>
      </c>
      <c r="Z499" s="88">
        <f t="shared" si="5"/>
        <v>-0.85522379535842674</v>
      </c>
    </row>
    <row r="500" spans="2:26" x14ac:dyDescent="0.2">
      <c r="B500" s="216" t="s">
        <v>10</v>
      </c>
      <c r="C500" s="217" t="s">
        <v>10</v>
      </c>
      <c r="D500" s="62" t="s">
        <v>10</v>
      </c>
      <c r="E500" s="61" t="s">
        <v>10</v>
      </c>
      <c r="F500" s="61" t="s">
        <v>10</v>
      </c>
      <c r="G500" s="62" t="s">
        <v>10</v>
      </c>
      <c r="H500" s="60" t="s">
        <v>10</v>
      </c>
      <c r="I500" s="62" t="s">
        <v>10</v>
      </c>
      <c r="J500" s="61" t="s">
        <v>10</v>
      </c>
      <c r="K500" s="68" t="s">
        <v>10</v>
      </c>
      <c r="L500" s="63" t="s">
        <v>10</v>
      </c>
      <c r="M500" s="61" t="s">
        <v>10</v>
      </c>
      <c r="N500" s="68" t="s">
        <v>10</v>
      </c>
      <c r="O500" s="52" t="s">
        <v>176</v>
      </c>
      <c r="P500" s="61" t="s">
        <v>10</v>
      </c>
      <c r="Q500" s="61" t="s">
        <v>10</v>
      </c>
      <c r="R500" s="61" t="s">
        <v>10</v>
      </c>
      <c r="S500" s="61" t="s">
        <v>10</v>
      </c>
      <c r="T500" s="61" t="s">
        <v>10</v>
      </c>
      <c r="U500" s="61" t="s">
        <v>10</v>
      </c>
      <c r="V500" s="61" t="s">
        <v>10</v>
      </c>
      <c r="W500" s="61" t="s">
        <v>10</v>
      </c>
      <c r="X500" s="69" t="s">
        <v>10</v>
      </c>
      <c r="Y500" s="88" t="s">
        <v>10</v>
      </c>
    </row>
    <row r="501" spans="2:26" x14ac:dyDescent="0.2">
      <c r="B501" s="216">
        <v>94.1</v>
      </c>
      <c r="C501" s="217">
        <v>94</v>
      </c>
      <c r="D501" s="58" t="s">
        <v>10</v>
      </c>
      <c r="E501" s="61">
        <f>IF(B501=0,cell_HGL,IF(VLOOKUP(B501,table_HGL_JCTS,17,FALSE)&lt;X501,X501,VLOOKUP(B501,table_HGL_JCTS,17,FALSE)))</f>
        <v>392.13213062212509</v>
      </c>
      <c r="F501" s="61">
        <f>IF(B501=0,(E501+K501),IF(VLOOKUP(B501,table_HGL_JCTS,13,FALSE)="T-INTERSECTION",(E501+K501),(IF(VLOOKUP(B501,table_HGL_JCTS,17,FALSE)&lt;X501,(E501+K501),VLOOKUP(B501,table_HGL_JCTS,18,FALSE)))))</f>
        <v>392.17691964251009</v>
      </c>
      <c r="G501" s="62">
        <f>VLOOKUP(C501,table_CIA_JCTS,18)</f>
        <v>30</v>
      </c>
      <c r="H501" s="60">
        <f>VLOOKUP(C501,table_CIA_JCTS,17)</f>
        <v>12.02380685846755</v>
      </c>
      <c r="I501" s="62">
        <f>VLOOKUP(C501,table_CIA_JCTS,21)</f>
        <v>18</v>
      </c>
      <c r="J501" s="61">
        <f>H501/((G501/12)^2*3.1416/4)</f>
        <v>2.4494640913608459</v>
      </c>
      <c r="K501" s="61">
        <f>(J501^2)/64.4</f>
        <v>9.3165750541400832E-2</v>
      </c>
      <c r="L501" s="63">
        <f>(H501/((1.486/cell_NP)*((3.1416*(G501/12)^2)/4)*(G501/48)^(2/3)))^2</f>
        <v>8.5931267347392169E-4</v>
      </c>
      <c r="M501" s="61">
        <f>L501*I501</f>
        <v>1.546762812253059E-2</v>
      </c>
      <c r="N501" s="68" t="s">
        <v>10</v>
      </c>
      <c r="O501" s="72" t="s">
        <v>129</v>
      </c>
      <c r="P501" s="61">
        <f>IF(ISBLANK(O501)=FALSE,(VLOOKUP(O501,table_MINOR,2,FALSE))*(K501)," ")</f>
        <v>4.6582875270700416E-2</v>
      </c>
      <c r="Q501" s="61">
        <f>SUM(P501:P502)</f>
        <v>4.6582875270700416E-2</v>
      </c>
      <c r="R501" s="61">
        <f>Q501+M501</f>
        <v>6.205050339323101E-2</v>
      </c>
      <c r="S501" s="61">
        <f>IF(O501="T-INTERSECTION",T501,(T501-K501))</f>
        <v>392.14580439536189</v>
      </c>
      <c r="T501" s="61">
        <f>IF(O501="T-INTERSECTION",(R501+F501-K501),(R501+F501))</f>
        <v>392.23897014590329</v>
      </c>
      <c r="U501" s="61">
        <f>VLOOKUP(C501,table_CIA_JCTS,26)</f>
        <v>396.8</v>
      </c>
      <c r="V501" s="61">
        <f>U501-0.5-S501</f>
        <v>4.1541956046381188</v>
      </c>
      <c r="W501" s="61" t="s">
        <v>10</v>
      </c>
      <c r="X501" s="69">
        <f>IF(B501&gt;0,VLOOKUP(B501,table_CIA_JCTS,28)," ")</f>
        <v>391.91</v>
      </c>
      <c r="Y501" s="1">
        <v>4.3279494966067773</v>
      </c>
      <c r="Z501" s="88">
        <f t="shared" si="5"/>
        <v>-0.17375389196865854</v>
      </c>
    </row>
    <row r="502" spans="2:26" x14ac:dyDescent="0.2">
      <c r="B502" s="216" t="s">
        <v>10</v>
      </c>
      <c r="C502" s="217" t="s">
        <v>10</v>
      </c>
      <c r="D502" s="62" t="s">
        <v>10</v>
      </c>
      <c r="E502" s="61" t="s">
        <v>10</v>
      </c>
      <c r="F502" s="61" t="s">
        <v>10</v>
      </c>
      <c r="G502" s="62" t="s">
        <v>10</v>
      </c>
      <c r="H502" s="60" t="s">
        <v>10</v>
      </c>
      <c r="I502" s="62" t="s">
        <v>10</v>
      </c>
      <c r="J502" s="61" t="s">
        <v>10</v>
      </c>
      <c r="K502" s="68">
        <f>K501</f>
        <v>9.3165750541400832E-2</v>
      </c>
      <c r="L502" s="63" t="s">
        <v>10</v>
      </c>
      <c r="M502" s="61" t="s">
        <v>10</v>
      </c>
      <c r="N502" s="68" t="s">
        <v>10</v>
      </c>
      <c r="O502" s="52" t="s">
        <v>10</v>
      </c>
      <c r="P502" s="257" t="s">
        <v>10</v>
      </c>
      <c r="Q502" s="61" t="s">
        <v>10</v>
      </c>
      <c r="R502" s="61" t="s">
        <v>10</v>
      </c>
      <c r="S502" s="61" t="s">
        <v>10</v>
      </c>
      <c r="T502" s="61" t="s">
        <v>10</v>
      </c>
      <c r="U502" s="61" t="s">
        <v>10</v>
      </c>
      <c r="V502" s="61" t="s">
        <v>10</v>
      </c>
      <c r="W502" s="61" t="s">
        <v>10</v>
      </c>
      <c r="X502" s="69" t="s">
        <v>10</v>
      </c>
      <c r="Y502" s="1" t="s">
        <v>10</v>
      </c>
    </row>
    <row r="503" spans="2:26" x14ac:dyDescent="0.2">
      <c r="B503" s="216">
        <v>94</v>
      </c>
      <c r="C503" s="217">
        <v>93</v>
      </c>
      <c r="D503" s="58" t="s">
        <v>10</v>
      </c>
      <c r="E503" s="61">
        <f>IF(B503=0,cell_HGL,IF(VLOOKUP(B503,table_HGL_JCTS,17,FALSE)&lt;X503,X503,VLOOKUP(B503,table_HGL_JCTS,17,FALSE)))</f>
        <v>392.14580439536189</v>
      </c>
      <c r="F503" s="61">
        <f>IF(B503=0,(E503+K503),IF(VLOOKUP(B503,table_HGL_JCTS,13,FALSE)="T-INTERSECTION",(E503+K503),(IF(VLOOKUP(B503,table_HGL_JCTS,17,FALSE)&lt;X503,(E503+K503),VLOOKUP(B503,table_HGL_JCTS,18,FALSE)))))</f>
        <v>392.23897014590329</v>
      </c>
      <c r="G503" s="62">
        <f>VLOOKUP(C503,table_CIA_JCTS,18)</f>
        <v>18</v>
      </c>
      <c r="H503" s="60">
        <f>VLOOKUP(C503,table_CIA_JCTS,17)</f>
        <v>11.472014869790863</v>
      </c>
      <c r="I503" s="62">
        <f>VLOOKUP(C503,table_CIA_JCTS,21)</f>
        <v>41</v>
      </c>
      <c r="J503" s="61">
        <f>H503/((G503/12)^2*3.1416/4)</f>
        <v>6.4918172593106771</v>
      </c>
      <c r="K503" s="61">
        <f>(J503^2)/64.4</f>
        <v>0.65440514484913026</v>
      </c>
      <c r="L503" s="63">
        <f>(H503/((1.486/cell_NP)*((3.1416*(G503/12)^2)/4)*(G503/48)^(2/3)))^2</f>
        <v>1.1927240264932939E-2</v>
      </c>
      <c r="M503" s="61">
        <f>L503*I503</f>
        <v>0.4890168508622505</v>
      </c>
      <c r="N503" s="68" t="s">
        <v>10</v>
      </c>
      <c r="O503" s="72" t="s">
        <v>130</v>
      </c>
      <c r="P503" s="61">
        <f>IF(ISBLANK(O503)=FALSE,(VLOOKUP(O503,table_MINOR,2,FALSE))*(K503)," ")</f>
        <v>0.19632154345473907</v>
      </c>
      <c r="Q503" s="61">
        <f>SUM(P503:P504)</f>
        <v>0.19632154345473907</v>
      </c>
      <c r="R503" s="61">
        <f>Q503+M503</f>
        <v>0.68533839431698951</v>
      </c>
      <c r="S503" s="61">
        <f>IF(O503="T-INTERSECTION",T503,(T503-K503))</f>
        <v>392.26990339537116</v>
      </c>
      <c r="T503" s="61">
        <f>IF(O503="T-INTERSECTION",(R503+F503-K503),(R503+F503))</f>
        <v>392.9243085402203</v>
      </c>
      <c r="U503" s="61">
        <f>VLOOKUP(C503,table_CIA_JCTS,26)</f>
        <v>396.8</v>
      </c>
      <c r="V503" s="61">
        <f>U503-0.5-S503</f>
        <v>4.0300966046288522</v>
      </c>
      <c r="W503" s="61" t="s">
        <v>10</v>
      </c>
      <c r="X503" s="69">
        <f>IF(B503&gt;0,VLOOKUP(B503,table_CIA_JCTS,28)," ")</f>
        <v>389.55</v>
      </c>
      <c r="Y503" s="1">
        <v>4.2038504965975108</v>
      </c>
      <c r="Z503" s="88">
        <f>V503-Y503</f>
        <v>-0.17375389196865854</v>
      </c>
    </row>
    <row r="504" spans="2:26" x14ac:dyDescent="0.2">
      <c r="B504" s="216" t="s">
        <v>10</v>
      </c>
      <c r="C504" s="217" t="s">
        <v>10</v>
      </c>
      <c r="D504" s="62" t="s">
        <v>10</v>
      </c>
      <c r="E504" s="61" t="s">
        <v>10</v>
      </c>
      <c r="F504" s="61" t="s">
        <v>10</v>
      </c>
      <c r="G504" s="62" t="s">
        <v>10</v>
      </c>
      <c r="H504" s="60" t="s">
        <v>10</v>
      </c>
      <c r="I504" s="62" t="s">
        <v>10</v>
      </c>
      <c r="J504" s="61" t="s">
        <v>10</v>
      </c>
      <c r="K504" s="68">
        <f>K503</f>
        <v>0.65440514484913026</v>
      </c>
      <c r="L504" s="63" t="s">
        <v>10</v>
      </c>
      <c r="M504" s="61" t="s">
        <v>10</v>
      </c>
      <c r="N504" s="68" t="s">
        <v>10</v>
      </c>
      <c r="O504" s="52" t="s">
        <v>10</v>
      </c>
      <c r="P504" s="257" t="s">
        <v>10</v>
      </c>
      <c r="Q504" s="61" t="s">
        <v>10</v>
      </c>
      <c r="R504" s="61" t="s">
        <v>10</v>
      </c>
      <c r="S504" s="61" t="s">
        <v>10</v>
      </c>
      <c r="T504" s="61" t="s">
        <v>10</v>
      </c>
      <c r="U504" s="61" t="s">
        <v>10</v>
      </c>
      <c r="V504" s="61" t="s">
        <v>10</v>
      </c>
      <c r="W504" s="61" t="s">
        <v>10</v>
      </c>
      <c r="X504" s="69" t="s">
        <v>10</v>
      </c>
      <c r="Y504" s="1" t="s">
        <v>10</v>
      </c>
    </row>
    <row r="505" spans="2:26" x14ac:dyDescent="0.2">
      <c r="B505" s="216">
        <v>93</v>
      </c>
      <c r="C505" s="217">
        <v>92</v>
      </c>
      <c r="D505" s="58" t="s">
        <v>10</v>
      </c>
      <c r="E505" s="61">
        <f>IF(B505=0,cell_HGL,IF(VLOOKUP(B505,table_HGL_JCTS,17,FALSE)&lt;X505,X505,VLOOKUP(B505,table_HGL_JCTS,17,FALSE)))</f>
        <v>392.53</v>
      </c>
      <c r="F505" s="61">
        <f>IF(B505=0,(E505+K505),IF(VLOOKUP(B505,table_HGL_JCTS,13,FALSE)="T-INTERSECTION",(E505+K505),(IF(VLOOKUP(B505,table_HGL_JCTS,17,FALSE)&lt;X505,(E505+K505),VLOOKUP(B505,table_HGL_JCTS,18,FALSE)))))</f>
        <v>392.7220143151111</v>
      </c>
      <c r="G505" s="62">
        <f>VLOOKUP(C505,table_CIA_JCTS,18)</f>
        <v>18</v>
      </c>
      <c r="H505" s="60">
        <f>VLOOKUP(C505,table_CIA_JCTS,17)</f>
        <v>6.2141703220510944</v>
      </c>
      <c r="I505" s="62">
        <f>VLOOKUP(C505,table_CIA_JCTS,21)</f>
        <v>984</v>
      </c>
      <c r="J505" s="61">
        <f>H505/((G505/12)^2*3.1416/4)</f>
        <v>3.5164928399123414</v>
      </c>
      <c r="K505" s="61">
        <f>(J505^2)/64.4</f>
        <v>0.19201431511109879</v>
      </c>
      <c r="L505" s="63">
        <f>(H505/((1.486/cell_NP)*((3.1416*(G505/12)^2)/4)*(G505/48)^(2/3)))^2</f>
        <v>3.4996681928052592E-3</v>
      </c>
      <c r="M505" s="61">
        <f>L505*I505</f>
        <v>3.443673501720375</v>
      </c>
      <c r="N505" s="68" t="s">
        <v>10</v>
      </c>
      <c r="O505" s="72" t="s">
        <v>152</v>
      </c>
      <c r="P505" s="61">
        <f>IF(ISBLANK(O505)=FALSE,(VLOOKUP(O505,table_MINOR,2,FALSE))*(K505)," ")</f>
        <v>0.11520858906665926</v>
      </c>
      <c r="Q505" s="61">
        <f>SUM(P505:P506)</f>
        <v>0.11520858906665926</v>
      </c>
      <c r="R505" s="61">
        <f>Q505+M505</f>
        <v>3.5588820907870344</v>
      </c>
      <c r="S505" s="61">
        <f>IF(O505="T-INTERSECTION",T505,(T505-K505))</f>
        <v>396.08888209078702</v>
      </c>
      <c r="T505" s="61">
        <f>IF(O505="T-INTERSECTION",(R505+F505-K505),(R505+F505))</f>
        <v>396.28089640589815</v>
      </c>
      <c r="U505" s="61">
        <f>VLOOKUP(C505,table_CIA_JCTS,26)</f>
        <v>401.72</v>
      </c>
      <c r="V505" s="61">
        <f>U505-0.5-S505</f>
        <v>5.1311179092130033</v>
      </c>
      <c r="W505" s="61" t="s">
        <v>10</v>
      </c>
      <c r="X505" s="69">
        <f>IF(B505&gt;0,VLOOKUP(B505,table_CIA_JCTS,28)," ")</f>
        <v>392.53</v>
      </c>
      <c r="Y505" s="1">
        <v>5.1311179092130033</v>
      </c>
      <c r="Z505" s="88">
        <f>V505-Y505</f>
        <v>0</v>
      </c>
    </row>
    <row r="506" spans="2:26" x14ac:dyDescent="0.2">
      <c r="B506" s="216" t="s">
        <v>10</v>
      </c>
      <c r="C506" s="217" t="s">
        <v>10</v>
      </c>
      <c r="D506" s="62" t="s">
        <v>10</v>
      </c>
      <c r="E506" s="61" t="s">
        <v>10</v>
      </c>
      <c r="F506" s="61" t="s">
        <v>10</v>
      </c>
      <c r="G506" s="62" t="s">
        <v>10</v>
      </c>
      <c r="H506" s="60" t="s">
        <v>10</v>
      </c>
      <c r="I506" s="62" t="s">
        <v>10</v>
      </c>
      <c r="J506" s="61" t="s">
        <v>10</v>
      </c>
      <c r="K506" s="68">
        <f>K505</f>
        <v>0.19201431511109879</v>
      </c>
      <c r="L506" s="63" t="s">
        <v>10</v>
      </c>
      <c r="M506" s="61" t="s">
        <v>10</v>
      </c>
      <c r="N506" s="68" t="s">
        <v>10</v>
      </c>
      <c r="O506" s="52" t="s">
        <v>10</v>
      </c>
      <c r="P506" s="257" t="s">
        <v>10</v>
      </c>
      <c r="Q506" s="61" t="s">
        <v>10</v>
      </c>
      <c r="R506" s="61" t="s">
        <v>10</v>
      </c>
      <c r="S506" s="61" t="s">
        <v>10</v>
      </c>
      <c r="T506" s="61" t="s">
        <v>10</v>
      </c>
      <c r="U506" s="61" t="s">
        <v>10</v>
      </c>
      <c r="V506" s="61" t="s">
        <v>10</v>
      </c>
      <c r="W506" s="61" t="s">
        <v>10</v>
      </c>
      <c r="X506" s="69" t="s">
        <v>10</v>
      </c>
      <c r="Y506" s="88" t="s">
        <v>10</v>
      </c>
    </row>
    <row r="507" spans="2:26" x14ac:dyDescent="0.2">
      <c r="B507" s="216">
        <v>92</v>
      </c>
      <c r="C507" s="217">
        <v>90.1</v>
      </c>
      <c r="D507" s="58" t="s">
        <v>10</v>
      </c>
      <c r="E507" s="61">
        <f>IF(B507=0,cell_HGL,IF(VLOOKUP(B507,table_HGL_JCTS,17,FALSE)&lt;X507,X507,VLOOKUP(B507,table_HGL_JCTS,17,FALSE)))</f>
        <v>396.46</v>
      </c>
      <c r="F507" s="61">
        <f>IF(B507=0,(E507+K507),IF(VLOOKUP(B507,table_HGL_JCTS,13,FALSE)="T-INTERSECTION",(E507+K507),(IF(VLOOKUP(B507,table_HGL_JCTS,17,FALSE)&lt;X507,(E507+K507),VLOOKUP(B507,table_HGL_JCTS,18,FALSE)))))</f>
        <v>396.54451318310697</v>
      </c>
      <c r="G507" s="62">
        <f>VLOOKUP(C507,table_CIA_JCTS,18)</f>
        <v>18</v>
      </c>
      <c r="H507" s="60">
        <f>VLOOKUP(C507,table_CIA_JCTS,17)</f>
        <v>4.1226700510167067</v>
      </c>
      <c r="I507" s="62">
        <f>VLOOKUP(C507,table_CIA_JCTS,21)</f>
        <v>469</v>
      </c>
      <c r="J507" s="61">
        <f>H507/((G507/12)^2*3.1416/4)</f>
        <v>2.3329485618180157</v>
      </c>
      <c r="K507" s="61">
        <f>(J507^2)/64.4</f>
        <v>8.4513183106968134E-2</v>
      </c>
      <c r="L507" s="63">
        <f>(H507/((1.486/cell_NP)*((3.1416*(G507/12)^2)/4)*(G507/48)^(2/3)))^2</f>
        <v>1.5403440031075428E-3</v>
      </c>
      <c r="M507" s="61">
        <f>L507*I507</f>
        <v>0.72242133745743753</v>
      </c>
      <c r="N507" s="68" t="s">
        <v>10</v>
      </c>
      <c r="O507" s="72" t="s">
        <v>129</v>
      </c>
      <c r="P507" s="61">
        <f>IF(ISBLANK(O507)=FALSE,(VLOOKUP(O507,table_MINOR,2,FALSE))*(K507)," ")</f>
        <v>4.2256591553484067E-2</v>
      </c>
      <c r="Q507" s="61">
        <f>SUM(P507:P510)</f>
        <v>8.8738842262316542E-2</v>
      </c>
      <c r="R507" s="61">
        <f>Q507+M507</f>
        <v>0.81116017971975407</v>
      </c>
      <c r="S507" s="61">
        <f>IF(O507="T-INTERSECTION",T507,(T507-K507))</f>
        <v>397.27116017971974</v>
      </c>
      <c r="T507" s="61">
        <f>IF(O507="T-INTERSECTION",(R507+F507-K507),(R507+F507))</f>
        <v>397.35567336282674</v>
      </c>
      <c r="U507" s="61">
        <f>VLOOKUP(C507,table_CIA_JCTS,26)</f>
        <v>401.88</v>
      </c>
      <c r="V507" s="61">
        <f>U507-0.5-S507</f>
        <v>4.1088398202802523</v>
      </c>
      <c r="W507" s="61" t="s">
        <v>10</v>
      </c>
      <c r="X507" s="69">
        <f>IF(B507&gt;0,VLOOKUP(B507,table_CIA_JCTS,28)," ")</f>
        <v>396.46</v>
      </c>
      <c r="Y507" s="88">
        <v>4.1088398202802523</v>
      </c>
      <c r="Z507" s="88">
        <f t="shared" ref="Z507" si="6">V507-Y507</f>
        <v>0</v>
      </c>
    </row>
    <row r="508" spans="2:26" x14ac:dyDescent="0.2">
      <c r="B508" s="216" t="s">
        <v>10</v>
      </c>
      <c r="C508" s="217" t="s">
        <v>10</v>
      </c>
      <c r="D508" s="62" t="s">
        <v>10</v>
      </c>
      <c r="E508" s="61" t="s">
        <v>10</v>
      </c>
      <c r="F508" s="61" t="s">
        <v>10</v>
      </c>
      <c r="G508" s="62" t="s">
        <v>10</v>
      </c>
      <c r="H508" s="60" t="s">
        <v>10</v>
      </c>
      <c r="I508" s="62" t="s">
        <v>10</v>
      </c>
      <c r="J508" s="61" t="s">
        <v>10</v>
      </c>
      <c r="K508" s="68">
        <f>K507</f>
        <v>8.4513183106968134E-2</v>
      </c>
      <c r="L508" s="63" t="s">
        <v>10</v>
      </c>
      <c r="M508" s="61" t="s">
        <v>10</v>
      </c>
      <c r="N508" s="68" t="s">
        <v>10</v>
      </c>
      <c r="O508" s="52" t="s">
        <v>130</v>
      </c>
      <c r="P508" s="61">
        <f>IF(ISBLANK(O508)=FALSE,(VLOOKUP(O508,table_MINOR,2,FALSE))*(K508)," ")</f>
        <v>2.5353954932090441E-2</v>
      </c>
      <c r="Q508" s="61" t="s">
        <v>10</v>
      </c>
      <c r="R508" s="61" t="s">
        <v>10</v>
      </c>
      <c r="S508" s="61" t="s">
        <v>10</v>
      </c>
      <c r="T508" s="61" t="s">
        <v>10</v>
      </c>
      <c r="U508" s="61" t="s">
        <v>10</v>
      </c>
      <c r="V508" s="61" t="s">
        <v>10</v>
      </c>
      <c r="W508" s="61" t="s">
        <v>10</v>
      </c>
      <c r="X508" s="69" t="s">
        <v>10</v>
      </c>
      <c r="Y508" s="1" t="s">
        <v>10</v>
      </c>
    </row>
    <row r="509" spans="2:26" x14ac:dyDescent="0.2">
      <c r="B509" s="216" t="s">
        <v>10</v>
      </c>
      <c r="C509" s="217" t="s">
        <v>10</v>
      </c>
      <c r="D509" s="62" t="s">
        <v>10</v>
      </c>
      <c r="E509" s="61" t="s">
        <v>10</v>
      </c>
      <c r="F509" s="61" t="s">
        <v>10</v>
      </c>
      <c r="G509" s="62" t="s">
        <v>10</v>
      </c>
      <c r="H509" s="60" t="s">
        <v>10</v>
      </c>
      <c r="I509" s="62" t="s">
        <v>10</v>
      </c>
      <c r="J509" s="61" t="s">
        <v>10</v>
      </c>
      <c r="K509" s="68">
        <f>K508</f>
        <v>8.4513183106968134E-2</v>
      </c>
      <c r="L509" s="63" t="s">
        <v>10</v>
      </c>
      <c r="M509" s="61" t="s">
        <v>10</v>
      </c>
      <c r="N509" s="68" t="s">
        <v>10</v>
      </c>
      <c r="O509" s="52" t="s">
        <v>131</v>
      </c>
      <c r="P509" s="61">
        <f>IF(ISBLANK(O509)=FALSE,(VLOOKUP(O509,table_MINOR,2,FALSE))*(K509)," ")</f>
        <v>2.1128295776742034E-2</v>
      </c>
      <c r="Q509" s="61" t="s">
        <v>10</v>
      </c>
      <c r="R509" s="61" t="s">
        <v>10</v>
      </c>
      <c r="S509" s="61" t="s">
        <v>10</v>
      </c>
      <c r="T509" s="61" t="s">
        <v>10</v>
      </c>
      <c r="U509" s="61" t="s">
        <v>10</v>
      </c>
      <c r="V509" s="61" t="s">
        <v>10</v>
      </c>
      <c r="W509" s="61" t="s">
        <v>10</v>
      </c>
      <c r="X509" s="69" t="s">
        <v>10</v>
      </c>
      <c r="Y509" s="1" t="s">
        <v>10</v>
      </c>
    </row>
    <row r="510" spans="2:26" x14ac:dyDescent="0.2">
      <c r="B510" s="216" t="s">
        <v>10</v>
      </c>
      <c r="C510" s="217" t="s">
        <v>10</v>
      </c>
      <c r="D510" s="62" t="s">
        <v>10</v>
      </c>
      <c r="E510" s="61" t="s">
        <v>10</v>
      </c>
      <c r="F510" s="61" t="s">
        <v>10</v>
      </c>
      <c r="G510" s="62" t="s">
        <v>10</v>
      </c>
      <c r="H510" s="60" t="s">
        <v>10</v>
      </c>
      <c r="I510" s="62" t="s">
        <v>10</v>
      </c>
      <c r="J510" s="61" t="s">
        <v>10</v>
      </c>
      <c r="K510" s="68">
        <f>K509</f>
        <v>8.4513183106968134E-2</v>
      </c>
      <c r="L510" s="63" t="s">
        <v>10</v>
      </c>
      <c r="M510" s="61" t="s">
        <v>10</v>
      </c>
      <c r="N510" s="68" t="s">
        <v>10</v>
      </c>
      <c r="O510" s="52" t="s">
        <v>10</v>
      </c>
      <c r="P510" s="257" t="s">
        <v>10</v>
      </c>
      <c r="Q510" s="61" t="s">
        <v>10</v>
      </c>
      <c r="R510" s="61" t="s">
        <v>10</v>
      </c>
      <c r="S510" s="61" t="s">
        <v>10</v>
      </c>
      <c r="T510" s="61" t="s">
        <v>10</v>
      </c>
      <c r="U510" s="61" t="s">
        <v>10</v>
      </c>
      <c r="V510" s="61" t="s">
        <v>10</v>
      </c>
      <c r="W510" s="61" t="s">
        <v>10</v>
      </c>
      <c r="X510" s="69" t="s">
        <v>10</v>
      </c>
      <c r="Y510" s="1" t="s">
        <v>10</v>
      </c>
    </row>
    <row r="511" spans="2:26" x14ac:dyDescent="0.2">
      <c r="B511" s="216">
        <v>90.1</v>
      </c>
      <c r="C511" s="217">
        <v>90</v>
      </c>
      <c r="D511" s="58" t="s">
        <v>10</v>
      </c>
      <c r="E511" s="61">
        <f>IF(B511=0,cell_HGL,IF(VLOOKUP(B511,table_HGL_JCTS,17,FALSE)&lt;X511,X511,VLOOKUP(B511,table_HGL_JCTS,17,FALSE)))</f>
        <v>397.27116017971974</v>
      </c>
      <c r="F511" s="61">
        <f>IF(B511=0,(E511+K511),IF(VLOOKUP(B511,table_HGL_JCTS,13,FALSE)="T-INTERSECTION",(E511+K511),(IF(VLOOKUP(B511,table_HGL_JCTS,17,FALSE)&lt;X511,(E511+K511),VLOOKUP(B511,table_HGL_JCTS,18,FALSE)))))</f>
        <v>397.35567336282674</v>
      </c>
      <c r="G511" s="62">
        <f>VLOOKUP(C511,table_CIA_JCTS,18)</f>
        <v>18</v>
      </c>
      <c r="H511" s="60">
        <f>VLOOKUP(C511,table_CIA_JCTS,17)</f>
        <v>2.6149841848929469</v>
      </c>
      <c r="I511" s="62">
        <f>VLOOKUP(C511,table_CIA_JCTS,21)</f>
        <v>71</v>
      </c>
      <c r="J511" s="61">
        <f>H511/((G511/12)^2*3.1416/4)</f>
        <v>1.4797748832260684</v>
      </c>
      <c r="K511" s="61">
        <f>(J511^2)/64.4</f>
        <v>3.4002076165011247E-2</v>
      </c>
      <c r="L511" s="63">
        <f>(H511/((1.486/cell_NP)*((3.1416*(G511/12)^2)/4)*(G511/48)^(2/3)))^2</f>
        <v>6.1972454697026627E-4</v>
      </c>
      <c r="M511" s="61">
        <f>L511*I511</f>
        <v>4.4000442834888909E-2</v>
      </c>
      <c r="N511" s="68" t="s">
        <v>10</v>
      </c>
      <c r="O511" s="52" t="s">
        <v>10</v>
      </c>
      <c r="P511" s="257" t="s">
        <v>10</v>
      </c>
      <c r="Q511" s="61">
        <f>SUM(P511)</f>
        <v>0</v>
      </c>
      <c r="R511" s="61">
        <f>Q511+M511</f>
        <v>4.4000442834888909E-2</v>
      </c>
      <c r="S511" s="61">
        <f>IF(O511="T-INTERSECTION",T511,(T511-K511))</f>
        <v>397.36567172949663</v>
      </c>
      <c r="T511" s="61">
        <f>IF(O511="T-INTERSECTION",(R511+F511-K511),(R511+F511))</f>
        <v>397.39967380566162</v>
      </c>
      <c r="U511" s="61">
        <f>VLOOKUP(C511,table_CIA_JCTS,26)</f>
        <v>401.64</v>
      </c>
      <c r="V511" s="61">
        <f>U511-0.5-S511</f>
        <v>3.7743282705033607</v>
      </c>
      <c r="W511" s="61" t="s">
        <v>10</v>
      </c>
      <c r="X511" s="69">
        <f>IF(B511&gt;0,VLOOKUP(B511,table_CIA_JCTS,28)," ")</f>
        <v>397.17</v>
      </c>
      <c r="Y511" s="1">
        <v>3.7743282705033607</v>
      </c>
      <c r="Z511" s="88">
        <f t="shared" si="5"/>
        <v>0</v>
      </c>
    </row>
    <row r="512" spans="2:26" x14ac:dyDescent="0.2">
      <c r="B512" s="216" t="s">
        <v>10</v>
      </c>
      <c r="C512" s="217" t="s">
        <v>10</v>
      </c>
      <c r="D512" s="62" t="s">
        <v>10</v>
      </c>
      <c r="E512" s="61" t="s">
        <v>10</v>
      </c>
      <c r="F512" s="61" t="s">
        <v>10</v>
      </c>
      <c r="G512" s="62" t="s">
        <v>10</v>
      </c>
      <c r="H512" s="60" t="s">
        <v>10</v>
      </c>
      <c r="I512" s="62" t="s">
        <v>10</v>
      </c>
      <c r="J512" s="61" t="s">
        <v>10</v>
      </c>
      <c r="K512" s="68" t="s">
        <v>10</v>
      </c>
      <c r="L512" s="63" t="s">
        <v>10</v>
      </c>
      <c r="M512" s="61" t="s">
        <v>10</v>
      </c>
      <c r="N512" s="68" t="s">
        <v>10</v>
      </c>
      <c r="O512" s="52" t="s">
        <v>176</v>
      </c>
      <c r="P512" s="61" t="s">
        <v>10</v>
      </c>
      <c r="Q512" s="61" t="s">
        <v>10</v>
      </c>
      <c r="R512" s="61" t="s">
        <v>10</v>
      </c>
      <c r="S512" s="61" t="s">
        <v>10</v>
      </c>
      <c r="T512" s="61" t="s">
        <v>10</v>
      </c>
      <c r="U512" s="61" t="s">
        <v>10</v>
      </c>
      <c r="V512" s="61" t="s">
        <v>10</v>
      </c>
      <c r="W512" s="61" t="s">
        <v>10</v>
      </c>
      <c r="X512" s="69" t="s">
        <v>10</v>
      </c>
      <c r="Y512" s="1" t="s">
        <v>10</v>
      </c>
    </row>
    <row r="513" spans="2:26" x14ac:dyDescent="0.2">
      <c r="B513" s="216" t="s">
        <v>10</v>
      </c>
      <c r="C513" s="217" t="s">
        <v>10</v>
      </c>
      <c r="D513" s="62" t="s">
        <v>10</v>
      </c>
      <c r="E513" s="61" t="s">
        <v>10</v>
      </c>
      <c r="F513" s="61" t="s">
        <v>10</v>
      </c>
      <c r="G513" s="62" t="s">
        <v>10</v>
      </c>
      <c r="H513" s="60" t="s">
        <v>10</v>
      </c>
      <c r="I513" s="62" t="s">
        <v>10</v>
      </c>
      <c r="J513" s="61" t="s">
        <v>10</v>
      </c>
      <c r="K513" s="68" t="s">
        <v>10</v>
      </c>
      <c r="L513" s="63" t="s">
        <v>10</v>
      </c>
      <c r="M513" s="61" t="s">
        <v>10</v>
      </c>
      <c r="N513" s="68" t="s">
        <v>10</v>
      </c>
      <c r="O513" s="52" t="s">
        <v>176</v>
      </c>
      <c r="P513" s="61" t="s">
        <v>10</v>
      </c>
      <c r="Q513" s="61" t="s">
        <v>10</v>
      </c>
      <c r="R513" s="61" t="s">
        <v>10</v>
      </c>
      <c r="S513" s="61" t="s">
        <v>10</v>
      </c>
      <c r="T513" s="61" t="s">
        <v>10</v>
      </c>
      <c r="U513" s="61" t="s">
        <v>10</v>
      </c>
      <c r="V513" s="61" t="s">
        <v>10</v>
      </c>
      <c r="W513" s="61" t="s">
        <v>10</v>
      </c>
      <c r="X513" s="69" t="s">
        <v>10</v>
      </c>
      <c r="Y513" s="1" t="s">
        <v>10</v>
      </c>
    </row>
    <row r="514" spans="2:26" x14ac:dyDescent="0.2">
      <c r="B514" s="216">
        <v>92</v>
      </c>
      <c r="C514" s="217">
        <v>91</v>
      </c>
      <c r="D514" s="58" t="s">
        <v>10</v>
      </c>
      <c r="E514" s="61">
        <f>IF(B514=0,cell_HGL,IF(VLOOKUP(B514,table_HGL_JCTS,17,FALSE)&lt;X514,X514,VLOOKUP(B514,table_HGL_JCTS,17,FALSE)))</f>
        <v>396.46</v>
      </c>
      <c r="F514" s="61">
        <f>IF(B514=0,(E514+K514),IF(VLOOKUP(B514,table_HGL_JCTS,13,FALSE)="T-INTERSECTION",(E514+K514),(IF(VLOOKUP(B514,table_HGL_JCTS,17,FALSE)&lt;X514,(E514+K514),VLOOKUP(B514,table_HGL_JCTS,18,FALSE)))))</f>
        <v>396.49883605574996</v>
      </c>
      <c r="G514" s="62">
        <f>VLOOKUP(C514,table_CIA_JCTS,18)</f>
        <v>18</v>
      </c>
      <c r="H514" s="60">
        <f>VLOOKUP(C514,table_CIA_JCTS,17)</f>
        <v>2.794691709916417</v>
      </c>
      <c r="I514" s="62">
        <f>VLOOKUP(C514,table_CIA_JCTS,21)</f>
        <v>662</v>
      </c>
      <c r="J514" s="61">
        <f>H514/((G514/12)^2*3.1416/4)</f>
        <v>1.5814683020210039</v>
      </c>
      <c r="K514" s="61">
        <f>(J514^2)/64.4</f>
        <v>3.8836055749956473E-2</v>
      </c>
      <c r="L514" s="63">
        <f>(H514/((1.486/cell_NP)*((3.1416*(G514/12)^2)/4)*(G514/48)^(2/3)))^2</f>
        <v>7.0782904370174425E-4</v>
      </c>
      <c r="M514" s="61">
        <f>L514*I514</f>
        <v>0.4685828269305547</v>
      </c>
      <c r="N514" s="68" t="s">
        <v>10</v>
      </c>
      <c r="O514" s="72" t="s">
        <v>129</v>
      </c>
      <c r="P514" s="61">
        <f>IF(ISBLANK(O514)=FALSE,(VLOOKUP(O514,table_MINOR,2,FALSE))*(K514)," ")</f>
        <v>1.9418027874978237E-2</v>
      </c>
      <c r="Q514" s="61">
        <f>SUM(P514:P518)</f>
        <v>6.796309756242383E-2</v>
      </c>
      <c r="R514" s="61">
        <f>Q514+M514</f>
        <v>0.53654592449297855</v>
      </c>
      <c r="S514" s="61">
        <f>IF(O514="T-INTERSECTION",T514,(T514-K514))</f>
        <v>396.99654592449298</v>
      </c>
      <c r="T514" s="61">
        <f>IF(O514="T-INTERSECTION",(R514+F514-K514),(R514+F514))</f>
        <v>397.03538198024296</v>
      </c>
      <c r="U514" s="61">
        <f>VLOOKUP(C514,table_CIA_JCTS,26)</f>
        <v>401.2</v>
      </c>
      <c r="V514" s="61">
        <f>U514-0.5-S514</f>
        <v>3.7034540755070111</v>
      </c>
      <c r="W514" s="61" t="s">
        <v>10</v>
      </c>
      <c r="X514" s="69">
        <f>IF(B514&gt;0,VLOOKUP(B514,table_CIA_JCTS,28)," ")</f>
        <v>396.46</v>
      </c>
      <c r="Y514" s="1">
        <v>3.7034540755070111</v>
      </c>
      <c r="Z514" s="88">
        <f t="shared" si="5"/>
        <v>0</v>
      </c>
    </row>
    <row r="515" spans="2:26" x14ac:dyDescent="0.2">
      <c r="B515" s="216" t="s">
        <v>10</v>
      </c>
      <c r="C515" s="217" t="s">
        <v>10</v>
      </c>
      <c r="D515" s="62" t="s">
        <v>10</v>
      </c>
      <c r="E515" s="61" t="s">
        <v>10</v>
      </c>
      <c r="F515" s="61" t="s">
        <v>10</v>
      </c>
      <c r="G515" s="62" t="s">
        <v>10</v>
      </c>
      <c r="H515" s="60" t="s">
        <v>10</v>
      </c>
      <c r="I515" s="62" t="s">
        <v>10</v>
      </c>
      <c r="J515" s="61" t="s">
        <v>10</v>
      </c>
      <c r="K515" s="68">
        <f>K514</f>
        <v>3.8836055749956473E-2</v>
      </c>
      <c r="L515" s="63" t="s">
        <v>10</v>
      </c>
      <c r="M515" s="61" t="s">
        <v>10</v>
      </c>
      <c r="N515" s="68" t="s">
        <v>10</v>
      </c>
      <c r="O515" s="52" t="s">
        <v>131</v>
      </c>
      <c r="P515" s="61">
        <f>IF(ISBLANK(O515)=FALSE,(VLOOKUP(O515,table_MINOR,2,FALSE))*(K515)," ")</f>
        <v>9.7090139374891183E-3</v>
      </c>
      <c r="Q515" s="61" t="s">
        <v>10</v>
      </c>
      <c r="R515" s="61" t="s">
        <v>10</v>
      </c>
      <c r="S515" s="61" t="s">
        <v>10</v>
      </c>
      <c r="T515" s="61" t="s">
        <v>10</v>
      </c>
      <c r="U515" s="61" t="s">
        <v>10</v>
      </c>
      <c r="V515" s="61" t="s">
        <v>10</v>
      </c>
      <c r="W515" s="61" t="s">
        <v>10</v>
      </c>
      <c r="X515" s="69" t="s">
        <v>10</v>
      </c>
      <c r="Y515" s="88" t="s">
        <v>10</v>
      </c>
    </row>
    <row r="516" spans="2:26" x14ac:dyDescent="0.2">
      <c r="B516" s="216" t="s">
        <v>10</v>
      </c>
      <c r="C516" s="217" t="s">
        <v>10</v>
      </c>
      <c r="D516" s="62" t="s">
        <v>10</v>
      </c>
      <c r="E516" s="61" t="s">
        <v>10</v>
      </c>
      <c r="F516" s="61" t="s">
        <v>10</v>
      </c>
      <c r="G516" s="62" t="s">
        <v>10</v>
      </c>
      <c r="H516" s="60" t="s">
        <v>10</v>
      </c>
      <c r="I516" s="62" t="s">
        <v>10</v>
      </c>
      <c r="J516" s="61" t="s">
        <v>10</v>
      </c>
      <c r="K516" s="68">
        <f>K515</f>
        <v>3.8836055749956473E-2</v>
      </c>
      <c r="L516" s="63" t="s">
        <v>10</v>
      </c>
      <c r="M516" s="61" t="s">
        <v>10</v>
      </c>
      <c r="N516" s="68" t="s">
        <v>10</v>
      </c>
      <c r="O516" s="52" t="s">
        <v>129</v>
      </c>
      <c r="P516" s="61">
        <f>IF(ISBLANK(O516)=FALSE,(VLOOKUP(O516,table_MINOR,2,FALSE))*(K516)," ")</f>
        <v>1.9418027874978237E-2</v>
      </c>
      <c r="Q516" s="61" t="s">
        <v>10</v>
      </c>
      <c r="R516" s="61" t="s">
        <v>10</v>
      </c>
      <c r="S516" s="61" t="s">
        <v>10</v>
      </c>
      <c r="T516" s="61" t="s">
        <v>10</v>
      </c>
      <c r="U516" s="61" t="s">
        <v>10</v>
      </c>
      <c r="V516" s="61" t="s">
        <v>10</v>
      </c>
      <c r="W516" s="61" t="s">
        <v>10</v>
      </c>
      <c r="X516" s="69" t="s">
        <v>10</v>
      </c>
      <c r="Y516" s="88" t="s">
        <v>10</v>
      </c>
    </row>
    <row r="517" spans="2:26" x14ac:dyDescent="0.2">
      <c r="B517" s="216" t="s">
        <v>10</v>
      </c>
      <c r="C517" s="217" t="s">
        <v>10</v>
      </c>
      <c r="D517" s="62" t="s">
        <v>10</v>
      </c>
      <c r="E517" s="61" t="s">
        <v>10</v>
      </c>
      <c r="F517" s="61" t="s">
        <v>10</v>
      </c>
      <c r="G517" s="62" t="s">
        <v>10</v>
      </c>
      <c r="H517" s="60" t="s">
        <v>10</v>
      </c>
      <c r="I517" s="62" t="s">
        <v>10</v>
      </c>
      <c r="J517" s="61" t="s">
        <v>10</v>
      </c>
      <c r="K517" s="68">
        <f>K516</f>
        <v>3.8836055749956473E-2</v>
      </c>
      <c r="L517" s="63" t="s">
        <v>10</v>
      </c>
      <c r="M517" s="61" t="s">
        <v>10</v>
      </c>
      <c r="N517" s="68" t="s">
        <v>10</v>
      </c>
      <c r="O517" s="52" t="s">
        <v>129</v>
      </c>
      <c r="P517" s="61">
        <f>IF(ISBLANK(O517)=FALSE,(VLOOKUP(O517,table_MINOR,2,FALSE))*(K517)," ")</f>
        <v>1.9418027874978237E-2</v>
      </c>
      <c r="Q517" s="61" t="s">
        <v>10</v>
      </c>
      <c r="R517" s="61" t="s">
        <v>10</v>
      </c>
      <c r="S517" s="61" t="s">
        <v>10</v>
      </c>
      <c r="T517" s="61" t="s">
        <v>10</v>
      </c>
      <c r="U517" s="61" t="s">
        <v>10</v>
      </c>
      <c r="V517" s="61" t="s">
        <v>10</v>
      </c>
      <c r="W517" s="61" t="s">
        <v>10</v>
      </c>
      <c r="X517" s="69" t="s">
        <v>10</v>
      </c>
      <c r="Y517" s="88" t="s">
        <v>10</v>
      </c>
    </row>
    <row r="518" spans="2:26" x14ac:dyDescent="0.2">
      <c r="B518" s="216" t="s">
        <v>10</v>
      </c>
      <c r="C518" s="217" t="s">
        <v>10</v>
      </c>
      <c r="D518" s="62" t="s">
        <v>10</v>
      </c>
      <c r="E518" s="61" t="s">
        <v>10</v>
      </c>
      <c r="F518" s="61" t="s">
        <v>10</v>
      </c>
      <c r="G518" s="62" t="s">
        <v>10</v>
      </c>
      <c r="H518" s="60" t="s">
        <v>10</v>
      </c>
      <c r="I518" s="62" t="s">
        <v>10</v>
      </c>
      <c r="J518" s="61" t="s">
        <v>10</v>
      </c>
      <c r="K518" s="68">
        <f>K517</f>
        <v>3.8836055749956473E-2</v>
      </c>
      <c r="L518" s="63" t="s">
        <v>10</v>
      </c>
      <c r="M518" s="61" t="s">
        <v>10</v>
      </c>
      <c r="N518" s="68" t="s">
        <v>10</v>
      </c>
      <c r="O518" s="52" t="s">
        <v>10</v>
      </c>
      <c r="P518" s="257" t="s">
        <v>10</v>
      </c>
      <c r="Q518" s="61" t="s">
        <v>10</v>
      </c>
      <c r="R518" s="61" t="s">
        <v>10</v>
      </c>
      <c r="S518" s="61" t="s">
        <v>10</v>
      </c>
      <c r="T518" s="61" t="s">
        <v>10</v>
      </c>
      <c r="U518" s="61" t="s">
        <v>10</v>
      </c>
      <c r="V518" s="61" t="s">
        <v>10</v>
      </c>
      <c r="W518" s="61" t="s">
        <v>10</v>
      </c>
      <c r="X518" s="69" t="s">
        <v>10</v>
      </c>
      <c r="Y518" s="88" t="s">
        <v>10</v>
      </c>
    </row>
    <row r="519" spans="2:26" x14ac:dyDescent="0.2">
      <c r="B519" s="216" t="s">
        <v>10</v>
      </c>
      <c r="C519" s="217" t="s">
        <v>10</v>
      </c>
      <c r="D519" s="62" t="s">
        <v>10</v>
      </c>
      <c r="E519" s="61" t="s">
        <v>10</v>
      </c>
      <c r="F519" s="61" t="s">
        <v>10</v>
      </c>
      <c r="G519" s="62" t="s">
        <v>10</v>
      </c>
      <c r="H519" s="60" t="s">
        <v>10</v>
      </c>
      <c r="I519" s="62" t="s">
        <v>10</v>
      </c>
      <c r="J519" s="61" t="s">
        <v>10</v>
      </c>
      <c r="K519" s="68" t="s">
        <v>10</v>
      </c>
      <c r="L519" s="63" t="s">
        <v>10</v>
      </c>
      <c r="M519" s="61" t="s">
        <v>10</v>
      </c>
      <c r="N519" s="68" t="s">
        <v>10</v>
      </c>
      <c r="O519" s="52" t="s">
        <v>176</v>
      </c>
      <c r="P519" s="61" t="s">
        <v>10</v>
      </c>
      <c r="Q519" s="61" t="s">
        <v>10</v>
      </c>
      <c r="R519" s="61" t="s">
        <v>10</v>
      </c>
      <c r="S519" s="61" t="s">
        <v>10</v>
      </c>
      <c r="T519" s="61" t="s">
        <v>10</v>
      </c>
      <c r="U519" s="61" t="s">
        <v>10</v>
      </c>
      <c r="V519" s="61" t="s">
        <v>10</v>
      </c>
      <c r="W519" s="61" t="s">
        <v>10</v>
      </c>
      <c r="X519" s="69" t="s">
        <v>10</v>
      </c>
      <c r="Y519" s="1" t="s">
        <v>10</v>
      </c>
    </row>
    <row r="520" spans="2:26" x14ac:dyDescent="0.2">
      <c r="B520" s="216">
        <v>0</v>
      </c>
      <c r="C520" s="217">
        <v>135</v>
      </c>
      <c r="D520" s="58" t="s">
        <v>10</v>
      </c>
      <c r="E520" s="61">
        <f>IF(B520=0,cell_HGL,IF(VLOOKUP(B520,table_HGL_JCTS,17,FALSE)&lt;X520,X520,VLOOKUP(B520,table_HGL_JCTS,17,FALSE)))</f>
        <v>382.27</v>
      </c>
      <c r="F520" s="61">
        <f>IF(B520=0,(E520+K520),IF(VLOOKUP(B520,table_HGL_JCTS,13,FALSE)="T-INTERSECTION",(E520+K520),(IF(VLOOKUP(B520,table_HGL_JCTS,17,FALSE)&lt;X520,(E520+K520),VLOOKUP(B520,table_HGL_JCTS,18,FALSE)))))</f>
        <v>382.31190661531008</v>
      </c>
      <c r="G520" s="62">
        <f>VLOOKUP(C520,table_CIA_JCTS,18)</f>
        <v>18</v>
      </c>
      <c r="H520" s="60">
        <f>VLOOKUP(C520,table_CIA_JCTS,17)</f>
        <v>2.9030708929392315</v>
      </c>
      <c r="I520" s="62">
        <f>VLOOKUP(C520,table_CIA_JCTS,21)</f>
        <v>474</v>
      </c>
      <c r="J520" s="61">
        <f>H520/((G520/12)^2*3.1416/4)</f>
        <v>1.6427982304497251</v>
      </c>
      <c r="K520" s="61">
        <f>(J520^2)/64.4</f>
        <v>4.1906615310073725E-2</v>
      </c>
      <c r="L520" s="63">
        <f>(H520/((1.486/cell_NP)*((3.1416*(G520/12)^2)/4)*(G520/48)^(2/3)))^2</f>
        <v>7.6379330668098543E-4</v>
      </c>
      <c r="M520" s="61">
        <f>L520*I520</f>
        <v>0.36203802736678709</v>
      </c>
      <c r="N520" s="68" t="s">
        <v>10</v>
      </c>
      <c r="O520" s="72" t="s">
        <v>129</v>
      </c>
      <c r="P520" s="61">
        <f>IF(ISBLANK(O520)=FALSE,(VLOOKUP(O520,table_MINOR,2,FALSE))*(K520)," ")</f>
        <v>2.0953307655036862E-2</v>
      </c>
      <c r="Q520" s="61">
        <f>SUM(P520:P522)</f>
        <v>3.1429961482555294E-2</v>
      </c>
      <c r="R520" s="61">
        <f>Q520+M520</f>
        <v>0.39346798884934236</v>
      </c>
      <c r="S520" s="61">
        <f>IF(O520="T-INTERSECTION",T520,(T520-K520))</f>
        <v>382.66346798884933</v>
      </c>
      <c r="T520" s="61">
        <f>IF(O520="T-INTERSECTION",(R520+F520-K520),(R520+F520))</f>
        <v>382.70537460415943</v>
      </c>
      <c r="U520" s="61">
        <f>VLOOKUP(C520,table_CIA_JCTS,26)</f>
        <v>390.12</v>
      </c>
      <c r="V520" s="61">
        <f>U520-0.5-S520</f>
        <v>6.9565320111506708</v>
      </c>
      <c r="W520" s="61" t="s">
        <v>10</v>
      </c>
      <c r="X520" s="69" t="str">
        <f>IF(B520&gt;0,VLOOKUP(B520,table_CIA_JCTS,28)," ")</f>
        <v xml:space="preserve"> </v>
      </c>
      <c r="Y520" s="1">
        <v>6.9565320111506708</v>
      </c>
    </row>
    <row r="521" spans="2:26" x14ac:dyDescent="0.2">
      <c r="B521" s="216" t="s">
        <v>10</v>
      </c>
      <c r="C521" s="217" t="s">
        <v>10</v>
      </c>
      <c r="D521" s="62" t="s">
        <v>10</v>
      </c>
      <c r="E521" s="61" t="s">
        <v>10</v>
      </c>
      <c r="F521" s="61" t="s">
        <v>10</v>
      </c>
      <c r="G521" s="62" t="s">
        <v>10</v>
      </c>
      <c r="H521" s="60" t="s">
        <v>10</v>
      </c>
      <c r="I521" s="62" t="s">
        <v>10</v>
      </c>
      <c r="J521" s="61" t="s">
        <v>10</v>
      </c>
      <c r="K521" s="68">
        <f>K520</f>
        <v>4.1906615310073725E-2</v>
      </c>
      <c r="L521" s="63" t="s">
        <v>10</v>
      </c>
      <c r="M521" s="61" t="s">
        <v>10</v>
      </c>
      <c r="N521" s="68" t="s">
        <v>10</v>
      </c>
      <c r="O521" s="52" t="s">
        <v>131</v>
      </c>
      <c r="P521" s="61">
        <f>IF(ISBLANK(O521)=FALSE,(VLOOKUP(O521,table_MINOR,2,FALSE))*(K521)," ")</f>
        <v>1.0476653827518431E-2</v>
      </c>
      <c r="Q521" s="61" t="s">
        <v>10</v>
      </c>
      <c r="R521" s="61" t="s">
        <v>10</v>
      </c>
      <c r="S521" s="61" t="s">
        <v>10</v>
      </c>
      <c r="T521" s="61" t="s">
        <v>10</v>
      </c>
      <c r="U521" s="61" t="s">
        <v>10</v>
      </c>
      <c r="V521" s="61" t="s">
        <v>10</v>
      </c>
      <c r="W521" s="61" t="s">
        <v>10</v>
      </c>
      <c r="X521" s="69" t="s">
        <v>10</v>
      </c>
      <c r="Y521" s="1" t="s">
        <v>10</v>
      </c>
    </row>
    <row r="522" spans="2:26" x14ac:dyDescent="0.2">
      <c r="B522" s="216" t="s">
        <v>10</v>
      </c>
      <c r="C522" s="217" t="s">
        <v>10</v>
      </c>
      <c r="D522" s="62" t="s">
        <v>10</v>
      </c>
      <c r="E522" s="61" t="s">
        <v>10</v>
      </c>
      <c r="F522" s="61" t="s">
        <v>10</v>
      </c>
      <c r="G522" s="62" t="s">
        <v>10</v>
      </c>
      <c r="H522" s="60" t="s">
        <v>10</v>
      </c>
      <c r="I522" s="62" t="s">
        <v>10</v>
      </c>
      <c r="J522" s="61" t="s">
        <v>10</v>
      </c>
      <c r="K522" s="68">
        <f>K521</f>
        <v>4.1906615310073725E-2</v>
      </c>
      <c r="L522" s="63" t="s">
        <v>10</v>
      </c>
      <c r="M522" s="61" t="s">
        <v>10</v>
      </c>
      <c r="N522" s="68" t="s">
        <v>10</v>
      </c>
      <c r="O522" s="52" t="s">
        <v>10</v>
      </c>
      <c r="P522" s="257" t="s">
        <v>10</v>
      </c>
      <c r="Q522" s="61" t="s">
        <v>10</v>
      </c>
      <c r="R522" s="61" t="s">
        <v>10</v>
      </c>
      <c r="S522" s="61" t="s">
        <v>10</v>
      </c>
      <c r="T522" s="61" t="s">
        <v>10</v>
      </c>
      <c r="U522" s="61" t="s">
        <v>10</v>
      </c>
      <c r="V522" s="61" t="s">
        <v>10</v>
      </c>
      <c r="W522" s="61" t="s">
        <v>10</v>
      </c>
      <c r="X522" s="69" t="s">
        <v>10</v>
      </c>
      <c r="Y522" s="1" t="s">
        <v>10</v>
      </c>
    </row>
    <row r="523" spans="2:26" x14ac:dyDescent="0.2">
      <c r="B523" s="216" t="s">
        <v>10</v>
      </c>
      <c r="C523" s="217" t="s">
        <v>10</v>
      </c>
      <c r="D523" s="62" t="s">
        <v>10</v>
      </c>
      <c r="E523" s="61" t="s">
        <v>10</v>
      </c>
      <c r="F523" s="61" t="s">
        <v>10</v>
      </c>
      <c r="G523" s="62" t="s">
        <v>10</v>
      </c>
      <c r="H523" s="60" t="s">
        <v>10</v>
      </c>
      <c r="I523" s="62" t="s">
        <v>10</v>
      </c>
      <c r="J523" s="61" t="s">
        <v>10</v>
      </c>
      <c r="K523" s="68" t="s">
        <v>10</v>
      </c>
      <c r="L523" s="63" t="s">
        <v>10</v>
      </c>
      <c r="M523" s="61" t="s">
        <v>10</v>
      </c>
      <c r="N523" s="68" t="s">
        <v>10</v>
      </c>
      <c r="O523" s="52" t="s">
        <v>176</v>
      </c>
      <c r="P523" s="61" t="s">
        <v>10</v>
      </c>
      <c r="Q523" s="61" t="s">
        <v>10</v>
      </c>
      <c r="R523" s="61" t="s">
        <v>10</v>
      </c>
      <c r="S523" s="61" t="s">
        <v>10</v>
      </c>
      <c r="T523" s="61" t="s">
        <v>10</v>
      </c>
      <c r="U523" s="61" t="s">
        <v>10</v>
      </c>
      <c r="V523" s="61" t="s">
        <v>10</v>
      </c>
      <c r="W523" s="61" t="s">
        <v>10</v>
      </c>
      <c r="X523" s="69" t="s">
        <v>10</v>
      </c>
      <c r="Y523" s="1" t="s">
        <v>10</v>
      </c>
    </row>
    <row r="524" spans="2:26" x14ac:dyDescent="0.2">
      <c r="B524" s="216">
        <v>0</v>
      </c>
      <c r="C524" s="217">
        <v>156</v>
      </c>
      <c r="D524" s="58" t="s">
        <v>10</v>
      </c>
      <c r="E524" s="61">
        <f>IF(B524=0,cell_HGL,IF(VLOOKUP(B524,table_HGL_JCTS,17,FALSE)&lt;X524,X524,VLOOKUP(B524,table_HGL_JCTS,17,FALSE)))</f>
        <v>382.27</v>
      </c>
      <c r="F524" s="61">
        <f>IF(B524=0,(E524+K524),IF(VLOOKUP(B524,table_HGL_JCTS,13,FALSE)="T-INTERSECTION",(E524+K524),(IF(VLOOKUP(B524,table_HGL_JCTS,17,FALSE)&lt;X524,(E524+K524),VLOOKUP(B524,table_HGL_JCTS,18,FALSE)))))</f>
        <v>382.3613644282525</v>
      </c>
      <c r="G524" s="62">
        <f>VLOOKUP(C524,table_CIA_JCTS,18)</f>
        <v>48</v>
      </c>
      <c r="H524" s="60">
        <f>VLOOKUP(C524,table_CIA_JCTS,17)</f>
        <v>30.481924543450848</v>
      </c>
      <c r="I524" s="62">
        <f>VLOOKUP(C524,table_CIA_JCTS,21)</f>
        <v>304</v>
      </c>
      <c r="J524" s="61">
        <f>H524/((G524/12)^2*3.1416/4)</f>
        <v>2.4256688107533462</v>
      </c>
      <c r="K524" s="61">
        <f>(J524^2)/64.4</f>
        <v>9.1364428252508581E-2</v>
      </c>
      <c r="L524" s="63">
        <f>(H524/((1.486/cell_NP)*((3.1416*(G524/12)^2)/4)*(G524/48)^(2/3)))^2</f>
        <v>4.5031052104478153E-4</v>
      </c>
      <c r="M524" s="61">
        <f>L524*I524</f>
        <v>0.13689439839761358</v>
      </c>
      <c r="N524" s="68" t="s">
        <v>10</v>
      </c>
      <c r="O524" s="72" t="s">
        <v>128</v>
      </c>
      <c r="P524" s="61">
        <f>IF(ISBLANK(O524)=FALSE,(VLOOKUP(O524,table_MINOR,2,FALSE))*(K524)," ")</f>
        <v>9.1364428252508581E-2</v>
      </c>
      <c r="Q524" s="61">
        <f>SUM(P524:P526)</f>
        <v>0.13704664237876288</v>
      </c>
      <c r="R524" s="61">
        <f>Q524+M524</f>
        <v>0.27394104077637649</v>
      </c>
      <c r="S524" s="61">
        <f>IF(O524="T-INTERSECTION",T524,(T524-K524))</f>
        <v>382.54394104077636</v>
      </c>
      <c r="T524" s="61">
        <f>IF(O524="T-INTERSECTION",(R524+F524-K524),(R524+F524))</f>
        <v>382.63530546902888</v>
      </c>
      <c r="U524" s="61">
        <f>VLOOKUP(C524,table_CIA_JCTS,26)</f>
        <v>387.19</v>
      </c>
      <c r="V524" s="61">
        <f>U524-0.5-S524</f>
        <v>4.1460589592236374</v>
      </c>
      <c r="W524" s="61" t="s">
        <v>10</v>
      </c>
      <c r="X524" s="69" t="str">
        <f>IF(B524&gt;0,VLOOKUP(B524,table_CIA_JCTS,28)," ")</f>
        <v xml:space="preserve"> </v>
      </c>
      <c r="Y524" s="1">
        <v>4.2362293335424397</v>
      </c>
      <c r="Z524" s="88">
        <f>V524-Y524</f>
        <v>-9.017037431880226E-2</v>
      </c>
    </row>
    <row r="525" spans="2:26" x14ac:dyDescent="0.2">
      <c r="B525" s="216" t="s">
        <v>10</v>
      </c>
      <c r="C525" s="217" t="s">
        <v>10</v>
      </c>
      <c r="D525" s="62" t="s">
        <v>10</v>
      </c>
      <c r="E525" s="61" t="s">
        <v>10</v>
      </c>
      <c r="F525" s="61" t="s">
        <v>10</v>
      </c>
      <c r="G525" s="62" t="s">
        <v>10</v>
      </c>
      <c r="H525" s="60" t="s">
        <v>10</v>
      </c>
      <c r="I525" s="62" t="s">
        <v>10</v>
      </c>
      <c r="J525" s="61" t="s">
        <v>10</v>
      </c>
      <c r="K525" s="68">
        <f>K524</f>
        <v>9.1364428252508581E-2</v>
      </c>
      <c r="L525" s="63" t="s">
        <v>10</v>
      </c>
      <c r="M525" s="61" t="s">
        <v>10</v>
      </c>
      <c r="N525" s="68" t="s">
        <v>10</v>
      </c>
      <c r="O525" s="52" t="s">
        <v>129</v>
      </c>
      <c r="P525" s="61">
        <f>IF(ISBLANK(O525)=FALSE,(VLOOKUP(O525,table_MINOR,2,FALSE))*(K525)," ")</f>
        <v>4.5682214126254291E-2</v>
      </c>
      <c r="Q525" s="61" t="s">
        <v>10</v>
      </c>
      <c r="R525" s="61" t="s">
        <v>10</v>
      </c>
      <c r="S525" s="61" t="s">
        <v>10</v>
      </c>
      <c r="T525" s="61" t="s">
        <v>10</v>
      </c>
      <c r="U525" s="61" t="s">
        <v>10</v>
      </c>
      <c r="V525" s="61" t="s">
        <v>10</v>
      </c>
      <c r="W525" s="61" t="s">
        <v>10</v>
      </c>
      <c r="X525" s="69" t="s">
        <v>10</v>
      </c>
      <c r="Y525" s="1" t="s">
        <v>10</v>
      </c>
    </row>
    <row r="526" spans="2:26" x14ac:dyDescent="0.2">
      <c r="B526" s="216" t="s">
        <v>10</v>
      </c>
      <c r="C526" s="217" t="s">
        <v>10</v>
      </c>
      <c r="D526" s="62" t="s">
        <v>10</v>
      </c>
      <c r="E526" s="61" t="s">
        <v>10</v>
      </c>
      <c r="F526" s="61" t="s">
        <v>10</v>
      </c>
      <c r="G526" s="62" t="s">
        <v>10</v>
      </c>
      <c r="H526" s="60" t="s">
        <v>10</v>
      </c>
      <c r="I526" s="62" t="s">
        <v>10</v>
      </c>
      <c r="J526" s="61" t="s">
        <v>10</v>
      </c>
      <c r="K526" s="68">
        <f>K525</f>
        <v>9.1364428252508581E-2</v>
      </c>
      <c r="L526" s="63" t="s">
        <v>10</v>
      </c>
      <c r="M526" s="61" t="s">
        <v>10</v>
      </c>
      <c r="N526" s="68" t="s">
        <v>10</v>
      </c>
      <c r="O526" s="52" t="s">
        <v>10</v>
      </c>
      <c r="P526" s="257" t="s">
        <v>10</v>
      </c>
      <c r="Q526" s="61" t="s">
        <v>10</v>
      </c>
      <c r="R526" s="61" t="s">
        <v>10</v>
      </c>
      <c r="S526" s="61" t="s">
        <v>10</v>
      </c>
      <c r="T526" s="61" t="s">
        <v>10</v>
      </c>
      <c r="U526" s="61" t="s">
        <v>10</v>
      </c>
      <c r="V526" s="61" t="s">
        <v>10</v>
      </c>
      <c r="W526" s="61" t="s">
        <v>10</v>
      </c>
      <c r="X526" s="69" t="s">
        <v>10</v>
      </c>
      <c r="Y526" s="1" t="s">
        <v>10</v>
      </c>
    </row>
    <row r="527" spans="2:26" x14ac:dyDescent="0.2">
      <c r="B527" s="216">
        <v>156</v>
      </c>
      <c r="C527" s="217">
        <v>155</v>
      </c>
      <c r="D527" s="58" t="s">
        <v>10</v>
      </c>
      <c r="E527" s="61">
        <f>IF(B527=0,cell_HGL,IF(VLOOKUP(B527,table_HGL_JCTS,17,FALSE)&lt;X527,X527,VLOOKUP(B527,table_HGL_JCTS,17,FALSE)))</f>
        <v>382.54394104077636</v>
      </c>
      <c r="F527" s="61">
        <f>IF(B527=0,(E527+K527),IF(VLOOKUP(B527,table_HGL_JCTS,13,FALSE)="T-INTERSECTION",(E527+K527),(IF(VLOOKUP(B527,table_HGL_JCTS,17,FALSE)&lt;X527,(E527+K527),VLOOKUP(B527,table_HGL_JCTS,18,FALSE)))))</f>
        <v>382.63530546902888</v>
      </c>
      <c r="G527" s="62">
        <f>VLOOKUP(C527,table_CIA_JCTS,18)</f>
        <v>42</v>
      </c>
      <c r="H527" s="60">
        <f>VLOOKUP(C527,table_CIA_JCTS,17)</f>
        <v>30.70525868958088</v>
      </c>
      <c r="I527" s="62">
        <f>VLOOKUP(C527,table_CIA_JCTS,21)</f>
        <v>1084</v>
      </c>
      <c r="J527" s="61">
        <f>H527/((G527/12)^2*3.1416/4)</f>
        <v>3.1914333202975609</v>
      </c>
      <c r="K527" s="61">
        <f>(J527^2)/64.4</f>
        <v>0.158156003694185</v>
      </c>
      <c r="L527" s="63">
        <f>(H527/((1.486/cell_NP)*((3.1416*(G527/12)^2)/4)*(G527/48)^(2/3)))^2</f>
        <v>9.3141500851444045E-4</v>
      </c>
      <c r="M527" s="61">
        <f>L527*I527</f>
        <v>1.0096538692296535</v>
      </c>
      <c r="N527" s="68" t="s">
        <v>10</v>
      </c>
      <c r="O527" s="72" t="s">
        <v>129</v>
      </c>
      <c r="P527" s="61">
        <f>IF(ISBLANK(O527)=FALSE,(VLOOKUP(O527,table_MINOR,2,FALSE))*(K527)," ")</f>
        <v>7.9078001847092502E-2</v>
      </c>
      <c r="Q527" s="61">
        <f>SUM(P527:P530)</f>
        <v>0.19769500461773126</v>
      </c>
      <c r="R527" s="61">
        <f>Q527+M527</f>
        <v>1.2073488738473848</v>
      </c>
      <c r="S527" s="61">
        <f>IF(O527="T-INTERSECTION",T527,(T527-K527))</f>
        <v>383.68449833918208</v>
      </c>
      <c r="T527" s="61">
        <f>IF(O527="T-INTERSECTION",(R527+F527-K527),(R527+F527))</f>
        <v>383.84265434287624</v>
      </c>
      <c r="U527" s="61">
        <f>VLOOKUP(C527,table_CIA_JCTS,26)</f>
        <v>387.63</v>
      </c>
      <c r="V527" s="61">
        <f>U527-0.5-S527</f>
        <v>3.4455016608179108</v>
      </c>
      <c r="W527" s="61" t="s">
        <v>10</v>
      </c>
      <c r="X527" s="69">
        <f>IF(B527&gt;0,VLOOKUP(B527,table_CIA_JCTS,28)," ")</f>
        <v>382.18</v>
      </c>
      <c r="Y527" s="1">
        <v>3.916512626379415</v>
      </c>
      <c r="Z527" s="88">
        <f t="shared" ref="Z527:Z550" si="7">V527-Y527</f>
        <v>-0.47101096556150424</v>
      </c>
    </row>
    <row r="528" spans="2:26" x14ac:dyDescent="0.2">
      <c r="B528" s="216" t="s">
        <v>10</v>
      </c>
      <c r="C528" s="217" t="s">
        <v>10</v>
      </c>
      <c r="D528" s="62" t="s">
        <v>10</v>
      </c>
      <c r="E528" s="61" t="s">
        <v>10</v>
      </c>
      <c r="F528" s="61" t="s">
        <v>10</v>
      </c>
      <c r="G528" s="62" t="s">
        <v>10</v>
      </c>
      <c r="H528" s="60" t="s">
        <v>10</v>
      </c>
      <c r="I528" s="62" t="s">
        <v>10</v>
      </c>
      <c r="J528" s="61" t="s">
        <v>10</v>
      </c>
      <c r="K528" s="68">
        <f>K527</f>
        <v>0.158156003694185</v>
      </c>
      <c r="L528" s="63" t="s">
        <v>10</v>
      </c>
      <c r="M528" s="61" t="s">
        <v>10</v>
      </c>
      <c r="N528" s="68" t="s">
        <v>10</v>
      </c>
      <c r="O528" s="52" t="s">
        <v>131</v>
      </c>
      <c r="P528" s="61">
        <f>IF(ISBLANK(O528)=FALSE,(VLOOKUP(O528,table_MINOR,2,FALSE))*(K528)," ")</f>
        <v>3.9539000923546251E-2</v>
      </c>
      <c r="Q528" s="61" t="s">
        <v>10</v>
      </c>
      <c r="R528" s="61" t="s">
        <v>10</v>
      </c>
      <c r="S528" s="61" t="s">
        <v>10</v>
      </c>
      <c r="T528" s="61" t="s">
        <v>10</v>
      </c>
      <c r="U528" s="61" t="s">
        <v>10</v>
      </c>
      <c r="V528" s="61" t="s">
        <v>10</v>
      </c>
      <c r="W528" s="61" t="s">
        <v>10</v>
      </c>
      <c r="X528" s="69" t="s">
        <v>10</v>
      </c>
      <c r="Y528" s="1" t="s">
        <v>10</v>
      </c>
    </row>
    <row r="529" spans="2:26" x14ac:dyDescent="0.2">
      <c r="B529" s="216" t="s">
        <v>10</v>
      </c>
      <c r="C529" s="217" t="s">
        <v>10</v>
      </c>
      <c r="D529" s="62" t="s">
        <v>10</v>
      </c>
      <c r="E529" s="61" t="s">
        <v>10</v>
      </c>
      <c r="F529" s="61" t="s">
        <v>10</v>
      </c>
      <c r="G529" s="62" t="s">
        <v>10</v>
      </c>
      <c r="H529" s="60" t="s">
        <v>10</v>
      </c>
      <c r="I529" s="62" t="s">
        <v>10</v>
      </c>
      <c r="J529" s="61" t="s">
        <v>10</v>
      </c>
      <c r="K529" s="68">
        <f>K528</f>
        <v>0.158156003694185</v>
      </c>
      <c r="L529" s="63" t="s">
        <v>10</v>
      </c>
      <c r="M529" s="61" t="s">
        <v>10</v>
      </c>
      <c r="N529" s="68" t="s">
        <v>10</v>
      </c>
      <c r="O529" s="52" t="s">
        <v>129</v>
      </c>
      <c r="P529" s="61">
        <f>IF(ISBLANK(O529)=FALSE,(VLOOKUP(O529,table_MINOR,2,FALSE))*(K529)," ")</f>
        <v>7.9078001847092502E-2</v>
      </c>
      <c r="Q529" s="61" t="s">
        <v>10</v>
      </c>
      <c r="R529" s="61" t="s">
        <v>10</v>
      </c>
      <c r="S529" s="61" t="s">
        <v>10</v>
      </c>
      <c r="T529" s="61" t="s">
        <v>10</v>
      </c>
      <c r="U529" s="61" t="s">
        <v>10</v>
      </c>
      <c r="V529" s="61" t="s">
        <v>10</v>
      </c>
      <c r="W529" s="61" t="s">
        <v>10</v>
      </c>
      <c r="X529" s="69" t="s">
        <v>10</v>
      </c>
      <c r="Y529" s="1" t="s">
        <v>10</v>
      </c>
    </row>
    <row r="530" spans="2:26" x14ac:dyDescent="0.2">
      <c r="B530" s="216" t="s">
        <v>10</v>
      </c>
      <c r="C530" s="217" t="s">
        <v>10</v>
      </c>
      <c r="D530" s="62" t="s">
        <v>10</v>
      </c>
      <c r="E530" s="61" t="s">
        <v>10</v>
      </c>
      <c r="F530" s="61" t="s">
        <v>10</v>
      </c>
      <c r="G530" s="62" t="s">
        <v>10</v>
      </c>
      <c r="H530" s="60" t="s">
        <v>10</v>
      </c>
      <c r="I530" s="62" t="s">
        <v>10</v>
      </c>
      <c r="J530" s="61" t="s">
        <v>10</v>
      </c>
      <c r="K530" s="68">
        <f>K529</f>
        <v>0.158156003694185</v>
      </c>
      <c r="L530" s="63" t="s">
        <v>10</v>
      </c>
      <c r="M530" s="61" t="s">
        <v>10</v>
      </c>
      <c r="N530" s="68" t="s">
        <v>10</v>
      </c>
      <c r="O530" s="52" t="s">
        <v>10</v>
      </c>
      <c r="P530" s="257" t="s">
        <v>10</v>
      </c>
      <c r="Q530" s="61" t="s">
        <v>10</v>
      </c>
      <c r="R530" s="61" t="s">
        <v>10</v>
      </c>
      <c r="S530" s="61" t="s">
        <v>10</v>
      </c>
      <c r="T530" s="61" t="s">
        <v>10</v>
      </c>
      <c r="U530" s="61" t="s">
        <v>10</v>
      </c>
      <c r="V530" s="61" t="s">
        <v>10</v>
      </c>
      <c r="W530" s="61" t="s">
        <v>10</v>
      </c>
      <c r="X530" s="69" t="s">
        <v>10</v>
      </c>
      <c r="Y530" s="1" t="s">
        <v>10</v>
      </c>
    </row>
    <row r="531" spans="2:26" x14ac:dyDescent="0.2">
      <c r="B531" s="216">
        <v>155</v>
      </c>
      <c r="C531" s="217">
        <v>154</v>
      </c>
      <c r="D531" s="58" t="s">
        <v>10</v>
      </c>
      <c r="E531" s="61">
        <f>IF(B531=0,cell_HGL,IF(VLOOKUP(B531,table_HGL_JCTS,17,FALSE)&lt;X531,X531,VLOOKUP(B531,table_HGL_JCTS,17,FALSE)))</f>
        <v>383.68449833918208</v>
      </c>
      <c r="F531" s="61">
        <f>IF(B531=0,(E531+K531),IF(VLOOKUP(B531,table_HGL_JCTS,13,FALSE)="T-INTERSECTION",(E531+K531),(IF(VLOOKUP(B531,table_HGL_JCTS,17,FALSE)&lt;X531,(E531+K531),VLOOKUP(B531,table_HGL_JCTS,18,FALSE)))))</f>
        <v>383.84265434287624</v>
      </c>
      <c r="G531" s="62">
        <f>VLOOKUP(C531,table_CIA_JCTS,18)</f>
        <v>42</v>
      </c>
      <c r="H531" s="60">
        <f>VLOOKUP(C531,table_CIA_JCTS,17)</f>
        <v>30.306276119600767</v>
      </c>
      <c r="I531" s="62">
        <f>VLOOKUP(C531,table_CIA_JCTS,21)</f>
        <v>63</v>
      </c>
      <c r="J531" s="61">
        <f>H531/((G531/12)^2*3.1416/4)</f>
        <v>3.1499639980252638</v>
      </c>
      <c r="K531" s="61">
        <f>(J531^2)/64.4</f>
        <v>0.154072565044337</v>
      </c>
      <c r="L531" s="63">
        <f>(H531/((1.486/cell_NP)*((3.1416*(G531/12)^2)/4)*(G531/48)^(2/3)))^2</f>
        <v>9.0736675264063433E-4</v>
      </c>
      <c r="M531" s="61">
        <f>L531*I531</f>
        <v>5.716410541635996E-2</v>
      </c>
      <c r="N531" s="68" t="s">
        <v>10</v>
      </c>
      <c r="O531" s="72" t="s">
        <v>129</v>
      </c>
      <c r="P531" s="61">
        <f>IF(ISBLANK(O531)=FALSE,(VLOOKUP(O531,table_MINOR,2,FALSE))*(K531)," ")</f>
        <v>7.70362825221685E-2</v>
      </c>
      <c r="Q531" s="61">
        <f>SUM(P531:P533)</f>
        <v>0.12325805203546961</v>
      </c>
      <c r="R531" s="61">
        <f>Q531+M531</f>
        <v>0.18042215745182957</v>
      </c>
      <c r="S531" s="61">
        <f>IF(O531="T-INTERSECTION",T531,(T531-K531))</f>
        <v>383.86900393528379</v>
      </c>
      <c r="T531" s="61">
        <f>IF(O531="T-INTERSECTION",(R531+F531-K531),(R531+F531))</f>
        <v>384.0230765003281</v>
      </c>
      <c r="U531" s="61">
        <f>VLOOKUP(C531,table_CIA_JCTS,26)</f>
        <v>387.56</v>
      </c>
      <c r="V531" s="61">
        <f>U531-0.5-S531</f>
        <v>3.1909960647162166</v>
      </c>
      <c r="W531" s="61" t="s">
        <v>10</v>
      </c>
      <c r="X531" s="69">
        <f>IF(B531&gt;0,VLOOKUP(B531,table_CIA_JCTS,28)," ")</f>
        <v>383.46</v>
      </c>
      <c r="Y531" s="1">
        <v>3.4801993520556493</v>
      </c>
      <c r="Z531" s="88">
        <f t="shared" si="7"/>
        <v>-0.28920328733943279</v>
      </c>
    </row>
    <row r="532" spans="2:26" x14ac:dyDescent="0.2">
      <c r="B532" s="216" t="s">
        <v>10</v>
      </c>
      <c r="C532" s="217" t="s">
        <v>10</v>
      </c>
      <c r="D532" s="62" t="s">
        <v>10</v>
      </c>
      <c r="E532" s="61" t="s">
        <v>10</v>
      </c>
      <c r="F532" s="61" t="s">
        <v>10</v>
      </c>
      <c r="G532" s="62" t="s">
        <v>10</v>
      </c>
      <c r="H532" s="60" t="s">
        <v>10</v>
      </c>
      <c r="I532" s="62" t="s">
        <v>10</v>
      </c>
      <c r="J532" s="61" t="s">
        <v>10</v>
      </c>
      <c r="K532" s="68">
        <f>K531</f>
        <v>0.154072565044337</v>
      </c>
      <c r="L532" s="63" t="s">
        <v>10</v>
      </c>
      <c r="M532" s="61" t="s">
        <v>10</v>
      </c>
      <c r="N532" s="68" t="s">
        <v>10</v>
      </c>
      <c r="O532" s="52" t="s">
        <v>130</v>
      </c>
      <c r="P532" s="61">
        <f>IF(ISBLANK(O532)=FALSE,(VLOOKUP(O532,table_MINOR,2,FALSE))*(K532)," ")</f>
        <v>4.6221769513301099E-2</v>
      </c>
      <c r="Q532" s="61" t="s">
        <v>10</v>
      </c>
      <c r="R532" s="61" t="s">
        <v>10</v>
      </c>
      <c r="S532" s="61" t="s">
        <v>10</v>
      </c>
      <c r="T532" s="61" t="s">
        <v>10</v>
      </c>
      <c r="U532" s="61" t="s">
        <v>10</v>
      </c>
      <c r="V532" s="61" t="s">
        <v>10</v>
      </c>
      <c r="W532" s="61" t="s">
        <v>10</v>
      </c>
      <c r="X532" s="69" t="s">
        <v>10</v>
      </c>
      <c r="Y532" s="1" t="s">
        <v>10</v>
      </c>
    </row>
    <row r="533" spans="2:26" x14ac:dyDescent="0.2">
      <c r="B533" s="216" t="s">
        <v>10</v>
      </c>
      <c r="C533" s="217" t="s">
        <v>10</v>
      </c>
      <c r="D533" s="62" t="s">
        <v>10</v>
      </c>
      <c r="E533" s="61" t="s">
        <v>10</v>
      </c>
      <c r="F533" s="61" t="s">
        <v>10</v>
      </c>
      <c r="G533" s="62" t="s">
        <v>10</v>
      </c>
      <c r="H533" s="60" t="s">
        <v>10</v>
      </c>
      <c r="I533" s="62" t="s">
        <v>10</v>
      </c>
      <c r="J533" s="61" t="s">
        <v>10</v>
      </c>
      <c r="K533" s="68">
        <f>K532</f>
        <v>0.154072565044337</v>
      </c>
      <c r="L533" s="63" t="s">
        <v>10</v>
      </c>
      <c r="M533" s="61" t="s">
        <v>10</v>
      </c>
      <c r="N533" s="68" t="s">
        <v>10</v>
      </c>
      <c r="O533" s="52" t="s">
        <v>10</v>
      </c>
      <c r="P533" s="257" t="s">
        <v>10</v>
      </c>
      <c r="Q533" s="61" t="s">
        <v>10</v>
      </c>
      <c r="R533" s="61" t="s">
        <v>10</v>
      </c>
      <c r="S533" s="61" t="s">
        <v>10</v>
      </c>
      <c r="T533" s="61" t="s">
        <v>10</v>
      </c>
      <c r="U533" s="61" t="s">
        <v>10</v>
      </c>
      <c r="V533" s="61" t="s">
        <v>10</v>
      </c>
      <c r="W533" s="61" t="s">
        <v>10</v>
      </c>
      <c r="X533" s="69" t="s">
        <v>10</v>
      </c>
      <c r="Y533" s="1" t="s">
        <v>10</v>
      </c>
    </row>
    <row r="534" spans="2:26" x14ac:dyDescent="0.2">
      <c r="B534" s="216">
        <v>154</v>
      </c>
      <c r="C534" s="217">
        <v>153.1</v>
      </c>
      <c r="D534" s="58" t="s">
        <v>10</v>
      </c>
      <c r="E534" s="61">
        <f>IF(B534=0,cell_HGL,IF(VLOOKUP(B534,table_HGL_JCTS,17,FALSE)&lt;X534,X534,VLOOKUP(B534,table_HGL_JCTS,17,FALSE)))</f>
        <v>383.86900393528379</v>
      </c>
      <c r="F534" s="61">
        <f>IF(B534=0,(E534+K534),IF(VLOOKUP(B534,table_HGL_JCTS,13,FALSE)="T-INTERSECTION",(E534+K534),(IF(VLOOKUP(B534,table_HGL_JCTS,17,FALSE)&lt;X534,(E534+K534),VLOOKUP(B534,table_HGL_JCTS,18,FALSE)))))</f>
        <v>384.0230765003281</v>
      </c>
      <c r="G534" s="62">
        <f>VLOOKUP(C534,table_CIA_JCTS,18)</f>
        <v>42</v>
      </c>
      <c r="H534" s="60">
        <f>VLOOKUP(C534,table_CIA_JCTS,17)</f>
        <v>29.641266939734034</v>
      </c>
      <c r="I534" s="62">
        <f>VLOOKUP(C534,table_CIA_JCTS,21)</f>
        <v>279</v>
      </c>
      <c r="J534" s="61">
        <f>H534/((G534/12)^2*3.1416/4)</f>
        <v>3.0808444873777079</v>
      </c>
      <c r="K534" s="61">
        <f>(J534^2)/64.4</f>
        <v>0.14738513595350328</v>
      </c>
      <c r="L534" s="63">
        <f>(H534/((1.486/cell_NP)*((3.1416*(G534/12)^2)/4)*(G534/48)^(2/3)))^2</f>
        <v>8.6798303227537564E-4</v>
      </c>
      <c r="M534" s="61">
        <f>L534*I534</f>
        <v>0.2421672660048298</v>
      </c>
      <c r="N534" s="68" t="s">
        <v>10</v>
      </c>
      <c r="O534" s="72" t="s">
        <v>156</v>
      </c>
      <c r="P534" s="61">
        <f>IF(ISBLANK(O534)=FALSE,(VLOOKUP(O534,table_MINOR,2,FALSE))*(K534)," ")</f>
        <v>0.11053885196512746</v>
      </c>
      <c r="Q534" s="61">
        <f>SUM(P534:P535)</f>
        <v>0.11053885196512746</v>
      </c>
      <c r="R534" s="61">
        <f>Q534+M534</f>
        <v>0.35270611796995727</v>
      </c>
      <c r="S534" s="61">
        <f>IF(O534="T-INTERSECTION",T534,(T534-K534))</f>
        <v>384.22839748234452</v>
      </c>
      <c r="T534" s="61">
        <f>IF(O534="T-INTERSECTION",(R534+F534-K534),(R534+F534))</f>
        <v>384.37578261829805</v>
      </c>
      <c r="U534" s="61">
        <f>VLOOKUP(C534,table_CIA_JCTS,26)</f>
        <v>387.92</v>
      </c>
      <c r="V534" s="61">
        <f>U534-0.5-S534</f>
        <v>3.1916025176554967</v>
      </c>
      <c r="W534" s="61" t="s">
        <v>10</v>
      </c>
      <c r="X534" s="69">
        <f>IF(B534&gt;0,VLOOKUP(B534,table_CIA_JCTS,28)," ")</f>
        <v>383.52</v>
      </c>
      <c r="Y534" s="1">
        <v>3.6023720027796458</v>
      </c>
      <c r="Z534" s="88">
        <f t="shared" si="7"/>
        <v>-0.41076948512414901</v>
      </c>
    </row>
    <row r="535" spans="2:26" x14ac:dyDescent="0.2">
      <c r="B535" s="216" t="s">
        <v>10</v>
      </c>
      <c r="C535" s="217" t="s">
        <v>10</v>
      </c>
      <c r="D535" s="62" t="s">
        <v>10</v>
      </c>
      <c r="E535" s="61" t="s">
        <v>10</v>
      </c>
      <c r="F535" s="61" t="s">
        <v>10</v>
      </c>
      <c r="G535" s="62" t="s">
        <v>10</v>
      </c>
      <c r="H535" s="60" t="s">
        <v>10</v>
      </c>
      <c r="I535" s="62" t="s">
        <v>10</v>
      </c>
      <c r="J535" s="61" t="s">
        <v>10</v>
      </c>
      <c r="K535" s="68">
        <f>K534</f>
        <v>0.14738513595350328</v>
      </c>
      <c r="L535" s="63" t="s">
        <v>10</v>
      </c>
      <c r="M535" s="61" t="s">
        <v>10</v>
      </c>
      <c r="N535" s="68" t="s">
        <v>10</v>
      </c>
      <c r="O535" s="52" t="s">
        <v>10</v>
      </c>
      <c r="P535" s="257" t="s">
        <v>10</v>
      </c>
      <c r="Q535" s="61" t="s">
        <v>10</v>
      </c>
      <c r="R535" s="61" t="s">
        <v>10</v>
      </c>
      <c r="S535" s="61" t="s">
        <v>10</v>
      </c>
      <c r="T535" s="61" t="s">
        <v>10</v>
      </c>
      <c r="U535" s="61" t="s">
        <v>10</v>
      </c>
      <c r="V535" s="61" t="s">
        <v>10</v>
      </c>
      <c r="W535" s="61" t="s">
        <v>10</v>
      </c>
      <c r="X535" s="69" t="s">
        <v>10</v>
      </c>
      <c r="Y535" s="1" t="s">
        <v>10</v>
      </c>
    </row>
    <row r="536" spans="2:26" x14ac:dyDescent="0.2">
      <c r="B536" s="216">
        <v>153.1</v>
      </c>
      <c r="C536" s="217">
        <v>145</v>
      </c>
      <c r="D536" s="58" t="s">
        <v>10</v>
      </c>
      <c r="E536" s="61">
        <f>IF(B536=0,cell_HGL,IF(VLOOKUP(B536,table_HGL_JCTS,17,FALSE)&lt;X536,X536,VLOOKUP(B536,table_HGL_JCTS,17,FALSE)))</f>
        <v>384.22839748234452</v>
      </c>
      <c r="F536" s="61">
        <f>IF(B536=0,(E536+K536),IF(VLOOKUP(B536,table_HGL_JCTS,13,FALSE)="T-INTERSECTION",(E536+K536),(IF(VLOOKUP(B536,table_HGL_JCTS,17,FALSE)&lt;X536,(E536+K536),VLOOKUP(B536,table_HGL_JCTS,18,FALSE)))))</f>
        <v>384.37578261829805</v>
      </c>
      <c r="G536" s="62">
        <f>VLOOKUP(C536,table_CIA_JCTS,18)</f>
        <v>36</v>
      </c>
      <c r="H536" s="60">
        <f>VLOOKUP(C536,table_CIA_JCTS,17)</f>
        <v>23.050746380020193</v>
      </c>
      <c r="I536" s="62">
        <f>VLOOKUP(C536,table_CIA_JCTS,21)</f>
        <v>820</v>
      </c>
      <c r="J536" s="61">
        <f>H536/((G536/12)^2*3.1416/4)</f>
        <v>3.2610059106499438</v>
      </c>
      <c r="K536" s="61">
        <f>(J536^2)/64.4</f>
        <v>0.16512670107599176</v>
      </c>
      <c r="L536" s="63">
        <f>(H536/((1.486/cell_NP)*((3.1416*(G536/12)^2)/4)*(G536/48)^(2/3)))^2</f>
        <v>1.1943654720362354E-3</v>
      </c>
      <c r="M536" s="61">
        <f>L536*I536</f>
        <v>0.97937968706971301</v>
      </c>
      <c r="N536" s="68" t="s">
        <v>10</v>
      </c>
      <c r="O536" s="72" t="s">
        <v>130</v>
      </c>
      <c r="P536" s="61">
        <f>IF(ISBLANK(O536)=FALSE,(VLOOKUP(O536,table_MINOR,2,FALSE))*(K536)," ")</f>
        <v>4.9538010322797525E-2</v>
      </c>
      <c r="Q536" s="61">
        <f>SUM(P536:P540)</f>
        <v>0.17338303612979133</v>
      </c>
      <c r="R536" s="61">
        <f>Q536+M536</f>
        <v>1.1527627231995043</v>
      </c>
      <c r="S536" s="61">
        <f>IF(O536="T-INTERSECTION",T536,(T536-K536))</f>
        <v>385.36341864042151</v>
      </c>
      <c r="T536" s="61">
        <f>IF(O536="T-INTERSECTION",(R536+F536-K536),(R536+F536))</f>
        <v>385.52854534149753</v>
      </c>
      <c r="U536" s="61">
        <f>VLOOKUP(C536,table_CIA_JCTS,26)</f>
        <v>388.56</v>
      </c>
      <c r="V536" s="61">
        <f>U536-0.5-S536</f>
        <v>2.696581359578488</v>
      </c>
      <c r="W536" s="61" t="s">
        <v>10</v>
      </c>
      <c r="X536" s="69">
        <f>IF(B536&gt;0,VLOOKUP(B536,table_CIA_JCTS,28)," ")</f>
        <v>384.07</v>
      </c>
      <c r="Y536" s="1">
        <v>3.2685783323275928</v>
      </c>
      <c r="Z536" s="88">
        <f t="shared" si="7"/>
        <v>-0.57199697274910477</v>
      </c>
    </row>
    <row r="537" spans="2:26" x14ac:dyDescent="0.2">
      <c r="B537" s="216" t="s">
        <v>10</v>
      </c>
      <c r="C537" s="217" t="s">
        <v>10</v>
      </c>
      <c r="D537" s="62" t="s">
        <v>10</v>
      </c>
      <c r="E537" s="61" t="s">
        <v>10</v>
      </c>
      <c r="F537" s="61" t="s">
        <v>10</v>
      </c>
      <c r="G537" s="62" t="s">
        <v>10</v>
      </c>
      <c r="H537" s="60" t="s">
        <v>10</v>
      </c>
      <c r="I537" s="62" t="s">
        <v>10</v>
      </c>
      <c r="J537" s="61" t="s">
        <v>10</v>
      </c>
      <c r="K537" s="68">
        <f>K536</f>
        <v>0.16512670107599176</v>
      </c>
      <c r="L537" s="63" t="s">
        <v>10</v>
      </c>
      <c r="M537" s="61" t="s">
        <v>10</v>
      </c>
      <c r="N537" s="68" t="s">
        <v>10</v>
      </c>
      <c r="O537" s="52" t="s">
        <v>131</v>
      </c>
      <c r="P537" s="61">
        <f>IF(ISBLANK(O537)=FALSE,(VLOOKUP(O537,table_MINOR,2,FALSE))*(K537)," ")</f>
        <v>4.1281675268997939E-2</v>
      </c>
      <c r="Q537" s="61" t="s">
        <v>10</v>
      </c>
      <c r="R537" s="61" t="s">
        <v>10</v>
      </c>
      <c r="S537" s="61" t="s">
        <v>10</v>
      </c>
      <c r="T537" s="61" t="s">
        <v>10</v>
      </c>
      <c r="U537" s="61" t="s">
        <v>10</v>
      </c>
      <c r="V537" s="61" t="s">
        <v>10</v>
      </c>
      <c r="W537" s="61" t="s">
        <v>10</v>
      </c>
      <c r="X537" s="69" t="s">
        <v>10</v>
      </c>
      <c r="Y537" s="1" t="s">
        <v>10</v>
      </c>
    </row>
    <row r="538" spans="2:26" x14ac:dyDescent="0.2">
      <c r="B538" s="216" t="s">
        <v>10</v>
      </c>
      <c r="C538" s="217" t="s">
        <v>10</v>
      </c>
      <c r="D538" s="62" t="s">
        <v>10</v>
      </c>
      <c r="E538" s="61" t="s">
        <v>10</v>
      </c>
      <c r="F538" s="61" t="s">
        <v>10</v>
      </c>
      <c r="G538" s="62" t="s">
        <v>10</v>
      </c>
      <c r="H538" s="60" t="s">
        <v>10</v>
      </c>
      <c r="I538" s="62" t="s">
        <v>10</v>
      </c>
      <c r="J538" s="61" t="s">
        <v>10</v>
      </c>
      <c r="K538" s="68">
        <f>K537</f>
        <v>0.16512670107599176</v>
      </c>
      <c r="L538" s="63" t="s">
        <v>10</v>
      </c>
      <c r="M538" s="61" t="s">
        <v>10</v>
      </c>
      <c r="N538" s="68" t="s">
        <v>10</v>
      </c>
      <c r="O538" s="52" t="s">
        <v>131</v>
      </c>
      <c r="P538" s="61">
        <f>IF(ISBLANK(O538)=FALSE,(VLOOKUP(O538,table_MINOR,2,FALSE))*(K538)," ")</f>
        <v>4.1281675268997939E-2</v>
      </c>
      <c r="Q538" s="61" t="s">
        <v>10</v>
      </c>
      <c r="R538" s="61" t="s">
        <v>10</v>
      </c>
      <c r="S538" s="61" t="s">
        <v>10</v>
      </c>
      <c r="T538" s="61" t="s">
        <v>10</v>
      </c>
      <c r="U538" s="61" t="s">
        <v>10</v>
      </c>
      <c r="V538" s="61" t="s">
        <v>10</v>
      </c>
      <c r="W538" s="61" t="s">
        <v>10</v>
      </c>
      <c r="X538" s="69" t="s">
        <v>10</v>
      </c>
      <c r="Y538" s="1" t="s">
        <v>10</v>
      </c>
    </row>
    <row r="539" spans="2:26" x14ac:dyDescent="0.2">
      <c r="B539" s="216" t="s">
        <v>10</v>
      </c>
      <c r="C539" s="217" t="s">
        <v>10</v>
      </c>
      <c r="D539" s="62" t="s">
        <v>10</v>
      </c>
      <c r="E539" s="61" t="s">
        <v>10</v>
      </c>
      <c r="F539" s="61" t="s">
        <v>10</v>
      </c>
      <c r="G539" s="62" t="s">
        <v>10</v>
      </c>
      <c r="H539" s="60" t="s">
        <v>10</v>
      </c>
      <c r="I539" s="62" t="s">
        <v>10</v>
      </c>
      <c r="J539" s="61" t="s">
        <v>10</v>
      </c>
      <c r="K539" s="68">
        <f>K538</f>
        <v>0.16512670107599176</v>
      </c>
      <c r="L539" s="63" t="s">
        <v>10</v>
      </c>
      <c r="M539" s="61" t="s">
        <v>10</v>
      </c>
      <c r="N539" s="68" t="s">
        <v>10</v>
      </c>
      <c r="O539" s="52" t="s">
        <v>131</v>
      </c>
      <c r="P539" s="61">
        <f>IF(ISBLANK(O539)=FALSE,(VLOOKUP(O539,table_MINOR,2,FALSE))*(K539)," ")</f>
        <v>4.1281675268997939E-2</v>
      </c>
      <c r="Q539" s="61" t="s">
        <v>10</v>
      </c>
      <c r="R539" s="61" t="s">
        <v>10</v>
      </c>
      <c r="S539" s="61" t="s">
        <v>10</v>
      </c>
      <c r="T539" s="61" t="s">
        <v>10</v>
      </c>
      <c r="U539" s="61" t="s">
        <v>10</v>
      </c>
      <c r="V539" s="61" t="s">
        <v>10</v>
      </c>
      <c r="W539" s="61" t="s">
        <v>10</v>
      </c>
      <c r="X539" s="69" t="s">
        <v>10</v>
      </c>
      <c r="Y539" s="1" t="s">
        <v>10</v>
      </c>
    </row>
    <row r="540" spans="2:26" x14ac:dyDescent="0.2">
      <c r="B540" s="216" t="s">
        <v>10</v>
      </c>
      <c r="C540" s="217" t="s">
        <v>10</v>
      </c>
      <c r="D540" s="62" t="s">
        <v>10</v>
      </c>
      <c r="E540" s="61" t="s">
        <v>10</v>
      </c>
      <c r="F540" s="61" t="s">
        <v>10</v>
      </c>
      <c r="G540" s="62" t="s">
        <v>10</v>
      </c>
      <c r="H540" s="60" t="s">
        <v>10</v>
      </c>
      <c r="I540" s="62" t="s">
        <v>10</v>
      </c>
      <c r="J540" s="61" t="s">
        <v>10</v>
      </c>
      <c r="K540" s="68">
        <f>K539</f>
        <v>0.16512670107599176</v>
      </c>
      <c r="L540" s="63" t="s">
        <v>10</v>
      </c>
      <c r="M540" s="61" t="s">
        <v>10</v>
      </c>
      <c r="N540" s="68" t="s">
        <v>10</v>
      </c>
      <c r="O540" s="52" t="s">
        <v>10</v>
      </c>
      <c r="P540" s="257" t="s">
        <v>10</v>
      </c>
      <c r="Q540" s="61" t="s">
        <v>10</v>
      </c>
      <c r="R540" s="61" t="s">
        <v>10</v>
      </c>
      <c r="S540" s="61" t="s">
        <v>10</v>
      </c>
      <c r="T540" s="61" t="s">
        <v>10</v>
      </c>
      <c r="U540" s="61" t="s">
        <v>10</v>
      </c>
      <c r="V540" s="61" t="s">
        <v>10</v>
      </c>
      <c r="W540" s="61" t="s">
        <v>10</v>
      </c>
      <c r="X540" s="69" t="s">
        <v>10</v>
      </c>
      <c r="Y540" s="1" t="s">
        <v>10</v>
      </c>
    </row>
    <row r="541" spans="2:26" x14ac:dyDescent="0.2">
      <c r="B541" s="216">
        <v>145</v>
      </c>
      <c r="C541" s="217">
        <v>143</v>
      </c>
      <c r="D541" s="58" t="s">
        <v>10</v>
      </c>
      <c r="E541" s="61">
        <f>IF(B541=0,cell_HGL,IF(VLOOKUP(B541,table_HGL_JCTS,17,FALSE)&lt;X541,X541,VLOOKUP(B541,table_HGL_JCTS,17,FALSE)))</f>
        <v>385.36341864042151</v>
      </c>
      <c r="F541" s="61">
        <f>IF(B541=0,(E541+K541),IF(VLOOKUP(B541,table_HGL_JCTS,13,FALSE)="T-INTERSECTION",(E541+K541),(IF(VLOOKUP(B541,table_HGL_JCTS,17,FALSE)&lt;X541,(E541+K541),VLOOKUP(B541,table_HGL_JCTS,18,FALSE)))))</f>
        <v>385.52854534149753</v>
      </c>
      <c r="G541" s="62">
        <f>VLOOKUP(C541,table_CIA_JCTS,18)</f>
        <v>36</v>
      </c>
      <c r="H541" s="60">
        <f>VLOOKUP(C541,table_CIA_JCTS,17)</f>
        <v>20.721485948666583</v>
      </c>
      <c r="I541" s="62">
        <f>VLOOKUP(C541,table_CIA_JCTS,21)</f>
        <v>329</v>
      </c>
      <c r="J541" s="61">
        <f>H541/((G541/12)^2*3.1416/4)</f>
        <v>2.9314837377509808</v>
      </c>
      <c r="K541" s="61">
        <f>(J541^2)/64.4</f>
        <v>0.13344094572513138</v>
      </c>
      <c r="L541" s="63">
        <f>(H541/((1.486/cell_NP)*((3.1416*(G541/12)^2)/4)*(G541/48)^(2/3)))^2</f>
        <v>9.6518162775269375E-4</v>
      </c>
      <c r="M541" s="61">
        <f>L541*I541</f>
        <v>0.31754475553063627</v>
      </c>
      <c r="N541" s="68" t="s">
        <v>10</v>
      </c>
      <c r="O541" s="72" t="s">
        <v>156</v>
      </c>
      <c r="P541" s="61">
        <f>IF(ISBLANK(O541)=FALSE,(VLOOKUP(O541,table_MINOR,2,FALSE))*(K541)," ")</f>
        <v>0.10008070929384853</v>
      </c>
      <c r="Q541" s="61">
        <f>SUM(P541:P544)</f>
        <v>0.16680118215641421</v>
      </c>
      <c r="R541" s="61">
        <f>Q541+M541</f>
        <v>0.48434593768705048</v>
      </c>
      <c r="S541" s="61">
        <f>IF(O541="T-INTERSECTION",T541,(T541-K541))</f>
        <v>385.87945033345949</v>
      </c>
      <c r="T541" s="61">
        <f>IF(O541="T-INTERSECTION",(R541+F541-K541),(R541+F541))</f>
        <v>386.0128912791846</v>
      </c>
      <c r="U541" s="61">
        <f>VLOOKUP(C541,table_CIA_JCTS,26)</f>
        <v>389.78</v>
      </c>
      <c r="V541" s="61">
        <f>U541-0.5-S541</f>
        <v>3.4005496665404848</v>
      </c>
      <c r="W541" s="61" t="s">
        <v>10</v>
      </c>
      <c r="X541" s="69">
        <f>IF(B541&gt;0,VLOOKUP(B541,table_CIA_JCTS,28)," ")</f>
        <v>384.66</v>
      </c>
      <c r="Y541" s="1">
        <v>4.1717815934775331</v>
      </c>
      <c r="Z541" s="88">
        <f t="shared" si="7"/>
        <v>-0.77123192693704823</v>
      </c>
    </row>
    <row r="542" spans="2:26" x14ac:dyDescent="0.2">
      <c r="B542" s="216" t="s">
        <v>10</v>
      </c>
      <c r="C542" s="217" t="s">
        <v>10</v>
      </c>
      <c r="D542" s="62" t="s">
        <v>10</v>
      </c>
      <c r="E542" s="61" t="s">
        <v>10</v>
      </c>
      <c r="F542" s="61" t="s">
        <v>10</v>
      </c>
      <c r="G542" s="62" t="s">
        <v>10</v>
      </c>
      <c r="H542" s="60" t="s">
        <v>10</v>
      </c>
      <c r="I542" s="62" t="s">
        <v>10</v>
      </c>
      <c r="J542" s="61" t="s">
        <v>10</v>
      </c>
      <c r="K542" s="68">
        <f>K541</f>
        <v>0.13344094572513138</v>
      </c>
      <c r="L542" s="63" t="s">
        <v>10</v>
      </c>
      <c r="M542" s="61" t="s">
        <v>10</v>
      </c>
      <c r="N542" s="68" t="s">
        <v>10</v>
      </c>
      <c r="O542" s="52" t="s">
        <v>131</v>
      </c>
      <c r="P542" s="61">
        <f>IF(ISBLANK(O542)=FALSE,(VLOOKUP(O542,table_MINOR,2,FALSE))*(K542)," ")</f>
        <v>3.3360236431282844E-2</v>
      </c>
      <c r="Q542" s="61" t="s">
        <v>10</v>
      </c>
      <c r="R542" s="61" t="s">
        <v>10</v>
      </c>
      <c r="S542" s="61" t="s">
        <v>10</v>
      </c>
      <c r="T542" s="61" t="s">
        <v>10</v>
      </c>
      <c r="U542" s="61" t="s">
        <v>10</v>
      </c>
      <c r="V542" s="61" t="s">
        <v>10</v>
      </c>
      <c r="W542" s="61" t="s">
        <v>10</v>
      </c>
      <c r="X542" s="69" t="s">
        <v>10</v>
      </c>
      <c r="Y542" s="1" t="s">
        <v>10</v>
      </c>
    </row>
    <row r="543" spans="2:26" x14ac:dyDescent="0.2">
      <c r="B543" s="216" t="s">
        <v>10</v>
      </c>
      <c r="C543" s="217" t="s">
        <v>10</v>
      </c>
      <c r="D543" s="62" t="s">
        <v>10</v>
      </c>
      <c r="E543" s="61" t="s">
        <v>10</v>
      </c>
      <c r="F543" s="61" t="s">
        <v>10</v>
      </c>
      <c r="G543" s="62" t="s">
        <v>10</v>
      </c>
      <c r="H543" s="60" t="s">
        <v>10</v>
      </c>
      <c r="I543" s="62" t="s">
        <v>10</v>
      </c>
      <c r="J543" s="61" t="s">
        <v>10</v>
      </c>
      <c r="K543" s="68">
        <f>K542</f>
        <v>0.13344094572513138</v>
      </c>
      <c r="L543" s="63" t="s">
        <v>10</v>
      </c>
      <c r="M543" s="61" t="s">
        <v>10</v>
      </c>
      <c r="N543" s="68" t="s">
        <v>10</v>
      </c>
      <c r="O543" s="52" t="s">
        <v>131</v>
      </c>
      <c r="P543" s="61">
        <f>IF(ISBLANK(O543)=FALSE,(VLOOKUP(O543,table_MINOR,2,FALSE))*(K543)," ")</f>
        <v>3.3360236431282844E-2</v>
      </c>
      <c r="Q543" s="61" t="s">
        <v>10</v>
      </c>
      <c r="R543" s="61" t="s">
        <v>10</v>
      </c>
      <c r="S543" s="61" t="s">
        <v>10</v>
      </c>
      <c r="T543" s="61" t="s">
        <v>10</v>
      </c>
      <c r="U543" s="61" t="s">
        <v>10</v>
      </c>
      <c r="V543" s="61" t="s">
        <v>10</v>
      </c>
      <c r="W543" s="61" t="s">
        <v>10</v>
      </c>
      <c r="X543" s="69" t="s">
        <v>10</v>
      </c>
      <c r="Y543" s="1" t="s">
        <v>10</v>
      </c>
    </row>
    <row r="544" spans="2:26" x14ac:dyDescent="0.2">
      <c r="B544" s="216" t="s">
        <v>10</v>
      </c>
      <c r="C544" s="217" t="s">
        <v>10</v>
      </c>
      <c r="D544" s="62" t="s">
        <v>10</v>
      </c>
      <c r="E544" s="61" t="s">
        <v>10</v>
      </c>
      <c r="F544" s="61" t="s">
        <v>10</v>
      </c>
      <c r="G544" s="62" t="s">
        <v>10</v>
      </c>
      <c r="H544" s="60" t="s">
        <v>10</v>
      </c>
      <c r="I544" s="62" t="s">
        <v>10</v>
      </c>
      <c r="J544" s="61" t="s">
        <v>10</v>
      </c>
      <c r="K544" s="68">
        <f>K543</f>
        <v>0.13344094572513138</v>
      </c>
      <c r="L544" s="63" t="s">
        <v>10</v>
      </c>
      <c r="M544" s="61" t="s">
        <v>10</v>
      </c>
      <c r="N544" s="68" t="s">
        <v>10</v>
      </c>
      <c r="O544" s="52" t="s">
        <v>10</v>
      </c>
      <c r="P544" s="257" t="s">
        <v>10</v>
      </c>
      <c r="Q544" s="61" t="s">
        <v>10</v>
      </c>
      <c r="R544" s="61" t="s">
        <v>10</v>
      </c>
      <c r="S544" s="61" t="s">
        <v>10</v>
      </c>
      <c r="T544" s="61" t="s">
        <v>10</v>
      </c>
      <c r="U544" s="61" t="s">
        <v>10</v>
      </c>
      <c r="V544" s="61" t="s">
        <v>10</v>
      </c>
      <c r="W544" s="61" t="s">
        <v>10</v>
      </c>
      <c r="X544" s="69" t="s">
        <v>10</v>
      </c>
      <c r="Y544" s="1" t="s">
        <v>10</v>
      </c>
    </row>
    <row r="545" spans="1:26" x14ac:dyDescent="0.2">
      <c r="B545" s="216">
        <v>143</v>
      </c>
      <c r="C545" s="217">
        <v>141</v>
      </c>
      <c r="D545" s="58" t="s">
        <v>10</v>
      </c>
      <c r="E545" s="61">
        <f>IF(B545=0,cell_HGL,IF(VLOOKUP(B545,table_HGL_JCTS,17,FALSE)&lt;X545,X545,VLOOKUP(B545,table_HGL_JCTS,17,FALSE)))</f>
        <v>385.87945033345949</v>
      </c>
      <c r="F545" s="61">
        <f>IF(B545=0,(E545+K545),IF(VLOOKUP(B545,table_HGL_JCTS,13,FALSE)="T-INTERSECTION",(E545+K545),(IF(VLOOKUP(B545,table_HGL_JCTS,17,FALSE)&lt;X545,(E545+K545),VLOOKUP(B545,table_HGL_JCTS,18,FALSE)))))</f>
        <v>386.0128912791846</v>
      </c>
      <c r="G545" s="62">
        <f>VLOOKUP(C545,table_CIA_JCTS,18)</f>
        <v>30</v>
      </c>
      <c r="H545" s="60">
        <f>VLOOKUP(C545,table_CIA_JCTS,17)</f>
        <v>20.37813964737763</v>
      </c>
      <c r="I545" s="62">
        <f>VLOOKUP(C545,table_CIA_JCTS,21)</f>
        <v>721</v>
      </c>
      <c r="J545" s="61">
        <f>H545/((G545/12)^2*3.1416/4)</f>
        <v>4.1513908117907068</v>
      </c>
      <c r="K545" s="61">
        <f>(J545^2)/64.4</f>
        <v>0.26760940484814133</v>
      </c>
      <c r="L545" s="63">
        <f>(H545/((1.486/cell_NP)*((3.1416*(G545/12)^2)/4)*(G545/48)^(2/3)))^2</f>
        <v>2.4682906732408291E-3</v>
      </c>
      <c r="M545" s="61">
        <f>L545*I545</f>
        <v>1.7796375754066378</v>
      </c>
      <c r="N545" s="68" t="s">
        <v>10</v>
      </c>
      <c r="O545" s="72" t="s">
        <v>156</v>
      </c>
      <c r="P545" s="61">
        <f>IF(ISBLANK(O545)=FALSE,(VLOOKUP(O545,table_MINOR,2,FALSE))*(K545)," ")</f>
        <v>0.200707053636106</v>
      </c>
      <c r="Q545" s="61">
        <f>SUM(P545:P547)</f>
        <v>0.26760940484814133</v>
      </c>
      <c r="R545" s="61">
        <f>Q545+M545</f>
        <v>2.047246980254779</v>
      </c>
      <c r="S545" s="61">
        <f>IF(O545="T-INTERSECTION",T545,(T545-K545))</f>
        <v>387.79252885459124</v>
      </c>
      <c r="T545" s="61">
        <f>IF(O545="T-INTERSECTION",(R545+F545-K545),(R545+F545))</f>
        <v>388.06013825943938</v>
      </c>
      <c r="U545" s="61">
        <f>VLOOKUP(C545,table_CIA_JCTS,26)</f>
        <v>389.7</v>
      </c>
      <c r="V545" s="277">
        <f>U545-0.5-S545</f>
        <v>1.4074711454087492</v>
      </c>
      <c r="W545" s="61" t="s">
        <v>10</v>
      </c>
      <c r="X545" s="69">
        <f>IF(B545&gt;0,VLOOKUP(B545,table_CIA_JCTS,28)," ")</f>
        <v>385.1</v>
      </c>
      <c r="Y545" s="1">
        <v>2.938858218024734</v>
      </c>
      <c r="Z545" s="88">
        <f t="shared" si="7"/>
        <v>-1.5313870726159848</v>
      </c>
    </row>
    <row r="546" spans="1:26" x14ac:dyDescent="0.2">
      <c r="B546" s="216" t="s">
        <v>10</v>
      </c>
      <c r="C546" s="217" t="s">
        <v>10</v>
      </c>
      <c r="D546" s="62" t="s">
        <v>10</v>
      </c>
      <c r="E546" s="61" t="s">
        <v>10</v>
      </c>
      <c r="F546" s="61" t="s">
        <v>10</v>
      </c>
      <c r="G546" s="62" t="s">
        <v>10</v>
      </c>
      <c r="H546" s="60" t="s">
        <v>10</v>
      </c>
      <c r="I546" s="62" t="s">
        <v>10</v>
      </c>
      <c r="J546" s="61" t="s">
        <v>10</v>
      </c>
      <c r="K546" s="68">
        <f>K545</f>
        <v>0.26760940484814133</v>
      </c>
      <c r="L546" s="63" t="s">
        <v>10</v>
      </c>
      <c r="M546" s="61" t="s">
        <v>10</v>
      </c>
      <c r="N546" s="68" t="s">
        <v>10</v>
      </c>
      <c r="O546" s="52" t="s">
        <v>131</v>
      </c>
      <c r="P546" s="61">
        <f>IF(ISBLANK(O546)=FALSE,(VLOOKUP(O546,table_MINOR,2,FALSE))*(K546)," ")</f>
        <v>6.6902351212035333E-2</v>
      </c>
      <c r="Q546" s="61" t="s">
        <v>10</v>
      </c>
      <c r="R546" s="61" t="s">
        <v>10</v>
      </c>
      <c r="S546" s="61" t="s">
        <v>10</v>
      </c>
      <c r="T546" s="61" t="s">
        <v>10</v>
      </c>
      <c r="U546" s="61" t="s">
        <v>10</v>
      </c>
      <c r="V546" s="61" t="s">
        <v>10</v>
      </c>
      <c r="W546" s="61" t="s">
        <v>10</v>
      </c>
      <c r="X546" s="69" t="s">
        <v>10</v>
      </c>
      <c r="Y546" s="1" t="s">
        <v>10</v>
      </c>
    </row>
    <row r="547" spans="1:26" x14ac:dyDescent="0.2">
      <c r="B547" s="216" t="s">
        <v>10</v>
      </c>
      <c r="C547" s="217" t="s">
        <v>10</v>
      </c>
      <c r="D547" s="62" t="s">
        <v>10</v>
      </c>
      <c r="E547" s="61" t="s">
        <v>10</v>
      </c>
      <c r="F547" s="61" t="s">
        <v>10</v>
      </c>
      <c r="G547" s="62" t="s">
        <v>10</v>
      </c>
      <c r="H547" s="60" t="s">
        <v>10</v>
      </c>
      <c r="I547" s="62" t="s">
        <v>10</v>
      </c>
      <c r="J547" s="61" t="s">
        <v>10</v>
      </c>
      <c r="K547" s="68">
        <f>K546</f>
        <v>0.26760940484814133</v>
      </c>
      <c r="L547" s="63" t="s">
        <v>10</v>
      </c>
      <c r="M547" s="61" t="s">
        <v>10</v>
      </c>
      <c r="N547" s="68" t="s">
        <v>10</v>
      </c>
      <c r="O547" s="52" t="s">
        <v>10</v>
      </c>
      <c r="P547" s="257" t="s">
        <v>10</v>
      </c>
      <c r="Q547" s="61" t="s">
        <v>10</v>
      </c>
      <c r="R547" s="61" t="s">
        <v>10</v>
      </c>
      <c r="S547" s="61" t="s">
        <v>10</v>
      </c>
      <c r="T547" s="61" t="s">
        <v>10</v>
      </c>
      <c r="U547" s="61" t="s">
        <v>10</v>
      </c>
      <c r="V547" s="61" t="s">
        <v>10</v>
      </c>
      <c r="W547" s="61" t="s">
        <v>10</v>
      </c>
      <c r="X547" s="69" t="s">
        <v>10</v>
      </c>
      <c r="Y547" s="1" t="s">
        <v>10</v>
      </c>
    </row>
    <row r="548" spans="1:26" x14ac:dyDescent="0.2">
      <c r="B548" s="216">
        <v>141</v>
      </c>
      <c r="C548" s="217">
        <v>138</v>
      </c>
      <c r="D548" s="58" t="s">
        <v>10</v>
      </c>
      <c r="E548" s="61">
        <f>IF(B548=0,cell_HGL,IF(VLOOKUP(B548,table_HGL_JCTS,17,FALSE)&lt;X548,X548,VLOOKUP(B548,table_HGL_JCTS,17,FALSE)))</f>
        <v>387.79252885459124</v>
      </c>
      <c r="F548" s="61">
        <f>IF(B548=0,(E548+K548),IF(VLOOKUP(B548,table_HGL_JCTS,13,FALSE)="T-INTERSECTION",(E548+K548),(IF(VLOOKUP(B548,table_HGL_JCTS,17,FALSE)&lt;X548,(E548+K548),VLOOKUP(B548,table_HGL_JCTS,18,FALSE)))))</f>
        <v>388.06013825943938</v>
      </c>
      <c r="G548" s="62">
        <f>VLOOKUP(C548,table_CIA_JCTS,18)</f>
        <v>30</v>
      </c>
      <c r="H548" s="60">
        <f>VLOOKUP(C548,table_CIA_JCTS,17)</f>
        <v>15.044873383294208</v>
      </c>
      <c r="I548" s="62">
        <f>VLOOKUP(C548,table_CIA_JCTS,21)</f>
        <v>812</v>
      </c>
      <c r="J548" s="61">
        <f>H548/((G548/12)^2*3.1416/4)</f>
        <v>3.064909270851889</v>
      </c>
      <c r="K548" s="61">
        <f>(J548^2)/64.4</f>
        <v>0.14586442295891081</v>
      </c>
      <c r="L548" s="63">
        <f>(H548/((1.486/cell_NP)*((3.1416*(G548/12)^2)/4)*(G548/48)^(2/3)))^2</f>
        <v>1.3453779584145867E-3</v>
      </c>
      <c r="M548" s="61">
        <f>L548*I548</f>
        <v>1.0924469022326444</v>
      </c>
      <c r="N548" s="68" t="s">
        <v>10</v>
      </c>
      <c r="O548" s="72" t="s">
        <v>130</v>
      </c>
      <c r="P548" s="61">
        <f>IF(ISBLANK(O548)=FALSE,(VLOOKUP(O548,table_MINOR,2,FALSE))*(K548)," ")</f>
        <v>4.3759326887673242E-2</v>
      </c>
      <c r="Q548" s="61">
        <f>SUM(P548:P549)</f>
        <v>4.3759326887673242E-2</v>
      </c>
      <c r="R548" s="61">
        <f>Q548+M548</f>
        <v>1.1362062291203177</v>
      </c>
      <c r="S548" s="61">
        <f>IF(O548="T-INTERSECTION",T548,(T548-K548))</f>
        <v>389.05048006560077</v>
      </c>
      <c r="T548" s="61">
        <f>IF(O548="T-INTERSECTION",(R548+F548-K548),(R548+F548))</f>
        <v>389.1963444885597</v>
      </c>
      <c r="U548" s="61">
        <f>VLOOKUP(C548,table_CIA_JCTS,26)</f>
        <v>392.06</v>
      </c>
      <c r="V548" s="61">
        <f>U548-0.5-S548</f>
        <v>2.5095199343992363</v>
      </c>
      <c r="W548" s="61" t="s">
        <v>10</v>
      </c>
      <c r="X548" s="69">
        <f>IF(B548&gt;0,VLOOKUP(B548,table_CIA_JCTS,28)," ")</f>
        <v>385.9</v>
      </c>
      <c r="Y548" s="1">
        <v>4.6017924515987261</v>
      </c>
      <c r="Z548" s="88">
        <f t="shared" si="7"/>
        <v>-2.0922725171994898</v>
      </c>
    </row>
    <row r="549" spans="1:26" x14ac:dyDescent="0.2">
      <c r="B549" s="216" t="s">
        <v>10</v>
      </c>
      <c r="C549" s="217" t="s">
        <v>10</v>
      </c>
      <c r="D549" s="62" t="s">
        <v>10</v>
      </c>
      <c r="E549" s="61" t="s">
        <v>10</v>
      </c>
      <c r="F549" s="61" t="s">
        <v>10</v>
      </c>
      <c r="G549" s="62" t="s">
        <v>10</v>
      </c>
      <c r="H549" s="60" t="s">
        <v>10</v>
      </c>
      <c r="I549" s="62" t="s">
        <v>10</v>
      </c>
      <c r="J549" s="61" t="s">
        <v>10</v>
      </c>
      <c r="K549" s="68">
        <f>K548</f>
        <v>0.14586442295891081</v>
      </c>
      <c r="L549" s="63" t="s">
        <v>10</v>
      </c>
      <c r="M549" s="61" t="s">
        <v>10</v>
      </c>
      <c r="N549" s="68" t="s">
        <v>10</v>
      </c>
      <c r="O549" s="52" t="s">
        <v>10</v>
      </c>
      <c r="P549" s="257" t="s">
        <v>10</v>
      </c>
      <c r="Q549" s="61" t="s">
        <v>10</v>
      </c>
      <c r="R549" s="61" t="s">
        <v>10</v>
      </c>
      <c r="S549" s="61" t="s">
        <v>10</v>
      </c>
      <c r="T549" s="61" t="s">
        <v>10</v>
      </c>
      <c r="U549" s="61" t="s">
        <v>10</v>
      </c>
      <c r="V549" s="61" t="s">
        <v>10</v>
      </c>
      <c r="W549" s="61" t="s">
        <v>10</v>
      </c>
      <c r="X549" s="69" t="s">
        <v>10</v>
      </c>
      <c r="Y549" s="1" t="s">
        <v>10</v>
      </c>
    </row>
    <row r="550" spans="1:26" x14ac:dyDescent="0.2">
      <c r="B550" s="216">
        <v>138</v>
      </c>
      <c r="C550" s="217">
        <v>137</v>
      </c>
      <c r="D550" s="58" t="s">
        <v>10</v>
      </c>
      <c r="E550" s="61">
        <f>IF(B550=0,cell_HGL,IF(VLOOKUP(B550,table_HGL_JCTS,17,FALSE)&lt;X550,X550,VLOOKUP(B550,table_HGL_JCTS,17,FALSE)))</f>
        <v>389.05048006560077</v>
      </c>
      <c r="F550" s="61">
        <f>IF(B550=0,(E550+K550),IF(VLOOKUP(B550,table_HGL_JCTS,13,FALSE)="T-INTERSECTION",(E550+K550),(IF(VLOOKUP(B550,table_HGL_JCTS,17,FALSE)&lt;X550,(E550+K550),VLOOKUP(B550,table_HGL_JCTS,18,FALSE)))))</f>
        <v>389.1963444885597</v>
      </c>
      <c r="G550" s="62">
        <f>VLOOKUP(C550,table_CIA_JCTS,18)</f>
        <v>18</v>
      </c>
      <c r="H550" s="60">
        <f>VLOOKUP(C550,table_CIA_JCTS,17)</f>
        <v>4.4947193114324975</v>
      </c>
      <c r="I550" s="62">
        <f>VLOOKUP(C550,table_CIA_JCTS,21)</f>
        <v>219</v>
      </c>
      <c r="J550" s="61">
        <f>H550/((G550/12)^2*3.1416/4)</f>
        <v>2.5434848832484493</v>
      </c>
      <c r="K550" s="61">
        <f>(J550^2)/64.4</f>
        <v>0.10045520731853071</v>
      </c>
      <c r="L550" s="63">
        <f>(H550/((1.486/cell_NP)*((3.1416*(G550/12)^2)/4)*(G550/48)^(2/3)))^2</f>
        <v>1.8309046054764647E-3</v>
      </c>
      <c r="M550" s="61">
        <f>L550*I550</f>
        <v>0.40096810859934578</v>
      </c>
      <c r="N550" s="68" t="s">
        <v>10</v>
      </c>
      <c r="O550" s="72" t="s">
        <v>152</v>
      </c>
      <c r="P550" s="61">
        <f>IF(ISBLANK(O550)=FALSE,(VLOOKUP(O550,table_MINOR,2,FALSE))*(K550)," ")</f>
        <v>6.027312439111842E-2</v>
      </c>
      <c r="Q550" s="61">
        <f>SUM(P550:P551)</f>
        <v>6.027312439111842E-2</v>
      </c>
      <c r="R550" s="61">
        <f>Q550+M550</f>
        <v>0.46124123299046421</v>
      </c>
      <c r="S550" s="61">
        <f>IF(O550="T-INTERSECTION",T550,(T550-K550))</f>
        <v>389.55713051423163</v>
      </c>
      <c r="T550" s="61">
        <f>IF(O550="T-INTERSECTION",(R550+F550-K550),(R550+F550))</f>
        <v>389.65758572155016</v>
      </c>
      <c r="U550" s="61">
        <f>VLOOKUP(C550,table_CIA_JCTS,26)</f>
        <v>393.32</v>
      </c>
      <c r="V550" s="61">
        <f>U550-0.5-S550</f>
        <v>3.2628694857683627</v>
      </c>
      <c r="W550" s="61" t="s">
        <v>10</v>
      </c>
      <c r="X550" s="69">
        <f>IF(B550&gt;0,VLOOKUP(B550,table_CIA_JCTS,28)," ")</f>
        <v>387</v>
      </c>
      <c r="Y550" s="1">
        <v>5.2438136795336732</v>
      </c>
      <c r="Z550" s="88">
        <f t="shared" si="7"/>
        <v>-1.9809441937653105</v>
      </c>
    </row>
    <row r="551" spans="1:26" x14ac:dyDescent="0.2">
      <c r="B551" s="216" t="s">
        <v>10</v>
      </c>
      <c r="C551" s="217" t="s">
        <v>10</v>
      </c>
      <c r="D551" s="62" t="s">
        <v>10</v>
      </c>
      <c r="E551" s="61" t="s">
        <v>10</v>
      </c>
      <c r="F551" s="61" t="s">
        <v>10</v>
      </c>
      <c r="G551" s="62" t="s">
        <v>10</v>
      </c>
      <c r="H551" s="60" t="s">
        <v>10</v>
      </c>
      <c r="I551" s="62" t="s">
        <v>10</v>
      </c>
      <c r="J551" s="61" t="s">
        <v>10</v>
      </c>
      <c r="K551" s="68">
        <f>K550</f>
        <v>0.10045520731853071</v>
      </c>
      <c r="L551" s="63" t="s">
        <v>10</v>
      </c>
      <c r="M551" s="61" t="s">
        <v>10</v>
      </c>
      <c r="N551" s="68" t="s">
        <v>10</v>
      </c>
      <c r="O551" s="52" t="s">
        <v>10</v>
      </c>
      <c r="P551" s="257" t="s">
        <v>10</v>
      </c>
      <c r="Q551" s="61" t="s">
        <v>10</v>
      </c>
      <c r="R551" s="61" t="s">
        <v>10</v>
      </c>
      <c r="S551" s="61" t="s">
        <v>10</v>
      </c>
      <c r="T551" s="61" t="s">
        <v>10</v>
      </c>
      <c r="U551" s="61" t="s">
        <v>10</v>
      </c>
      <c r="V551" s="61" t="s">
        <v>10</v>
      </c>
      <c r="W551" s="61" t="s">
        <v>10</v>
      </c>
      <c r="X551" s="69" t="s">
        <v>10</v>
      </c>
      <c r="Y551" s="1" t="s">
        <v>10</v>
      </c>
    </row>
    <row r="552" spans="1:26" x14ac:dyDescent="0.2">
      <c r="A552" s="632"/>
      <c r="B552" s="633">
        <v>137</v>
      </c>
      <c r="C552" s="640">
        <v>136.5</v>
      </c>
      <c r="D552" s="650" t="s">
        <v>10</v>
      </c>
      <c r="E552" s="622">
        <f>IF(B552=0,cell_HGL,IF(VLOOKUP(B552,table_HGL_JCTS,17,FALSE)&lt;X552,X552,VLOOKUP(B552,table_HGL_JCTS,17,FALSE)))</f>
        <v>389.55713051423163</v>
      </c>
      <c r="F552" s="622">
        <f>IF(B552=0,(E552+K552),IF(VLOOKUP(B552,table_HGL_JCTS,13,FALSE)="T-INTERSECTION",(E552+K552),(IF(VLOOKUP(B552,table_HGL_JCTS,17,FALSE)&lt;X552,(E552+K552),VLOOKUP(B552,table_HGL_JCTS,18,FALSE)))))</f>
        <v>389.65758572155016</v>
      </c>
      <c r="G552" s="624">
        <f>VLOOKUP(C552,table_CIA_JCTS,18)</f>
        <v>24</v>
      </c>
      <c r="H552" s="627">
        <f>VLOOKUP(C552,table_CIA_JCTS,17)</f>
        <v>6.5220761122044904</v>
      </c>
      <c r="I552" s="624">
        <f>VLOOKUP(C552,table_CIA_JCTS,21)</f>
        <v>353</v>
      </c>
      <c r="J552" s="622">
        <f>H552/((G552/12)^2*3.1416/4)</f>
        <v>2.0760364502815416</v>
      </c>
      <c r="K552" s="622">
        <f>(J552^2)/64.4</f>
        <v>6.6924337622633293E-2</v>
      </c>
      <c r="L552" s="625">
        <f>(H552/((1.486/cell_NP)*((3.1416*(G552/12)^2)/4)*(G552/48)^(2/3)))^2</f>
        <v>8.3117478964636312E-4</v>
      </c>
      <c r="M552" s="622">
        <f>L552*I552</f>
        <v>0.29340470074516617</v>
      </c>
      <c r="N552" s="651" t="s">
        <v>10</v>
      </c>
      <c r="O552" s="652" t="s">
        <v>129</v>
      </c>
      <c r="P552" s="622">
        <f>IF(ISBLANK(O552)=FALSE,(VLOOKUP(O552,table_MINOR,2,FALSE))*(K552)," ")</f>
        <v>3.3462168811316646E-2</v>
      </c>
      <c r="Q552" s="622">
        <f>SUM(P552:P554)</f>
        <v>5.3539470098106633E-2</v>
      </c>
      <c r="R552" s="622">
        <f>Q552+M552</f>
        <v>0.34694417084327278</v>
      </c>
      <c r="S552" s="622">
        <f>IF(O552="T-INTERSECTION",T552,(T552-K552))</f>
        <v>389.93760555477081</v>
      </c>
      <c r="T552" s="622">
        <f>IF(O552="T-INTERSECTION",(R552+F552-K552),(R552+F552))</f>
        <v>390.00452989239346</v>
      </c>
      <c r="U552" s="622">
        <f>VLOOKUP(C552,table_CIA_JCTS,26)</f>
        <v>397.58</v>
      </c>
      <c r="V552" s="622">
        <f>U552-0.5-S552</f>
        <v>7.1423944452291721</v>
      </c>
      <c r="W552" s="622" t="s">
        <v>10</v>
      </c>
      <c r="X552" s="653">
        <f>IF(B552&gt;0,VLOOKUP(B552,table_CIA_JCTS,28)," ")</f>
        <v>0</v>
      </c>
    </row>
    <row r="553" spans="1:26" x14ac:dyDescent="0.2">
      <c r="A553" s="632"/>
      <c r="B553" s="633" t="s">
        <v>10</v>
      </c>
      <c r="C553" s="640" t="s">
        <v>10</v>
      </c>
      <c r="D553" s="624" t="s">
        <v>10</v>
      </c>
      <c r="E553" s="622" t="s">
        <v>10</v>
      </c>
      <c r="F553" s="622" t="s">
        <v>10</v>
      </c>
      <c r="G553" s="624" t="s">
        <v>10</v>
      </c>
      <c r="H553" s="627" t="s">
        <v>10</v>
      </c>
      <c r="I553" s="624" t="s">
        <v>10</v>
      </c>
      <c r="J553" s="622" t="s">
        <v>10</v>
      </c>
      <c r="K553" s="651">
        <f>K552</f>
        <v>6.6924337622633293E-2</v>
      </c>
      <c r="L553" s="625" t="s">
        <v>10</v>
      </c>
      <c r="M553" s="622" t="s">
        <v>10</v>
      </c>
      <c r="N553" s="651" t="s">
        <v>10</v>
      </c>
      <c r="O553" s="654" t="s">
        <v>130</v>
      </c>
      <c r="P553" s="622">
        <f>IF(ISBLANK(O553)=FALSE,(VLOOKUP(O553,table_MINOR,2,FALSE))*(K553)," ")</f>
        <v>2.0077301286789986E-2</v>
      </c>
      <c r="Q553" s="622" t="s">
        <v>10</v>
      </c>
      <c r="R553" s="622" t="s">
        <v>10</v>
      </c>
      <c r="S553" s="622" t="s">
        <v>10</v>
      </c>
      <c r="T553" s="622" t="s">
        <v>10</v>
      </c>
      <c r="U553" s="622" t="s">
        <v>10</v>
      </c>
      <c r="V553" s="622" t="s">
        <v>10</v>
      </c>
      <c r="W553" s="622" t="s">
        <v>10</v>
      </c>
      <c r="X553" s="653" t="s">
        <v>10</v>
      </c>
    </row>
    <row r="554" spans="1:26" x14ac:dyDescent="0.2">
      <c r="A554" s="632"/>
      <c r="B554" s="633" t="s">
        <v>10</v>
      </c>
      <c r="C554" s="640" t="s">
        <v>10</v>
      </c>
      <c r="D554" s="624" t="s">
        <v>10</v>
      </c>
      <c r="E554" s="622" t="s">
        <v>10</v>
      </c>
      <c r="F554" s="622" t="s">
        <v>10</v>
      </c>
      <c r="G554" s="624" t="s">
        <v>10</v>
      </c>
      <c r="H554" s="627" t="s">
        <v>10</v>
      </c>
      <c r="I554" s="624" t="s">
        <v>10</v>
      </c>
      <c r="J554" s="622" t="s">
        <v>10</v>
      </c>
      <c r="K554" s="651">
        <f>K553</f>
        <v>6.6924337622633293E-2</v>
      </c>
      <c r="L554" s="625" t="s">
        <v>10</v>
      </c>
      <c r="M554" s="622" t="s">
        <v>10</v>
      </c>
      <c r="N554" s="651" t="s">
        <v>10</v>
      </c>
      <c r="O554" s="654" t="s">
        <v>10</v>
      </c>
      <c r="P554" s="655" t="s">
        <v>10</v>
      </c>
      <c r="Q554" s="622" t="s">
        <v>10</v>
      </c>
      <c r="R554" s="622" t="s">
        <v>10</v>
      </c>
      <c r="S554" s="622" t="s">
        <v>10</v>
      </c>
      <c r="T554" s="622" t="s">
        <v>10</v>
      </c>
      <c r="U554" s="622" t="s">
        <v>10</v>
      </c>
      <c r="V554" s="622" t="s">
        <v>10</v>
      </c>
      <c r="W554" s="622" t="s">
        <v>10</v>
      </c>
      <c r="X554" s="653" t="s">
        <v>10</v>
      </c>
    </row>
    <row r="555" spans="1:26" x14ac:dyDescent="0.2">
      <c r="A555" s="632"/>
      <c r="B555" s="633">
        <v>136.5</v>
      </c>
      <c r="C555" s="640">
        <v>136.4</v>
      </c>
      <c r="D555" s="650" t="s">
        <v>10</v>
      </c>
      <c r="E555" s="622">
        <f>IF(B555=0,cell_HGL,IF(VLOOKUP(B555,table_HGL_JCTS,17,FALSE)&lt;X555,X555,VLOOKUP(B555,table_HGL_JCTS,17,FALSE)))</f>
        <v>389.93760555477081</v>
      </c>
      <c r="F555" s="622">
        <f>IF(B555=0,(E555+K555),IF(VLOOKUP(B555,table_HGL_JCTS,13,FALSE)="T-INTERSECTION",(E555+K555),(IF(VLOOKUP(B555,table_HGL_JCTS,17,FALSE)&lt;X555,(E555+K555),VLOOKUP(B555,table_HGL_JCTS,18,FALSE)))))</f>
        <v>390.00452989239346</v>
      </c>
      <c r="G555" s="624">
        <f>VLOOKUP(C555,table_CIA_JCTS,18)</f>
        <v>24</v>
      </c>
      <c r="H555" s="627">
        <f>VLOOKUP(C555,table_CIA_JCTS,17)</f>
        <v>5.8844134510829553</v>
      </c>
      <c r="I555" s="624">
        <f>VLOOKUP(C555,table_CIA_JCTS,21)</f>
        <v>17</v>
      </c>
      <c r="J555" s="622">
        <f>H555/((G555/12)^2*3.1416/4)</f>
        <v>1.8730625958374572</v>
      </c>
      <c r="K555" s="622">
        <f>(J555^2)/64.4</f>
        <v>5.4477693911884367E-2</v>
      </c>
      <c r="L555" s="625">
        <f>(H555/((1.486/cell_NP)*((3.1416*(G555/12)^2)/4)*(G555/48)^(2/3)))^2</f>
        <v>6.765922142248585E-4</v>
      </c>
      <c r="M555" s="622">
        <f>L555*I555</f>
        <v>1.1502067641822595E-2</v>
      </c>
      <c r="N555" s="651" t="s">
        <v>10</v>
      </c>
      <c r="O555" s="652" t="s">
        <v>153</v>
      </c>
      <c r="P555" s="622">
        <f>IF(ISBLANK(O555)=FALSE,(VLOOKUP(O555,table_MINOR,2,FALSE))*(K555)," ")</f>
        <v>8.1716540867826551E-2</v>
      </c>
      <c r="Q555" s="622">
        <f>SUM(P555:P557)</f>
        <v>9.5335964345797636E-2</v>
      </c>
      <c r="R555" s="622">
        <f>Q555+M555</f>
        <v>0.10683803198762024</v>
      </c>
      <c r="S555" s="622">
        <f>IF(O555="T-INTERSECTION",T555,(T555-K555))</f>
        <v>390.05689023046915</v>
      </c>
      <c r="T555" s="622">
        <f>IF(O555="T-INTERSECTION",(R555+F555-K555),(R555+F555))</f>
        <v>390.05689023046915</v>
      </c>
      <c r="U555" s="622">
        <f>VLOOKUP(C555,table_CIA_JCTS,26)</f>
        <v>397.58</v>
      </c>
      <c r="V555" s="622">
        <f>U555-0.5-S555</f>
        <v>7.0231097695308335</v>
      </c>
      <c r="W555" s="622" t="s">
        <v>10</v>
      </c>
      <c r="X555" s="653" t="str">
        <f>IF(B555&gt;0,VLOOKUP(B555,table_CIA_JCTS,28)," ")</f>
        <v xml:space="preserve"> </v>
      </c>
    </row>
    <row r="556" spans="1:26" x14ac:dyDescent="0.2">
      <c r="A556" s="632"/>
      <c r="B556" s="633" t="s">
        <v>10</v>
      </c>
      <c r="C556" s="640" t="s">
        <v>10</v>
      </c>
      <c r="D556" s="624" t="s">
        <v>10</v>
      </c>
      <c r="E556" s="622" t="s">
        <v>10</v>
      </c>
      <c r="F556" s="622" t="s">
        <v>10</v>
      </c>
      <c r="G556" s="624" t="s">
        <v>10</v>
      </c>
      <c r="H556" s="627" t="s">
        <v>10</v>
      </c>
      <c r="I556" s="624" t="s">
        <v>10</v>
      </c>
      <c r="J556" s="622" t="s">
        <v>10</v>
      </c>
      <c r="K556" s="651">
        <f>K555</f>
        <v>5.4477693911884367E-2</v>
      </c>
      <c r="L556" s="625" t="s">
        <v>10</v>
      </c>
      <c r="M556" s="622" t="s">
        <v>10</v>
      </c>
      <c r="N556" s="651" t="s">
        <v>10</v>
      </c>
      <c r="O556" s="654" t="s">
        <v>131</v>
      </c>
      <c r="P556" s="622">
        <f>IF(ISBLANK(O556)=FALSE,(VLOOKUP(O556,table_MINOR,2,FALSE))*(K556)," ")</f>
        <v>1.3619423477971092E-2</v>
      </c>
      <c r="Q556" s="622" t="s">
        <v>10</v>
      </c>
      <c r="R556" s="622" t="s">
        <v>10</v>
      </c>
      <c r="S556" s="622" t="s">
        <v>10</v>
      </c>
      <c r="T556" s="622" t="s">
        <v>10</v>
      </c>
      <c r="U556" s="622" t="s">
        <v>10</v>
      </c>
      <c r="V556" s="622" t="s">
        <v>10</v>
      </c>
      <c r="W556" s="622" t="s">
        <v>10</v>
      </c>
      <c r="X556" s="653" t="s">
        <v>10</v>
      </c>
    </row>
    <row r="557" spans="1:26" x14ac:dyDescent="0.2">
      <c r="A557" s="632"/>
      <c r="B557" s="633" t="s">
        <v>10</v>
      </c>
      <c r="C557" s="640" t="s">
        <v>10</v>
      </c>
      <c r="D557" s="624" t="s">
        <v>10</v>
      </c>
      <c r="E557" s="622" t="s">
        <v>10</v>
      </c>
      <c r="F557" s="622" t="s">
        <v>10</v>
      </c>
      <c r="G557" s="624" t="s">
        <v>10</v>
      </c>
      <c r="H557" s="627" t="s">
        <v>10</v>
      </c>
      <c r="I557" s="624" t="s">
        <v>10</v>
      </c>
      <c r="J557" s="622" t="s">
        <v>10</v>
      </c>
      <c r="K557" s="651">
        <f>K556</f>
        <v>5.4477693911884367E-2</v>
      </c>
      <c r="L557" s="625" t="s">
        <v>10</v>
      </c>
      <c r="M557" s="622" t="s">
        <v>10</v>
      </c>
      <c r="N557" s="651" t="s">
        <v>10</v>
      </c>
      <c r="O557" s="654" t="s">
        <v>10</v>
      </c>
      <c r="P557" s="655" t="s">
        <v>10</v>
      </c>
      <c r="Q557" s="622" t="s">
        <v>10</v>
      </c>
      <c r="R557" s="622" t="s">
        <v>10</v>
      </c>
      <c r="S557" s="622" t="s">
        <v>10</v>
      </c>
      <c r="T557" s="622" t="s">
        <v>10</v>
      </c>
      <c r="U557" s="622" t="s">
        <v>10</v>
      </c>
      <c r="V557" s="622" t="s">
        <v>10</v>
      </c>
      <c r="W557" s="622" t="s">
        <v>10</v>
      </c>
      <c r="X557" s="653" t="s">
        <v>10</v>
      </c>
    </row>
    <row r="558" spans="1:26" x14ac:dyDescent="0.2">
      <c r="A558" s="632"/>
      <c r="B558" s="633">
        <v>136.4</v>
      </c>
      <c r="C558" s="640">
        <v>136</v>
      </c>
      <c r="D558" s="650" t="s">
        <v>10</v>
      </c>
      <c r="E558" s="622">
        <f>IF(B558=0,cell_HGL,IF(VLOOKUP(B558,table_HGL_JCTS,17,FALSE)&lt;X558,X558,VLOOKUP(B558,table_HGL_JCTS,17,FALSE)))</f>
        <v>390.05689023046915</v>
      </c>
      <c r="F558" s="622">
        <f>IF(B558=0,(E558+K558),IF(VLOOKUP(B558,table_HGL_JCTS,13,FALSE)="T-INTERSECTION",(E558+K558),(IF(VLOOKUP(B558,table_HGL_JCTS,17,FALSE)&lt;X558,(E558+K558),VLOOKUP(B558,table_HGL_JCTS,18,FALSE)))))</f>
        <v>390.09593792736422</v>
      </c>
      <c r="G558" s="624">
        <f>VLOOKUP(C558,table_CIA_JCTS,18)</f>
        <v>18</v>
      </c>
      <c r="H558" s="627">
        <f>VLOOKUP(C558,table_CIA_JCTS,17)</f>
        <v>2.8022963457216719</v>
      </c>
      <c r="I558" s="624">
        <f>VLOOKUP(C558,table_CIA_JCTS,21)</f>
        <v>526</v>
      </c>
      <c r="J558" s="622">
        <f>H558/((G558/12)^2*3.1416/4)</f>
        <v>1.5857716355270757</v>
      </c>
      <c r="K558" s="622">
        <f>(J558^2)/64.4</f>
        <v>3.9047696895065473E-2</v>
      </c>
      <c r="L558" s="625">
        <f>(H558/((1.486/cell_NP)*((3.1416*(G558/12)^2)/4)*(G558/48)^(2/3)))^2</f>
        <v>7.1168643206051476E-4</v>
      </c>
      <c r="M558" s="622">
        <f>L558*I558</f>
        <v>0.37434706326383077</v>
      </c>
      <c r="N558" s="651" t="s">
        <v>10</v>
      </c>
      <c r="O558" s="652" t="s">
        <v>131</v>
      </c>
      <c r="P558" s="622">
        <f>IF(ISBLANK(O558)=FALSE,(VLOOKUP(O558,table_MINOR,2,FALSE))*(K558)," ")</f>
        <v>9.7619242237663682E-3</v>
      </c>
      <c r="Q558" s="622">
        <f>SUM(P558:P559)</f>
        <v>9.7619242237663682E-3</v>
      </c>
      <c r="R558" s="622">
        <f>Q558+M558</f>
        <v>0.38410898748759714</v>
      </c>
      <c r="S558" s="622">
        <f>IF(O558="T-INTERSECTION",T558,(T558-K558))</f>
        <v>390.44099921795674</v>
      </c>
      <c r="T558" s="622">
        <f>IF(O558="T-INTERSECTION",(R558+F558-K558),(R558+F558))</f>
        <v>390.48004691485181</v>
      </c>
      <c r="U558" s="622">
        <f>VLOOKUP(C558,table_CIA_JCTS,26)</f>
        <v>395.95</v>
      </c>
      <c r="V558" s="622">
        <f>U558-0.5-S558</f>
        <v>5.0090007820432447</v>
      </c>
      <c r="W558" s="622" t="s">
        <v>10</v>
      </c>
      <c r="X558" s="653" t="str">
        <f>IF(B558&gt;0,VLOOKUP(B558,table_CIA_JCTS,28)," ")</f>
        <v xml:space="preserve"> </v>
      </c>
    </row>
    <row r="559" spans="1:26" x14ac:dyDescent="0.2">
      <c r="A559" s="632"/>
      <c r="B559" s="633" t="s">
        <v>10</v>
      </c>
      <c r="C559" s="640" t="s">
        <v>10</v>
      </c>
      <c r="D559" s="624" t="s">
        <v>10</v>
      </c>
      <c r="E559" s="622" t="s">
        <v>10</v>
      </c>
      <c r="F559" s="622" t="s">
        <v>10</v>
      </c>
      <c r="G559" s="624" t="s">
        <v>10</v>
      </c>
      <c r="H559" s="627" t="s">
        <v>10</v>
      </c>
      <c r="I559" s="624" t="s">
        <v>10</v>
      </c>
      <c r="J559" s="622" t="s">
        <v>10</v>
      </c>
      <c r="K559" s="651">
        <f>K558</f>
        <v>3.9047696895065473E-2</v>
      </c>
      <c r="L559" s="625" t="s">
        <v>10</v>
      </c>
      <c r="M559" s="622" t="s">
        <v>10</v>
      </c>
      <c r="N559" s="651" t="s">
        <v>10</v>
      </c>
      <c r="O559" s="654" t="s">
        <v>10</v>
      </c>
      <c r="P559" s="655" t="s">
        <v>10</v>
      </c>
      <c r="Q559" s="622" t="s">
        <v>10</v>
      </c>
      <c r="R559" s="622" t="s">
        <v>10</v>
      </c>
      <c r="S559" s="622" t="s">
        <v>10</v>
      </c>
      <c r="T559" s="622" t="s">
        <v>10</v>
      </c>
      <c r="U559" s="622" t="s">
        <v>10</v>
      </c>
      <c r="V559" s="622" t="s">
        <v>10</v>
      </c>
      <c r="W559" s="622" t="s">
        <v>10</v>
      </c>
      <c r="X559" s="653" t="s">
        <v>10</v>
      </c>
    </row>
    <row r="560" spans="1:26" x14ac:dyDescent="0.2">
      <c r="A560" s="632"/>
      <c r="B560" s="633" t="s">
        <v>10</v>
      </c>
      <c r="C560" s="640" t="s">
        <v>10</v>
      </c>
      <c r="D560" s="624" t="s">
        <v>10</v>
      </c>
      <c r="E560" s="622" t="s">
        <v>10</v>
      </c>
      <c r="F560" s="622" t="s">
        <v>10</v>
      </c>
      <c r="G560" s="624" t="s">
        <v>10</v>
      </c>
      <c r="H560" s="627" t="s">
        <v>10</v>
      </c>
      <c r="I560" s="624" t="s">
        <v>10</v>
      </c>
      <c r="J560" s="622" t="s">
        <v>10</v>
      </c>
      <c r="K560" s="651" t="s">
        <v>10</v>
      </c>
      <c r="L560" s="625" t="s">
        <v>10</v>
      </c>
      <c r="M560" s="622" t="s">
        <v>10</v>
      </c>
      <c r="N560" s="651" t="s">
        <v>10</v>
      </c>
      <c r="O560" s="654" t="s">
        <v>176</v>
      </c>
      <c r="P560" s="622" t="s">
        <v>10</v>
      </c>
      <c r="Q560" s="622" t="s">
        <v>10</v>
      </c>
      <c r="R560" s="622" t="s">
        <v>10</v>
      </c>
      <c r="S560" s="622" t="s">
        <v>10</v>
      </c>
      <c r="T560" s="622" t="s">
        <v>10</v>
      </c>
      <c r="U560" s="622" t="s">
        <v>10</v>
      </c>
      <c r="V560" s="622" t="s">
        <v>10</v>
      </c>
      <c r="W560" s="622" t="s">
        <v>10</v>
      </c>
      <c r="X560" s="653" t="s">
        <v>10</v>
      </c>
    </row>
    <row r="561" spans="1:26" x14ac:dyDescent="0.2">
      <c r="A561" s="632"/>
      <c r="B561" s="633">
        <v>136.4</v>
      </c>
      <c r="C561" s="640">
        <v>136.30000000000001</v>
      </c>
      <c r="D561" s="650" t="s">
        <v>10</v>
      </c>
      <c r="E561" s="622">
        <f>IF(B561=0,cell_HGL,IF(VLOOKUP(B561,table_HGL_JCTS,17,FALSE)&lt;X561,X561,VLOOKUP(B561,table_HGL_JCTS,17,FALSE)))</f>
        <v>390.05689023046915</v>
      </c>
      <c r="F561" s="622">
        <f>IF(B561=0,(E561+K561),IF(VLOOKUP(B561,table_HGL_JCTS,13,FALSE)="T-INTERSECTION",(E561+K561),(IF(VLOOKUP(B561,table_HGL_JCTS,17,FALSE)&lt;X561,(E561+K561),VLOOKUP(B561,table_HGL_JCTS,18,FALSE)))))</f>
        <v>390.11445093218759</v>
      </c>
      <c r="G561" s="624">
        <f>VLOOKUP(C561,table_CIA_JCTS,18)</f>
        <v>18</v>
      </c>
      <c r="H561" s="627">
        <f>VLOOKUP(C561,table_CIA_JCTS,17)</f>
        <v>3.402353142457029</v>
      </c>
      <c r="I561" s="624">
        <f>VLOOKUP(C561,table_CIA_JCTS,21)</f>
        <v>23</v>
      </c>
      <c r="J561" s="622">
        <f>H561/((G561/12)^2*3.1416/4)</f>
        <v>1.9253335271239165</v>
      </c>
      <c r="K561" s="622">
        <f>(J561^2)/64.4</f>
        <v>5.7560701718438211E-2</v>
      </c>
      <c r="L561" s="625">
        <f>(H561/((1.486/cell_NP)*((3.1416*(G561/12)^2)/4)*(G561/48)^(2/3)))^2</f>
        <v>1.0491059317270944E-3</v>
      </c>
      <c r="M561" s="622">
        <f>L561*I561</f>
        <v>2.4129436429723171E-2</v>
      </c>
      <c r="N561" s="651" t="s">
        <v>10</v>
      </c>
      <c r="O561" s="652" t="s">
        <v>152</v>
      </c>
      <c r="P561" s="622">
        <f>IF(ISBLANK(O561)=FALSE,(VLOOKUP(O561,table_MINOR,2,FALSE))*(K561)," ")</f>
        <v>3.4536421031062928E-2</v>
      </c>
      <c r="Q561" s="622">
        <f>SUM(P561:P562)</f>
        <v>3.4536421031062928E-2</v>
      </c>
      <c r="R561" s="622">
        <f>Q561+M561</f>
        <v>5.8665857460786099E-2</v>
      </c>
      <c r="S561" s="622">
        <f>IF(O561="T-INTERSECTION",T561,(T561-K561))</f>
        <v>390.11555608792992</v>
      </c>
      <c r="T561" s="622">
        <f>IF(O561="T-INTERSECTION",(R561+F561-K561),(R561+F561))</f>
        <v>390.17311678964836</v>
      </c>
      <c r="U561" s="622">
        <f>VLOOKUP(C561,table_CIA_JCTS,26)</f>
        <v>397.76</v>
      </c>
      <c r="V561" s="622">
        <f>U561-0.5-S561</f>
        <v>7.1444439120700736</v>
      </c>
      <c r="W561" s="622" t="s">
        <v>10</v>
      </c>
      <c r="X561" s="653" t="str">
        <f>IF(B561&gt;0,VLOOKUP(B561,table_CIA_JCTS,28)," ")</f>
        <v xml:space="preserve"> </v>
      </c>
    </row>
    <row r="562" spans="1:26" x14ac:dyDescent="0.2">
      <c r="A562" s="632"/>
      <c r="B562" s="633" t="s">
        <v>10</v>
      </c>
      <c r="C562" s="640" t="s">
        <v>10</v>
      </c>
      <c r="D562" s="624" t="s">
        <v>10</v>
      </c>
      <c r="E562" s="622" t="s">
        <v>10</v>
      </c>
      <c r="F562" s="622" t="s">
        <v>10</v>
      </c>
      <c r="G562" s="624" t="s">
        <v>10</v>
      </c>
      <c r="H562" s="627" t="s">
        <v>10</v>
      </c>
      <c r="I562" s="624" t="s">
        <v>10</v>
      </c>
      <c r="J562" s="622" t="s">
        <v>10</v>
      </c>
      <c r="K562" s="651">
        <f>K561</f>
        <v>5.7560701718438211E-2</v>
      </c>
      <c r="L562" s="625" t="s">
        <v>10</v>
      </c>
      <c r="M562" s="622" t="s">
        <v>10</v>
      </c>
      <c r="N562" s="651" t="s">
        <v>10</v>
      </c>
      <c r="O562" s="654" t="s">
        <v>10</v>
      </c>
      <c r="P562" s="655" t="s">
        <v>10</v>
      </c>
      <c r="Q562" s="622" t="s">
        <v>10</v>
      </c>
      <c r="R562" s="622" t="s">
        <v>10</v>
      </c>
      <c r="S562" s="622" t="s">
        <v>10</v>
      </c>
      <c r="T562" s="622" t="s">
        <v>10</v>
      </c>
      <c r="U562" s="622" t="s">
        <v>10</v>
      </c>
      <c r="V562" s="622" t="s">
        <v>10</v>
      </c>
      <c r="W562" s="622" t="s">
        <v>10</v>
      </c>
      <c r="X562" s="653" t="s">
        <v>10</v>
      </c>
    </row>
    <row r="563" spans="1:26" x14ac:dyDescent="0.2">
      <c r="A563" s="632"/>
      <c r="B563" s="633">
        <v>136.30000000000001</v>
      </c>
      <c r="C563" s="640">
        <v>136.19999999999999</v>
      </c>
      <c r="D563" s="650" t="s">
        <v>10</v>
      </c>
      <c r="E563" s="622">
        <f>IF(B563=0,cell_HGL,IF(VLOOKUP(B563,table_HGL_JCTS,17,FALSE)&lt;X563,X563,VLOOKUP(B563,table_HGL_JCTS,17,FALSE)))</f>
        <v>390.11555608792992</v>
      </c>
      <c r="F563" s="622">
        <f>IF(B563=0,(E563+K563),IF(VLOOKUP(B563,table_HGL_JCTS,13,FALSE)="T-INTERSECTION",(E563+K563),(IF(VLOOKUP(B563,table_HGL_JCTS,17,FALSE)&lt;X563,(E563+K563),VLOOKUP(B563,table_HGL_JCTS,18,FALSE)))))</f>
        <v>390.17311678964836</v>
      </c>
      <c r="G563" s="624">
        <f>VLOOKUP(C563,table_CIA_JCTS,18)</f>
        <v>18</v>
      </c>
      <c r="H563" s="627">
        <f>VLOOKUP(C563,table_CIA_JCTS,17)</f>
        <v>2.2718417692650705</v>
      </c>
      <c r="I563" s="624">
        <f>VLOOKUP(C563,table_CIA_JCTS,21)</f>
        <v>21</v>
      </c>
      <c r="J563" s="622">
        <f>H563/((G563/12)^2*3.1416/4)</f>
        <v>1.285596451498215</v>
      </c>
      <c r="K563" s="622">
        <f>(J563^2)/64.4</f>
        <v>2.5663947765602518E-2</v>
      </c>
      <c r="L563" s="625">
        <f>(H563/((1.486/cell_NP)*((3.1416*(G563/12)^2)/4)*(G563/48)^(2/3)))^2</f>
        <v>4.6775315499330292E-4</v>
      </c>
      <c r="M563" s="622">
        <f>L563*I563</f>
        <v>9.8228162548593609E-3</v>
      </c>
      <c r="N563" s="651" t="s">
        <v>10</v>
      </c>
      <c r="O563" s="652" t="s">
        <v>130</v>
      </c>
      <c r="P563" s="622">
        <f>IF(ISBLANK(O563)=FALSE,(VLOOKUP(O563,table_MINOR,2,FALSE))*(K563)," ")</f>
        <v>7.6991843296807553E-3</v>
      </c>
      <c r="Q563" s="622">
        <f>SUM(P563:P564)</f>
        <v>7.6991843296807553E-3</v>
      </c>
      <c r="R563" s="622">
        <f>Q563+M563</f>
        <v>1.7522000584540117E-2</v>
      </c>
      <c r="S563" s="622">
        <f>IF(O563="T-INTERSECTION",T563,(T563-K563))</f>
        <v>390.1649748424673</v>
      </c>
      <c r="T563" s="622">
        <f>IF(O563="T-INTERSECTION",(R563+F563-K563),(R563+F563))</f>
        <v>390.19063879023292</v>
      </c>
      <c r="U563" s="622">
        <f>VLOOKUP(C563,table_CIA_JCTS,26)</f>
        <v>397.76</v>
      </c>
      <c r="V563" s="622">
        <f>U563-0.5-S563</f>
        <v>7.0950251575326888</v>
      </c>
      <c r="W563" s="622" t="s">
        <v>10</v>
      </c>
      <c r="X563" s="653" t="str">
        <f>IF(B563&gt;0,VLOOKUP(B563,table_CIA_JCTS,28)," ")</f>
        <v xml:space="preserve"> </v>
      </c>
    </row>
    <row r="564" spans="1:26" x14ac:dyDescent="0.2">
      <c r="A564" s="632"/>
      <c r="B564" s="633" t="s">
        <v>10</v>
      </c>
      <c r="C564" s="640" t="s">
        <v>10</v>
      </c>
      <c r="D564" s="624" t="s">
        <v>10</v>
      </c>
      <c r="E564" s="622" t="s">
        <v>10</v>
      </c>
      <c r="F564" s="622" t="s">
        <v>10</v>
      </c>
      <c r="G564" s="624" t="s">
        <v>10</v>
      </c>
      <c r="H564" s="627" t="s">
        <v>10</v>
      </c>
      <c r="I564" s="624" t="s">
        <v>10</v>
      </c>
      <c r="J564" s="622" t="s">
        <v>10</v>
      </c>
      <c r="K564" s="651">
        <f>K563</f>
        <v>2.5663947765602518E-2</v>
      </c>
      <c r="L564" s="625" t="s">
        <v>10</v>
      </c>
      <c r="M564" s="622" t="s">
        <v>10</v>
      </c>
      <c r="N564" s="651" t="s">
        <v>10</v>
      </c>
      <c r="O564" s="654" t="s">
        <v>10</v>
      </c>
      <c r="P564" s="655" t="s">
        <v>10</v>
      </c>
      <c r="Q564" s="622" t="s">
        <v>10</v>
      </c>
      <c r="R564" s="622" t="s">
        <v>10</v>
      </c>
      <c r="S564" s="622" t="s">
        <v>10</v>
      </c>
      <c r="T564" s="622" t="s">
        <v>10</v>
      </c>
      <c r="U564" s="622" t="s">
        <v>10</v>
      </c>
      <c r="V564" s="622" t="s">
        <v>10</v>
      </c>
      <c r="W564" s="622" t="s">
        <v>10</v>
      </c>
      <c r="X564" s="653" t="s">
        <v>10</v>
      </c>
    </row>
    <row r="565" spans="1:26" x14ac:dyDescent="0.2">
      <c r="A565" s="632"/>
      <c r="B565" s="633">
        <v>136.19999999999999</v>
      </c>
      <c r="C565" s="640">
        <v>136.1</v>
      </c>
      <c r="D565" s="650" t="s">
        <v>10</v>
      </c>
      <c r="E565" s="622">
        <f>IF(B565=0,cell_HGL,IF(VLOOKUP(B565,table_HGL_JCTS,17,FALSE)&lt;X565,X565,VLOOKUP(B565,table_HGL_JCTS,17,FALSE)))</f>
        <v>390.1649748424673</v>
      </c>
      <c r="F565" s="622">
        <f>IF(B565=0,(E565+K565),IF(VLOOKUP(B565,table_HGL_JCTS,13,FALSE)="T-INTERSECTION",(E565+K565),(IF(VLOOKUP(B565,table_HGL_JCTS,17,FALSE)&lt;X565,(E565+K565),VLOOKUP(B565,table_HGL_JCTS,18,FALSE)))))</f>
        <v>390.19063879023292</v>
      </c>
      <c r="G565" s="624">
        <f>VLOOKUP(C565,table_CIA_JCTS,18)</f>
        <v>18</v>
      </c>
      <c r="H565" s="627">
        <f>VLOOKUP(C565,table_CIA_JCTS,17)</f>
        <v>1.8212520321959202</v>
      </c>
      <c r="I565" s="624">
        <f>VLOOKUP(C565,table_CIA_JCTS,21)</f>
        <v>158</v>
      </c>
      <c r="J565" s="622">
        <f>H565/((G565/12)^2*3.1416/4)</f>
        <v>1.0306154158933425</v>
      </c>
      <c r="K565" s="622">
        <f>(J565^2)/64.4</f>
        <v>1.6493294029146077E-2</v>
      </c>
      <c r="L565" s="625">
        <f>(H565/((1.486/cell_NP)*((3.1416*(G565/12)^2)/4)*(G565/48)^(2/3)))^2</f>
        <v>3.0060808994886764E-4</v>
      </c>
      <c r="M565" s="622">
        <f>L565*I565</f>
        <v>4.7496078211921089E-2</v>
      </c>
      <c r="N565" s="651" t="s">
        <v>10</v>
      </c>
      <c r="O565" s="654" t="s">
        <v>10</v>
      </c>
      <c r="P565" s="655" t="s">
        <v>10</v>
      </c>
      <c r="Q565" s="622">
        <f>SUM(P565)</f>
        <v>0</v>
      </c>
      <c r="R565" s="622">
        <f>Q565+M565</f>
        <v>4.7496078211921089E-2</v>
      </c>
      <c r="S565" s="622">
        <f>IF(O565="T-INTERSECTION",T565,(T565-K565))</f>
        <v>390.22164157441568</v>
      </c>
      <c r="T565" s="622">
        <f>IF(O565="T-INTERSECTION",(R565+F565-K565),(R565+F565))</f>
        <v>390.23813486844483</v>
      </c>
      <c r="U565" s="622">
        <f>VLOOKUP(C565,table_CIA_JCTS,26)</f>
        <v>398.06</v>
      </c>
      <c r="V565" s="622">
        <f>U565-0.5-S565</f>
        <v>7.3383584255843175</v>
      </c>
      <c r="W565" s="622" t="s">
        <v>10</v>
      </c>
      <c r="X565" s="653" t="str">
        <f>IF(B565&gt;0,VLOOKUP(B565,table_CIA_JCTS,28)," ")</f>
        <v xml:space="preserve"> </v>
      </c>
    </row>
    <row r="566" spans="1:26" x14ac:dyDescent="0.2">
      <c r="B566" s="216" t="s">
        <v>10</v>
      </c>
      <c r="C566" s="217" t="s">
        <v>10</v>
      </c>
      <c r="D566" s="62" t="s">
        <v>10</v>
      </c>
      <c r="E566" s="61" t="s">
        <v>10</v>
      </c>
      <c r="F566" s="61" t="s">
        <v>10</v>
      </c>
      <c r="G566" s="62" t="s">
        <v>10</v>
      </c>
      <c r="H566" s="60" t="s">
        <v>10</v>
      </c>
      <c r="I566" s="62" t="s">
        <v>10</v>
      </c>
      <c r="J566" s="61" t="s">
        <v>10</v>
      </c>
      <c r="K566" s="68" t="s">
        <v>10</v>
      </c>
      <c r="L566" s="63" t="s">
        <v>10</v>
      </c>
      <c r="M566" s="61" t="s">
        <v>10</v>
      </c>
      <c r="N566" s="68" t="s">
        <v>10</v>
      </c>
      <c r="O566" s="52" t="s">
        <v>176</v>
      </c>
      <c r="P566" s="61" t="s">
        <v>10</v>
      </c>
      <c r="Q566" s="61" t="s">
        <v>10</v>
      </c>
      <c r="R566" s="61" t="s">
        <v>10</v>
      </c>
      <c r="S566" s="61" t="s">
        <v>10</v>
      </c>
      <c r="T566" s="61" t="s">
        <v>10</v>
      </c>
      <c r="U566" s="61" t="s">
        <v>10</v>
      </c>
      <c r="V566" s="61" t="s">
        <v>10</v>
      </c>
      <c r="W566" s="61" t="s">
        <v>10</v>
      </c>
      <c r="X566" s="69" t="s">
        <v>10</v>
      </c>
    </row>
    <row r="567" spans="1:26" x14ac:dyDescent="0.2">
      <c r="B567" s="216" t="s">
        <v>10</v>
      </c>
      <c r="C567" s="217" t="s">
        <v>10</v>
      </c>
      <c r="D567" s="62" t="s">
        <v>10</v>
      </c>
      <c r="E567" s="61" t="s">
        <v>10</v>
      </c>
      <c r="F567" s="61" t="s">
        <v>10</v>
      </c>
      <c r="G567" s="62" t="s">
        <v>10</v>
      </c>
      <c r="H567" s="60" t="s">
        <v>10</v>
      </c>
      <c r="I567" s="62" t="s">
        <v>10</v>
      </c>
      <c r="J567" s="61" t="s">
        <v>10</v>
      </c>
      <c r="K567" s="68" t="s">
        <v>10</v>
      </c>
      <c r="L567" s="63" t="s">
        <v>10</v>
      </c>
      <c r="M567" s="61" t="s">
        <v>10</v>
      </c>
      <c r="N567" s="68" t="s">
        <v>10</v>
      </c>
      <c r="O567" s="52" t="s">
        <v>176</v>
      </c>
      <c r="P567" s="61" t="s">
        <v>10</v>
      </c>
      <c r="Q567" s="61" t="s">
        <v>10</v>
      </c>
      <c r="R567" s="61" t="s">
        <v>10</v>
      </c>
      <c r="S567" s="61" t="s">
        <v>10</v>
      </c>
      <c r="T567" s="61" t="s">
        <v>10</v>
      </c>
      <c r="U567" s="61" t="s">
        <v>10</v>
      </c>
      <c r="V567" s="61" t="s">
        <v>10</v>
      </c>
      <c r="W567" s="61" t="s">
        <v>10</v>
      </c>
      <c r="X567" s="69" t="s">
        <v>10</v>
      </c>
      <c r="Y567" s="1"/>
    </row>
    <row r="568" spans="1:26" x14ac:dyDescent="0.2">
      <c r="B568" s="216" t="s">
        <v>10</v>
      </c>
      <c r="C568" s="217" t="s">
        <v>10</v>
      </c>
      <c r="D568" s="62" t="s">
        <v>10</v>
      </c>
      <c r="E568" s="61" t="s">
        <v>10</v>
      </c>
      <c r="F568" s="61" t="s">
        <v>10</v>
      </c>
      <c r="G568" s="62" t="s">
        <v>10</v>
      </c>
      <c r="H568" s="60" t="s">
        <v>10</v>
      </c>
      <c r="I568" s="62" t="s">
        <v>10</v>
      </c>
      <c r="J568" s="61" t="s">
        <v>10</v>
      </c>
      <c r="K568" s="68" t="s">
        <v>10</v>
      </c>
      <c r="L568" s="63" t="s">
        <v>10</v>
      </c>
      <c r="M568" s="61" t="s">
        <v>10</v>
      </c>
      <c r="N568" s="68" t="s">
        <v>10</v>
      </c>
      <c r="O568" s="52" t="s">
        <v>176</v>
      </c>
      <c r="P568" s="61" t="s">
        <v>10</v>
      </c>
      <c r="Q568" s="61" t="s">
        <v>10</v>
      </c>
      <c r="R568" s="61" t="s">
        <v>10</v>
      </c>
      <c r="S568" s="61" t="s">
        <v>10</v>
      </c>
      <c r="T568" s="61" t="s">
        <v>10</v>
      </c>
      <c r="U568" s="61" t="s">
        <v>10</v>
      </c>
      <c r="V568" s="61" t="s">
        <v>10</v>
      </c>
      <c r="W568" s="61" t="s">
        <v>10</v>
      </c>
      <c r="X568" s="69" t="s">
        <v>10</v>
      </c>
      <c r="Y568" s="1"/>
    </row>
    <row r="569" spans="1:26" x14ac:dyDescent="0.2">
      <c r="B569" s="216">
        <v>141</v>
      </c>
      <c r="C569" s="217">
        <v>140</v>
      </c>
      <c r="D569" s="58" t="s">
        <v>10</v>
      </c>
      <c r="E569" s="61">
        <f>IF(B569=0,cell_HGL,IF(VLOOKUP(B569,table_HGL_JCTS,17,FALSE)&lt;X569,X569,VLOOKUP(B569,table_HGL_JCTS,17,FALSE)))</f>
        <v>387.79252885459124</v>
      </c>
      <c r="F569" s="61">
        <f>IF(B569=0,(E569+K569),IF(VLOOKUP(B569,table_HGL_JCTS,13,FALSE)="T-INTERSECTION",(E569+K569),(IF(VLOOKUP(B569,table_HGL_JCTS,17,FALSE)&lt;X569,(E569+K569),VLOOKUP(B569,table_HGL_JCTS,18,FALSE)))))</f>
        <v>388.06013825943938</v>
      </c>
      <c r="G569" s="62">
        <f>VLOOKUP(C569,table_CIA_JCTS,18)</f>
        <v>18</v>
      </c>
      <c r="H569" s="60">
        <f>VLOOKUP(C569,table_CIA_JCTS,17)</f>
        <v>1.4460953517189146</v>
      </c>
      <c r="I569" s="62">
        <f>VLOOKUP(C569,table_CIA_JCTS,21)</f>
        <v>213</v>
      </c>
      <c r="J569" s="61">
        <f>H569/((G569/12)^2*3.1416/4)</f>
        <v>0.8183206585286561</v>
      </c>
      <c r="K569" s="61">
        <f>(J569^2)/64.4</f>
        <v>1.0398271741844307E-2</v>
      </c>
      <c r="L569" s="63">
        <f>(H569/((1.486/cell_NP)*((3.1416*(G569/12)^2)/4)*(G569/48)^(2/3)))^2</f>
        <v>1.8951972853702511E-4</v>
      </c>
      <c r="M569" s="61">
        <f>L569*I569</f>
        <v>4.0367702178386346E-2</v>
      </c>
      <c r="N569" s="68" t="s">
        <v>10</v>
      </c>
      <c r="O569" s="72" t="s">
        <v>130</v>
      </c>
      <c r="P569" s="61">
        <f>IF(ISBLANK(O569)=FALSE,(VLOOKUP(O569,table_MINOR,2,FALSE))*(K569)," ")</f>
        <v>3.1194815225532922E-3</v>
      </c>
      <c r="Q569" s="61">
        <f>SUM(P569:P571)</f>
        <v>5.719049458014369E-3</v>
      </c>
      <c r="R569" s="61">
        <f>Q569+M569</f>
        <v>4.6086751636400712E-2</v>
      </c>
      <c r="S569" s="61">
        <f>IF(O569="T-INTERSECTION",T569,(T569-K569))</f>
        <v>388.09582673933392</v>
      </c>
      <c r="T569" s="61">
        <f>IF(O569="T-INTERSECTION",(R569+F569-K569),(R569+F569))</f>
        <v>388.10622501107576</v>
      </c>
      <c r="U569" s="61">
        <f>VLOOKUP(C569,table_CIA_JCTS,26)</f>
        <v>390.53</v>
      </c>
      <c r="V569" s="277">
        <f>U569-0.5-S569</f>
        <v>1.9341732606660571</v>
      </c>
      <c r="W569" s="61" t="s">
        <v>10</v>
      </c>
      <c r="X569" s="69">
        <f>IF(B569&gt;0,VLOOKUP(B569,table_CIA_JCTS,28)," ")</f>
        <v>385.9</v>
      </c>
      <c r="Y569" s="1">
        <v>3.5720074057832676</v>
      </c>
      <c r="Z569" s="88">
        <f>V569-Y569</f>
        <v>-1.6378341451172105</v>
      </c>
    </row>
    <row r="570" spans="1:26" x14ac:dyDescent="0.2">
      <c r="B570" s="216" t="s">
        <v>10</v>
      </c>
      <c r="C570" s="217" t="s">
        <v>10</v>
      </c>
      <c r="D570" s="62" t="s">
        <v>10</v>
      </c>
      <c r="E570" s="61" t="s">
        <v>10</v>
      </c>
      <c r="F570" s="61" t="s">
        <v>10</v>
      </c>
      <c r="G570" s="62" t="s">
        <v>10</v>
      </c>
      <c r="H570" s="60" t="s">
        <v>10</v>
      </c>
      <c r="I570" s="62" t="s">
        <v>10</v>
      </c>
      <c r="J570" s="61" t="s">
        <v>10</v>
      </c>
      <c r="K570" s="68">
        <f>K569</f>
        <v>1.0398271741844307E-2</v>
      </c>
      <c r="L570" s="63" t="s">
        <v>10</v>
      </c>
      <c r="M570" s="61" t="s">
        <v>10</v>
      </c>
      <c r="N570" s="68" t="s">
        <v>10</v>
      </c>
      <c r="O570" s="52" t="s">
        <v>131</v>
      </c>
      <c r="P570" s="61">
        <f>IF(ISBLANK(O570)=FALSE,(VLOOKUP(O570,table_MINOR,2,FALSE))*(K570)," ")</f>
        <v>2.5995679354610768E-3</v>
      </c>
      <c r="Q570" s="61" t="s">
        <v>10</v>
      </c>
      <c r="R570" s="61" t="s">
        <v>10</v>
      </c>
      <c r="S570" s="61" t="s">
        <v>10</v>
      </c>
      <c r="T570" s="61" t="s">
        <v>10</v>
      </c>
      <c r="U570" s="61" t="s">
        <v>10</v>
      </c>
      <c r="V570" s="61" t="s">
        <v>10</v>
      </c>
      <c r="W570" s="61" t="s">
        <v>10</v>
      </c>
      <c r="X570" s="69" t="s">
        <v>10</v>
      </c>
      <c r="Y570" s="1" t="s">
        <v>10</v>
      </c>
    </row>
    <row r="571" spans="1:26" x14ac:dyDescent="0.2">
      <c r="B571" s="216" t="s">
        <v>10</v>
      </c>
      <c r="C571" s="217" t="s">
        <v>10</v>
      </c>
      <c r="D571" s="62" t="s">
        <v>10</v>
      </c>
      <c r="E571" s="61" t="s">
        <v>10</v>
      </c>
      <c r="F571" s="61" t="s">
        <v>10</v>
      </c>
      <c r="G571" s="62" t="s">
        <v>10</v>
      </c>
      <c r="H571" s="60" t="s">
        <v>10</v>
      </c>
      <c r="I571" s="62" t="s">
        <v>10</v>
      </c>
      <c r="J571" s="61" t="s">
        <v>10</v>
      </c>
      <c r="K571" s="68">
        <f>K570</f>
        <v>1.0398271741844307E-2</v>
      </c>
      <c r="L571" s="63" t="s">
        <v>10</v>
      </c>
      <c r="M571" s="61" t="s">
        <v>10</v>
      </c>
      <c r="N571" s="68" t="s">
        <v>10</v>
      </c>
      <c r="O571" s="52" t="s">
        <v>10</v>
      </c>
      <c r="P571" s="257" t="s">
        <v>10</v>
      </c>
      <c r="Q571" s="61" t="s">
        <v>10</v>
      </c>
      <c r="R571" s="61" t="s">
        <v>10</v>
      </c>
      <c r="S571" s="61" t="s">
        <v>10</v>
      </c>
      <c r="T571" s="61" t="s">
        <v>10</v>
      </c>
      <c r="U571" s="61" t="s">
        <v>10</v>
      </c>
      <c r="V571" s="61" t="s">
        <v>10</v>
      </c>
      <c r="W571" s="61" t="s">
        <v>10</v>
      </c>
      <c r="X571" s="69" t="s">
        <v>10</v>
      </c>
      <c r="Y571" s="1" t="s">
        <v>10</v>
      </c>
    </row>
    <row r="572" spans="1:26" x14ac:dyDescent="0.2">
      <c r="B572" s="216">
        <v>140</v>
      </c>
      <c r="C572" s="217">
        <v>139</v>
      </c>
      <c r="D572" s="58" t="s">
        <v>10</v>
      </c>
      <c r="E572" s="61">
        <f>IF(B572=0,cell_HGL,IF(VLOOKUP(B572,table_HGL_JCTS,17,FALSE)&lt;X572,X572,VLOOKUP(B572,table_HGL_JCTS,17,FALSE)))</f>
        <v>388.09582673933392</v>
      </c>
      <c r="F572" s="61">
        <f>IF(B572=0,(E572+K572),IF(VLOOKUP(B572,table_HGL_JCTS,13,FALSE)="T-INTERSECTION",(E572+K572),(IF(VLOOKUP(B572,table_HGL_JCTS,17,FALSE)&lt;X572,(E572+K572),VLOOKUP(B572,table_HGL_JCTS,18,FALSE)))))</f>
        <v>388.10622501107576</v>
      </c>
      <c r="G572" s="62">
        <f>VLOOKUP(C572,table_CIA_JCTS,18)</f>
        <v>18</v>
      </c>
      <c r="H572" s="60">
        <f>VLOOKUP(C572,table_CIA_JCTS,17)</f>
        <v>1.2390938150325139</v>
      </c>
      <c r="I572" s="62">
        <f>VLOOKUP(C572,table_CIA_JCTS,21)</f>
        <v>63</v>
      </c>
      <c r="J572" s="61">
        <f>H572/((G572/12)^2*3.1416/4)</f>
        <v>0.70118202474748259</v>
      </c>
      <c r="K572" s="61">
        <f>(J572^2)/64.4</f>
        <v>7.6344135377170684E-3</v>
      </c>
      <c r="L572" s="63">
        <f>(H572/((1.486/cell_NP)*((3.1416*(G572/12)^2)/4)*(G572/48)^(2/3)))^2</f>
        <v>1.3914542888748379E-4</v>
      </c>
      <c r="M572" s="61">
        <f>L572*I572</f>
        <v>8.7661620199114797E-3</v>
      </c>
      <c r="N572" s="68" t="s">
        <v>10</v>
      </c>
      <c r="O572" s="52" t="s">
        <v>10</v>
      </c>
      <c r="P572" s="257" t="s">
        <v>10</v>
      </c>
      <c r="Q572" s="61">
        <f>SUM(P572)</f>
        <v>0</v>
      </c>
      <c r="R572" s="61">
        <f>Q572+M572</f>
        <v>8.7661620199114797E-3</v>
      </c>
      <c r="S572" s="61">
        <f>IF(O572="T-INTERSECTION",T572,(T572-K572))</f>
        <v>388.10735675955794</v>
      </c>
      <c r="T572" s="61">
        <f>IF(O572="T-INTERSECTION",(R572+F572-K572),(R572+F572))</f>
        <v>388.11499117309569</v>
      </c>
      <c r="U572" s="61">
        <f>VLOOKUP(C572,table_CIA_JCTS,26)</f>
        <v>390.92</v>
      </c>
      <c r="V572" s="61">
        <f>U572-0.5-S572</f>
        <v>2.3126432404420711</v>
      </c>
      <c r="W572" s="61" t="s">
        <v>10</v>
      </c>
      <c r="X572" s="69">
        <f>IF(B572&gt;0,VLOOKUP(B572,table_CIA_JCTS,28)," ")</f>
        <v>385.31</v>
      </c>
      <c r="Y572" s="1">
        <v>3.9504773855592816</v>
      </c>
      <c r="Z572" s="88">
        <f t="shared" ref="Z572:Z602" si="8">V572-Y572</f>
        <v>-1.6378341451172105</v>
      </c>
    </row>
    <row r="573" spans="1:26" x14ac:dyDescent="0.2">
      <c r="B573" s="216" t="s">
        <v>10</v>
      </c>
      <c r="C573" s="217" t="s">
        <v>10</v>
      </c>
      <c r="D573" s="62" t="s">
        <v>10</v>
      </c>
      <c r="E573" s="61" t="s">
        <v>10</v>
      </c>
      <c r="F573" s="61" t="s">
        <v>10</v>
      </c>
      <c r="G573" s="62" t="s">
        <v>10</v>
      </c>
      <c r="H573" s="60" t="s">
        <v>10</v>
      </c>
      <c r="I573" s="62" t="s">
        <v>10</v>
      </c>
      <c r="J573" s="61" t="s">
        <v>10</v>
      </c>
      <c r="K573" s="68" t="s">
        <v>10</v>
      </c>
      <c r="L573" s="63" t="s">
        <v>10</v>
      </c>
      <c r="M573" s="61" t="s">
        <v>10</v>
      </c>
      <c r="N573" s="68" t="s">
        <v>10</v>
      </c>
      <c r="O573" s="52" t="s">
        <v>176</v>
      </c>
      <c r="P573" s="61" t="s">
        <v>10</v>
      </c>
      <c r="Q573" s="61" t="s">
        <v>10</v>
      </c>
      <c r="R573" s="61" t="s">
        <v>10</v>
      </c>
      <c r="S573" s="61" t="s">
        <v>10</v>
      </c>
      <c r="T573" s="61" t="s">
        <v>10</v>
      </c>
      <c r="U573" s="61" t="s">
        <v>10</v>
      </c>
      <c r="V573" s="61" t="s">
        <v>10</v>
      </c>
      <c r="W573" s="61" t="s">
        <v>10</v>
      </c>
      <c r="X573" s="69" t="s">
        <v>10</v>
      </c>
      <c r="Y573" s="1" t="s">
        <v>10</v>
      </c>
    </row>
    <row r="574" spans="1:26" x14ac:dyDescent="0.2">
      <c r="B574" s="216" t="s">
        <v>10</v>
      </c>
      <c r="C574" s="217" t="s">
        <v>10</v>
      </c>
      <c r="D574" s="62" t="s">
        <v>10</v>
      </c>
      <c r="E574" s="61" t="s">
        <v>10</v>
      </c>
      <c r="F574" s="61" t="s">
        <v>10</v>
      </c>
      <c r="G574" s="62" t="s">
        <v>10</v>
      </c>
      <c r="H574" s="60" t="s">
        <v>10</v>
      </c>
      <c r="I574" s="62" t="s">
        <v>10</v>
      </c>
      <c r="J574" s="61" t="s">
        <v>10</v>
      </c>
      <c r="K574" s="68" t="s">
        <v>10</v>
      </c>
      <c r="L574" s="63" t="s">
        <v>10</v>
      </c>
      <c r="M574" s="61" t="s">
        <v>10</v>
      </c>
      <c r="N574" s="68" t="s">
        <v>10</v>
      </c>
      <c r="O574" s="52" t="s">
        <v>176</v>
      </c>
      <c r="P574" s="61" t="s">
        <v>10</v>
      </c>
      <c r="Q574" s="61" t="s">
        <v>10</v>
      </c>
      <c r="R574" s="61" t="s">
        <v>10</v>
      </c>
      <c r="S574" s="61" t="s">
        <v>10</v>
      </c>
      <c r="T574" s="61" t="s">
        <v>10</v>
      </c>
      <c r="U574" s="61" t="s">
        <v>10</v>
      </c>
      <c r="V574" s="61" t="s">
        <v>10</v>
      </c>
      <c r="W574" s="61" t="s">
        <v>10</v>
      </c>
      <c r="X574" s="69" t="s">
        <v>10</v>
      </c>
      <c r="Y574" s="1" t="s">
        <v>10</v>
      </c>
    </row>
    <row r="575" spans="1:26" x14ac:dyDescent="0.2">
      <c r="B575" s="216">
        <v>143</v>
      </c>
      <c r="C575" s="217">
        <v>142</v>
      </c>
      <c r="D575" s="58" t="s">
        <v>10</v>
      </c>
      <c r="E575" s="61">
        <f>IF(B575=0,cell_HGL,IF(VLOOKUP(B575,table_HGL_JCTS,17,FALSE)&lt;X575,X575,VLOOKUP(B575,table_HGL_JCTS,17,FALSE)))</f>
        <v>385.87945033345949</v>
      </c>
      <c r="F575" s="61">
        <f>IF(B575=0,(E575+K575),IF(VLOOKUP(B575,table_HGL_JCTS,13,FALSE)="T-INTERSECTION",(E575+K575),(IF(VLOOKUP(B575,table_HGL_JCTS,17,FALSE)&lt;X575,(E575+K575),VLOOKUP(B575,table_HGL_JCTS,18,FALSE)))))</f>
        <v>386.0128912791846</v>
      </c>
      <c r="G575" s="62">
        <f>VLOOKUP(C575,table_CIA_JCTS,18)</f>
        <v>18</v>
      </c>
      <c r="H575" s="60">
        <f>VLOOKUP(C575,table_CIA_JCTS,17)</f>
        <v>1.4266537792924241</v>
      </c>
      <c r="I575" s="62">
        <f>VLOOKUP(C575,table_CIA_JCTS,21)</f>
        <v>255</v>
      </c>
      <c r="J575" s="61">
        <f>H575/((G575/12)^2*3.1416/4)</f>
        <v>0.80731900477742358</v>
      </c>
      <c r="K575" s="61">
        <f>(J575^2)/64.4</f>
        <v>1.0120558625385242E-2</v>
      </c>
      <c r="L575" s="63">
        <f>(H575/((1.486/cell_NP)*((3.1416*(G575/12)^2)/4)*(G575/48)^(2/3)))^2</f>
        <v>1.8445810716866899E-4</v>
      </c>
      <c r="M575" s="61">
        <f>L575*I575</f>
        <v>4.7036817328010593E-2</v>
      </c>
      <c r="N575" s="68" t="s">
        <v>10</v>
      </c>
      <c r="O575" s="52" t="s">
        <v>10</v>
      </c>
      <c r="P575" s="257" t="s">
        <v>10</v>
      </c>
      <c r="Q575" s="61">
        <f>SUM(P575)</f>
        <v>0</v>
      </c>
      <c r="R575" s="61">
        <f>Q575+M575</f>
        <v>4.7036817328010593E-2</v>
      </c>
      <c r="S575" s="61">
        <f>IF(O575="T-INTERSECTION",T575,(T575-K575))</f>
        <v>386.04980753788726</v>
      </c>
      <c r="T575" s="61">
        <f>IF(O575="T-INTERSECTION",(R575+F575-K575),(R575+F575))</f>
        <v>386.05992809651264</v>
      </c>
      <c r="U575" s="61">
        <f>VLOOKUP(C575,table_CIA_JCTS,26)</f>
        <v>392.5</v>
      </c>
      <c r="V575" s="61">
        <f>U575-0.5-S575</f>
        <v>5.9501924621127387</v>
      </c>
      <c r="W575" s="61" t="s">
        <v>10</v>
      </c>
      <c r="X575" s="69">
        <f>IF(B575&gt;0,VLOOKUP(B575,table_CIA_JCTS,28)," ")</f>
        <v>385.1</v>
      </c>
      <c r="Y575" s="1">
        <v>6.7736925674425947</v>
      </c>
      <c r="Z575" s="88">
        <f t="shared" si="8"/>
        <v>-0.82350010532985607</v>
      </c>
    </row>
    <row r="576" spans="1:26" x14ac:dyDescent="0.2">
      <c r="B576" s="216" t="s">
        <v>10</v>
      </c>
      <c r="C576" s="217" t="s">
        <v>10</v>
      </c>
      <c r="D576" s="62" t="s">
        <v>10</v>
      </c>
      <c r="E576" s="61" t="s">
        <v>10</v>
      </c>
      <c r="F576" s="61" t="s">
        <v>10</v>
      </c>
      <c r="G576" s="62" t="s">
        <v>10</v>
      </c>
      <c r="H576" s="60" t="s">
        <v>10</v>
      </c>
      <c r="I576" s="62" t="s">
        <v>10</v>
      </c>
      <c r="J576" s="61" t="s">
        <v>10</v>
      </c>
      <c r="K576" s="68" t="s">
        <v>10</v>
      </c>
      <c r="L576" s="63" t="s">
        <v>10</v>
      </c>
      <c r="M576" s="61" t="s">
        <v>10</v>
      </c>
      <c r="N576" s="68" t="s">
        <v>10</v>
      </c>
      <c r="O576" s="52" t="s">
        <v>176</v>
      </c>
      <c r="P576" s="61" t="s">
        <v>10</v>
      </c>
      <c r="Q576" s="61" t="s">
        <v>10</v>
      </c>
      <c r="R576" s="61" t="s">
        <v>10</v>
      </c>
      <c r="S576" s="61" t="s">
        <v>10</v>
      </c>
      <c r="T576" s="61" t="s">
        <v>10</v>
      </c>
      <c r="U576" s="61" t="s">
        <v>10</v>
      </c>
      <c r="V576" s="61" t="s">
        <v>10</v>
      </c>
      <c r="W576" s="61" t="s">
        <v>10</v>
      </c>
      <c r="X576" s="69" t="s">
        <v>10</v>
      </c>
      <c r="Y576" s="1" t="s">
        <v>10</v>
      </c>
    </row>
    <row r="577" spans="2:26" x14ac:dyDescent="0.2">
      <c r="B577" s="216" t="s">
        <v>10</v>
      </c>
      <c r="C577" s="217" t="s">
        <v>10</v>
      </c>
      <c r="D577" s="62" t="s">
        <v>10</v>
      </c>
      <c r="E577" s="61" t="s">
        <v>10</v>
      </c>
      <c r="F577" s="61" t="s">
        <v>10</v>
      </c>
      <c r="G577" s="62" t="s">
        <v>10</v>
      </c>
      <c r="H577" s="60" t="s">
        <v>10</v>
      </c>
      <c r="I577" s="62" t="s">
        <v>10</v>
      </c>
      <c r="J577" s="61" t="s">
        <v>10</v>
      </c>
      <c r="K577" s="68" t="s">
        <v>10</v>
      </c>
      <c r="L577" s="63" t="s">
        <v>10</v>
      </c>
      <c r="M577" s="61" t="s">
        <v>10</v>
      </c>
      <c r="N577" s="68" t="s">
        <v>10</v>
      </c>
      <c r="O577" s="52" t="s">
        <v>176</v>
      </c>
      <c r="P577" s="61" t="s">
        <v>10</v>
      </c>
      <c r="Q577" s="61" t="s">
        <v>10</v>
      </c>
      <c r="R577" s="61" t="s">
        <v>10</v>
      </c>
      <c r="S577" s="61" t="s">
        <v>10</v>
      </c>
      <c r="T577" s="61" t="s">
        <v>10</v>
      </c>
      <c r="U577" s="61" t="s">
        <v>10</v>
      </c>
      <c r="V577" s="61" t="s">
        <v>10</v>
      </c>
      <c r="W577" s="61" t="s">
        <v>10</v>
      </c>
      <c r="X577" s="69" t="s">
        <v>10</v>
      </c>
      <c r="Y577" s="1" t="s">
        <v>10</v>
      </c>
    </row>
    <row r="578" spans="2:26" x14ac:dyDescent="0.2">
      <c r="B578" s="216">
        <v>145</v>
      </c>
      <c r="C578" s="217">
        <v>144</v>
      </c>
      <c r="D578" s="58" t="s">
        <v>10</v>
      </c>
      <c r="E578" s="61">
        <f>IF(B578=0,cell_HGL,IF(VLOOKUP(B578,table_HGL_JCTS,17,FALSE)&lt;X578,X578,VLOOKUP(B578,table_HGL_JCTS,17,FALSE)))</f>
        <v>385.36341864042151</v>
      </c>
      <c r="F578" s="61">
        <f>IF(B578=0,(E578+K578),IF(VLOOKUP(B578,table_HGL_JCTS,13,FALSE)="T-INTERSECTION",(E578+K578),(IF(VLOOKUP(B578,table_HGL_JCTS,17,FALSE)&lt;X578,(E578+K578),VLOOKUP(B578,table_HGL_JCTS,18,FALSE)))))</f>
        <v>385.52854534149753</v>
      </c>
      <c r="G578" s="62">
        <f>VLOOKUP(C578,table_CIA_JCTS,18)</f>
        <v>18</v>
      </c>
      <c r="H578" s="60">
        <f>VLOOKUP(C578,table_CIA_JCTS,17)</f>
        <v>2.3921437064303173</v>
      </c>
      <c r="I578" s="62">
        <f>VLOOKUP(C578,table_CIA_JCTS,21)</f>
        <v>128</v>
      </c>
      <c r="J578" s="61">
        <f>H578/((G578/12)^2*3.1416/4)</f>
        <v>1.3536732628414776</v>
      </c>
      <c r="K578" s="61">
        <f>(J578^2)/64.4</f>
        <v>2.8453902213228136E-2</v>
      </c>
      <c r="L578" s="63">
        <f>(H578/((1.486/cell_NP)*((3.1416*(G578/12)^2)/4)*(G578/48)^(2/3)))^2</f>
        <v>5.1860308685427688E-4</v>
      </c>
      <c r="M578" s="61">
        <f>L578*I578</f>
        <v>6.6381195117347441E-2</v>
      </c>
      <c r="N578" s="68" t="s">
        <v>10</v>
      </c>
      <c r="O578" s="52" t="s">
        <v>10</v>
      </c>
      <c r="P578" s="257" t="s">
        <v>10</v>
      </c>
      <c r="Q578" s="61">
        <f>SUM(P578)</f>
        <v>0</v>
      </c>
      <c r="R578" s="61">
        <f>Q578+M578</f>
        <v>6.6381195117347441E-2</v>
      </c>
      <c r="S578" s="61">
        <f>IF(O578="T-INTERSECTION",T578,(T578-K578))</f>
        <v>385.56647263440163</v>
      </c>
      <c r="T578" s="61">
        <f>IF(O578="T-INTERSECTION",(R578+F578-K578),(R578+F578))</f>
        <v>385.59492653661488</v>
      </c>
      <c r="U578" s="61">
        <f>VLOOKUP(C578,table_CIA_JCTS,26)</f>
        <v>388.05</v>
      </c>
      <c r="V578" s="277">
        <f>U578-0.5-S578</f>
        <v>1.9835273655983769</v>
      </c>
      <c r="W578" s="61" t="s">
        <v>10</v>
      </c>
      <c r="X578" s="69">
        <f>IF(B578&gt;0,VLOOKUP(B578,table_CIA_JCTS,28)," ")</f>
        <v>384.66</v>
      </c>
      <c r="Y578" s="1">
        <v>2.6260176701022715</v>
      </c>
      <c r="Z578" s="88">
        <f t="shared" si="8"/>
        <v>-0.64249030450389455</v>
      </c>
    </row>
    <row r="579" spans="2:26" x14ac:dyDescent="0.2">
      <c r="B579" s="216" t="s">
        <v>10</v>
      </c>
      <c r="C579" s="217" t="s">
        <v>10</v>
      </c>
      <c r="D579" s="62" t="s">
        <v>10</v>
      </c>
      <c r="E579" s="61" t="s">
        <v>10</v>
      </c>
      <c r="F579" s="61" t="s">
        <v>10</v>
      </c>
      <c r="G579" s="62" t="s">
        <v>10</v>
      </c>
      <c r="H579" s="60" t="s">
        <v>10</v>
      </c>
      <c r="I579" s="62" t="s">
        <v>10</v>
      </c>
      <c r="J579" s="61" t="s">
        <v>10</v>
      </c>
      <c r="K579" s="68" t="s">
        <v>10</v>
      </c>
      <c r="L579" s="63" t="s">
        <v>10</v>
      </c>
      <c r="M579" s="61" t="s">
        <v>10</v>
      </c>
      <c r="N579" s="68" t="s">
        <v>10</v>
      </c>
      <c r="O579" s="52" t="s">
        <v>176</v>
      </c>
      <c r="P579" s="61" t="s">
        <v>10</v>
      </c>
      <c r="Q579" s="61" t="s">
        <v>10</v>
      </c>
      <c r="R579" s="61" t="s">
        <v>10</v>
      </c>
      <c r="S579" s="61" t="s">
        <v>10</v>
      </c>
      <c r="T579" s="61" t="s">
        <v>10</v>
      </c>
      <c r="U579" s="61" t="s">
        <v>10</v>
      </c>
      <c r="V579" s="61" t="s">
        <v>10</v>
      </c>
      <c r="W579" s="61" t="s">
        <v>10</v>
      </c>
      <c r="X579" s="69" t="s">
        <v>10</v>
      </c>
      <c r="Y579" s="1" t="s">
        <v>10</v>
      </c>
    </row>
    <row r="580" spans="2:26" x14ac:dyDescent="0.2">
      <c r="B580" s="216" t="s">
        <v>10</v>
      </c>
      <c r="C580" s="217" t="s">
        <v>10</v>
      </c>
      <c r="D580" s="62" t="s">
        <v>10</v>
      </c>
      <c r="E580" s="61" t="s">
        <v>10</v>
      </c>
      <c r="F580" s="61" t="s">
        <v>10</v>
      </c>
      <c r="G580" s="62" t="s">
        <v>10</v>
      </c>
      <c r="H580" s="60" t="s">
        <v>10</v>
      </c>
      <c r="I580" s="62" t="s">
        <v>10</v>
      </c>
      <c r="J580" s="61" t="s">
        <v>10</v>
      </c>
      <c r="K580" s="68" t="s">
        <v>10</v>
      </c>
      <c r="L580" s="63" t="s">
        <v>10</v>
      </c>
      <c r="M580" s="61" t="s">
        <v>10</v>
      </c>
      <c r="N580" s="68" t="s">
        <v>10</v>
      </c>
      <c r="O580" s="52" t="s">
        <v>176</v>
      </c>
      <c r="P580" s="61" t="s">
        <v>10</v>
      </c>
      <c r="Q580" s="61" t="s">
        <v>10</v>
      </c>
      <c r="R580" s="61" t="s">
        <v>10</v>
      </c>
      <c r="S580" s="61" t="s">
        <v>10</v>
      </c>
      <c r="T580" s="61" t="s">
        <v>10</v>
      </c>
      <c r="U580" s="61" t="s">
        <v>10</v>
      </c>
      <c r="V580" s="61" t="s">
        <v>10</v>
      </c>
      <c r="W580" s="61" t="s">
        <v>10</v>
      </c>
      <c r="X580" s="69" t="s">
        <v>10</v>
      </c>
      <c r="Y580" s="1" t="s">
        <v>10</v>
      </c>
    </row>
    <row r="581" spans="2:26" x14ac:dyDescent="0.2">
      <c r="B581" s="216">
        <v>153.1</v>
      </c>
      <c r="C581" s="217">
        <v>153</v>
      </c>
      <c r="D581" s="58" t="s">
        <v>10</v>
      </c>
      <c r="E581" s="61">
        <f>IF(B581=0,cell_HGL,IF(VLOOKUP(B581,table_HGL_JCTS,17,FALSE)&lt;X581,X581,VLOOKUP(B581,table_HGL_JCTS,17,FALSE)))</f>
        <v>384.22839748234452</v>
      </c>
      <c r="F581" s="61">
        <f>IF(B581=0,(E581+K581),IF(VLOOKUP(B581,table_HGL_JCTS,13,FALSE)="T-INTERSECTION",(E581+K581),(IF(VLOOKUP(B581,table_HGL_JCTS,17,FALSE)&lt;X581,(E581+K581),VLOOKUP(B581,table_HGL_JCTS,18,FALSE)))))</f>
        <v>384.37578261829805</v>
      </c>
      <c r="G581" s="62">
        <f>VLOOKUP(C581,table_CIA_JCTS,18)</f>
        <v>24</v>
      </c>
      <c r="H581" s="60">
        <f>VLOOKUP(C581,table_CIA_JCTS,17)</f>
        <v>4.1084242442397239</v>
      </c>
      <c r="I581" s="62">
        <f>VLOOKUP(C581,table_CIA_JCTS,21)</f>
        <v>509</v>
      </c>
      <c r="J581" s="61">
        <f>H581/((G581/12)^2*3.1416/4)</f>
        <v>1.3077489954926547</v>
      </c>
      <c r="K581" s="61">
        <f>(J581^2)/64.4</f>
        <v>2.6556016074721231E-2</v>
      </c>
      <c r="L581" s="63">
        <f>(H581/((1.486/cell_NP)*((3.1416*(G581/12)^2)/4)*(G581/48)^(2/3)))^2</f>
        <v>3.2981560757781864E-4</v>
      </c>
      <c r="M581" s="61">
        <f>L581*I581</f>
        <v>0.16787614425710967</v>
      </c>
      <c r="N581" s="68" t="s">
        <v>10</v>
      </c>
      <c r="O581" s="72" t="s">
        <v>130</v>
      </c>
      <c r="P581" s="61">
        <f>IF(ISBLANK(O581)=FALSE,(VLOOKUP(O581,table_MINOR,2,FALSE))*(K581)," ")</f>
        <v>7.9668048224163686E-3</v>
      </c>
      <c r="Q581" s="61">
        <f>SUM(P581:P584)</f>
        <v>2.1244812859776984E-2</v>
      </c>
      <c r="R581" s="61">
        <f>Q581+M581</f>
        <v>0.18912095711688665</v>
      </c>
      <c r="S581" s="61">
        <f>IF(O581="T-INTERSECTION",T581,(T581-K581))</f>
        <v>384.5383475593402</v>
      </c>
      <c r="T581" s="61">
        <f>IF(O581="T-INTERSECTION",(R581+F581-K581),(R581+F581))</f>
        <v>384.56490357541492</v>
      </c>
      <c r="U581" s="61">
        <f>VLOOKUP(C581,table_CIA_JCTS,26)</f>
        <v>388.17</v>
      </c>
      <c r="V581" s="61">
        <f>U581-0.5-S581</f>
        <v>3.1316524406598205</v>
      </c>
      <c r="W581" s="61" t="s">
        <v>10</v>
      </c>
      <c r="X581" s="69">
        <f>IF(B581&gt;0,VLOOKUP(B581,table_CIA_JCTS,28)," ")</f>
        <v>384.07</v>
      </c>
      <c r="Y581" s="1">
        <v>3.4108790428831526</v>
      </c>
      <c r="Z581" s="88">
        <f t="shared" si="8"/>
        <v>-0.27922660222333207</v>
      </c>
    </row>
    <row r="582" spans="2:26" x14ac:dyDescent="0.2">
      <c r="B582" s="216" t="s">
        <v>10</v>
      </c>
      <c r="C582" s="217" t="s">
        <v>10</v>
      </c>
      <c r="D582" s="62" t="s">
        <v>10</v>
      </c>
      <c r="E582" s="61" t="s">
        <v>10</v>
      </c>
      <c r="F582" s="61" t="s">
        <v>10</v>
      </c>
      <c r="G582" s="62" t="s">
        <v>10</v>
      </c>
      <c r="H582" s="60" t="s">
        <v>10</v>
      </c>
      <c r="I582" s="62" t="s">
        <v>10</v>
      </c>
      <c r="J582" s="61" t="s">
        <v>10</v>
      </c>
      <c r="K582" s="68">
        <f>K581</f>
        <v>2.6556016074721231E-2</v>
      </c>
      <c r="L582" s="63" t="s">
        <v>10</v>
      </c>
      <c r="M582" s="61" t="s">
        <v>10</v>
      </c>
      <c r="N582" s="68" t="s">
        <v>10</v>
      </c>
      <c r="O582" s="52" t="s">
        <v>131</v>
      </c>
      <c r="P582" s="61">
        <f>IF(ISBLANK(O582)=FALSE,(VLOOKUP(O582,table_MINOR,2,FALSE))*(K582)," ")</f>
        <v>6.6390040186803077E-3</v>
      </c>
      <c r="Q582" s="61" t="s">
        <v>10</v>
      </c>
      <c r="R582" s="61" t="s">
        <v>10</v>
      </c>
      <c r="S582" s="61" t="s">
        <v>10</v>
      </c>
      <c r="T582" s="61" t="s">
        <v>10</v>
      </c>
      <c r="U582" s="61" t="s">
        <v>10</v>
      </c>
      <c r="V582" s="61" t="s">
        <v>10</v>
      </c>
      <c r="W582" s="61" t="s">
        <v>10</v>
      </c>
      <c r="X582" s="69" t="s">
        <v>10</v>
      </c>
      <c r="Y582" s="1" t="s">
        <v>10</v>
      </c>
    </row>
    <row r="583" spans="2:26" x14ac:dyDescent="0.2">
      <c r="B583" s="216" t="s">
        <v>10</v>
      </c>
      <c r="C583" s="217" t="s">
        <v>10</v>
      </c>
      <c r="D583" s="62" t="s">
        <v>10</v>
      </c>
      <c r="E583" s="61" t="s">
        <v>10</v>
      </c>
      <c r="F583" s="61" t="s">
        <v>10</v>
      </c>
      <c r="G583" s="62" t="s">
        <v>10</v>
      </c>
      <c r="H583" s="60" t="s">
        <v>10</v>
      </c>
      <c r="I583" s="62" t="s">
        <v>10</v>
      </c>
      <c r="J583" s="61" t="s">
        <v>10</v>
      </c>
      <c r="K583" s="68">
        <f>K582</f>
        <v>2.6556016074721231E-2</v>
      </c>
      <c r="L583" s="63" t="s">
        <v>10</v>
      </c>
      <c r="M583" s="61" t="s">
        <v>10</v>
      </c>
      <c r="N583" s="68" t="s">
        <v>10</v>
      </c>
      <c r="O583" s="52" t="s">
        <v>131</v>
      </c>
      <c r="P583" s="61">
        <f>IF(ISBLANK(O583)=FALSE,(VLOOKUP(O583,table_MINOR,2,FALSE))*(K583)," ")</f>
        <v>6.6390040186803077E-3</v>
      </c>
      <c r="Q583" s="61" t="s">
        <v>10</v>
      </c>
      <c r="R583" s="61" t="s">
        <v>10</v>
      </c>
      <c r="S583" s="61" t="s">
        <v>10</v>
      </c>
      <c r="T583" s="61" t="s">
        <v>10</v>
      </c>
      <c r="U583" s="61" t="s">
        <v>10</v>
      </c>
      <c r="V583" s="61" t="s">
        <v>10</v>
      </c>
      <c r="W583" s="61" t="s">
        <v>10</v>
      </c>
      <c r="X583" s="69" t="s">
        <v>10</v>
      </c>
      <c r="Y583" s="1" t="s">
        <v>10</v>
      </c>
    </row>
    <row r="584" spans="2:26" x14ac:dyDescent="0.2">
      <c r="B584" s="216" t="s">
        <v>10</v>
      </c>
      <c r="C584" s="217" t="s">
        <v>10</v>
      </c>
      <c r="D584" s="62" t="s">
        <v>10</v>
      </c>
      <c r="E584" s="61" t="s">
        <v>10</v>
      </c>
      <c r="F584" s="61" t="s">
        <v>10</v>
      </c>
      <c r="G584" s="62" t="s">
        <v>10</v>
      </c>
      <c r="H584" s="60" t="s">
        <v>10</v>
      </c>
      <c r="I584" s="62" t="s">
        <v>10</v>
      </c>
      <c r="J584" s="61" t="s">
        <v>10</v>
      </c>
      <c r="K584" s="68">
        <f>K583</f>
        <v>2.6556016074721231E-2</v>
      </c>
      <c r="L584" s="63" t="s">
        <v>10</v>
      </c>
      <c r="M584" s="61" t="s">
        <v>10</v>
      </c>
      <c r="N584" s="68" t="s">
        <v>10</v>
      </c>
      <c r="O584" s="52" t="s">
        <v>10</v>
      </c>
      <c r="P584" s="257" t="s">
        <v>10</v>
      </c>
      <c r="Q584" s="61" t="s">
        <v>10</v>
      </c>
      <c r="R584" s="61" t="s">
        <v>10</v>
      </c>
      <c r="S584" s="61" t="s">
        <v>10</v>
      </c>
      <c r="T584" s="61" t="s">
        <v>10</v>
      </c>
      <c r="U584" s="61" t="s">
        <v>10</v>
      </c>
      <c r="V584" s="61" t="s">
        <v>10</v>
      </c>
      <c r="W584" s="61" t="s">
        <v>10</v>
      </c>
      <c r="X584" s="69" t="s">
        <v>10</v>
      </c>
      <c r="Y584" s="1" t="s">
        <v>10</v>
      </c>
    </row>
    <row r="585" spans="2:26" x14ac:dyDescent="0.2">
      <c r="B585" s="216">
        <v>153</v>
      </c>
      <c r="C585" s="217">
        <v>152</v>
      </c>
      <c r="D585" s="58" t="s">
        <v>10</v>
      </c>
      <c r="E585" s="61">
        <f>IF(B585=0,cell_HGL,IF(VLOOKUP(B585,table_HGL_JCTS,17,FALSE)&lt;X585,X585,VLOOKUP(B585,table_HGL_JCTS,17,FALSE)))</f>
        <v>384.5383475593402</v>
      </c>
      <c r="F585" s="61">
        <f>IF(B585=0,(E585+K585),IF(VLOOKUP(B585,table_HGL_JCTS,13,FALSE)="T-INTERSECTION",(E585+K585),(IF(VLOOKUP(B585,table_HGL_JCTS,17,FALSE)&lt;X585,(E585+K585),VLOOKUP(B585,table_HGL_JCTS,18,FALSE)))))</f>
        <v>384.56490357541492</v>
      </c>
      <c r="G585" s="62">
        <f>VLOOKUP(C585,table_CIA_JCTS,18)</f>
        <v>24</v>
      </c>
      <c r="H585" s="60">
        <f>VLOOKUP(C585,table_CIA_JCTS,17)</f>
        <v>3.2401547296914082</v>
      </c>
      <c r="I585" s="62">
        <f>VLOOKUP(C585,table_CIA_JCTS,21)</f>
        <v>328</v>
      </c>
      <c r="J585" s="61">
        <f>H585/((G585/12)^2*3.1416/4)</f>
        <v>1.0313708714322027</v>
      </c>
      <c r="K585" s="61">
        <f>(J585^2)/64.4</f>
        <v>1.6517482522341944E-2</v>
      </c>
      <c r="L585" s="63">
        <f>(H585/((1.486/cell_NP)*((3.1416*(G585/12)^2)/4)*(G585/48)^(2/3)))^2</f>
        <v>2.0514084335669297E-4</v>
      </c>
      <c r="M585" s="61">
        <f>L585*I585</f>
        <v>6.7286196620995289E-2</v>
      </c>
      <c r="N585" s="68" t="s">
        <v>10</v>
      </c>
      <c r="O585" s="72" t="s">
        <v>129</v>
      </c>
      <c r="P585" s="61">
        <f>IF(ISBLANK(O585)=FALSE,(VLOOKUP(O585,table_MINOR,2,FALSE))*(K585)," ")</f>
        <v>8.258741261170972E-3</v>
      </c>
      <c r="Q585" s="61">
        <f>SUM(P585:P586)</f>
        <v>8.258741261170972E-3</v>
      </c>
      <c r="R585" s="61">
        <f>Q585+M585</f>
        <v>7.5544937882166263E-2</v>
      </c>
      <c r="S585" s="61">
        <f>IF(O585="T-INTERSECTION",T585,(T585-K585))</f>
        <v>384.62393103077477</v>
      </c>
      <c r="T585" s="61">
        <f>IF(O585="T-INTERSECTION",(R585+F585-K585),(R585+F585))</f>
        <v>384.64044851329709</v>
      </c>
      <c r="U585" s="61">
        <f>VLOOKUP(C585,table_CIA_JCTS,26)</f>
        <v>387.15</v>
      </c>
      <c r="V585" s="61">
        <f>U585-0.5-S585</f>
        <v>2.0260689692252072</v>
      </c>
      <c r="W585" s="61" t="s">
        <v>10</v>
      </c>
      <c r="X585" s="69">
        <f>IF(B585&gt;0,VLOOKUP(B585,table_CIA_JCTS,28)," ")</f>
        <v>382.49</v>
      </c>
      <c r="Y585" s="1">
        <v>2.3052955714485392</v>
      </c>
      <c r="Z585" s="88">
        <f t="shared" si="8"/>
        <v>-0.27922660222333207</v>
      </c>
    </row>
    <row r="586" spans="2:26" x14ac:dyDescent="0.2">
      <c r="B586" s="216" t="s">
        <v>10</v>
      </c>
      <c r="C586" s="217" t="s">
        <v>10</v>
      </c>
      <c r="D586" s="62" t="s">
        <v>10</v>
      </c>
      <c r="E586" s="61" t="s">
        <v>10</v>
      </c>
      <c r="F586" s="61" t="s">
        <v>10</v>
      </c>
      <c r="G586" s="62" t="s">
        <v>10</v>
      </c>
      <c r="H586" s="60" t="s">
        <v>10</v>
      </c>
      <c r="I586" s="62" t="s">
        <v>10</v>
      </c>
      <c r="J586" s="61" t="s">
        <v>10</v>
      </c>
      <c r="K586" s="68">
        <f>K585</f>
        <v>1.6517482522341944E-2</v>
      </c>
      <c r="L586" s="63" t="s">
        <v>10</v>
      </c>
      <c r="M586" s="61" t="s">
        <v>10</v>
      </c>
      <c r="N586" s="68" t="s">
        <v>10</v>
      </c>
      <c r="O586" s="52" t="s">
        <v>10</v>
      </c>
      <c r="P586" s="257" t="s">
        <v>10</v>
      </c>
      <c r="Q586" s="61" t="s">
        <v>10</v>
      </c>
      <c r="R586" s="61" t="s">
        <v>10</v>
      </c>
      <c r="S586" s="61" t="s">
        <v>10</v>
      </c>
      <c r="T586" s="61" t="s">
        <v>10</v>
      </c>
      <c r="U586" s="61" t="s">
        <v>10</v>
      </c>
      <c r="V586" s="61" t="s">
        <v>10</v>
      </c>
      <c r="W586" s="61" t="s">
        <v>10</v>
      </c>
      <c r="X586" s="69" t="s">
        <v>10</v>
      </c>
      <c r="Y586" s="1" t="s">
        <v>10</v>
      </c>
    </row>
    <row r="587" spans="2:26" x14ac:dyDescent="0.2">
      <c r="B587" s="216" t="s">
        <v>10</v>
      </c>
      <c r="C587" s="217" t="s">
        <v>10</v>
      </c>
      <c r="D587" s="62" t="s">
        <v>10</v>
      </c>
      <c r="E587" s="61" t="s">
        <v>10</v>
      </c>
      <c r="F587" s="61" t="s">
        <v>10</v>
      </c>
      <c r="G587" s="62" t="s">
        <v>10</v>
      </c>
      <c r="H587" s="60" t="s">
        <v>10</v>
      </c>
      <c r="I587" s="62" t="s">
        <v>10</v>
      </c>
      <c r="J587" s="61" t="s">
        <v>10</v>
      </c>
      <c r="K587" s="68" t="s">
        <v>10</v>
      </c>
      <c r="L587" s="63" t="s">
        <v>10</v>
      </c>
      <c r="M587" s="61" t="s">
        <v>10</v>
      </c>
      <c r="N587" s="68" t="s">
        <v>10</v>
      </c>
      <c r="O587" s="52" t="s">
        <v>176</v>
      </c>
      <c r="P587" s="61" t="s">
        <v>10</v>
      </c>
      <c r="Q587" s="61" t="s">
        <v>10</v>
      </c>
      <c r="R587" s="61" t="s">
        <v>10</v>
      </c>
      <c r="S587" s="61" t="s">
        <v>10</v>
      </c>
      <c r="T587" s="61" t="s">
        <v>10</v>
      </c>
      <c r="U587" s="61" t="s">
        <v>10</v>
      </c>
      <c r="V587" s="61" t="s">
        <v>10</v>
      </c>
      <c r="W587" s="61" t="s">
        <v>10</v>
      </c>
      <c r="X587" s="69" t="s">
        <v>10</v>
      </c>
      <c r="Y587" s="1" t="s">
        <v>10</v>
      </c>
    </row>
    <row r="588" spans="2:26" x14ac:dyDescent="0.2">
      <c r="B588" s="216">
        <v>153.1</v>
      </c>
      <c r="C588" s="217">
        <v>151</v>
      </c>
      <c r="D588" s="58" t="s">
        <v>10</v>
      </c>
      <c r="E588" s="61">
        <f>IF(B588=0,cell_HGL,IF(VLOOKUP(B588,table_HGL_JCTS,17,FALSE)&lt;X588,X588,VLOOKUP(B588,table_HGL_JCTS,17,FALSE)))</f>
        <v>384.22839748234452</v>
      </c>
      <c r="F588" s="61">
        <f>IF(B588=0,(E588+K588),IF(VLOOKUP(B588,table_HGL_JCTS,13,FALSE)="T-INTERSECTION",(E588+K588),(IF(VLOOKUP(B588,table_HGL_JCTS,17,FALSE)&lt;X588,(E588+K588),VLOOKUP(B588,table_HGL_JCTS,18,FALSE)))))</f>
        <v>384.37578261829805</v>
      </c>
      <c r="G588" s="62">
        <f>VLOOKUP(C588,table_CIA_JCTS,18)</f>
        <v>18</v>
      </c>
      <c r="H588" s="60">
        <f>VLOOKUP(C588,table_CIA_JCTS,17)</f>
        <v>4.5566667837783053</v>
      </c>
      <c r="I588" s="62">
        <f>VLOOKUP(C588,table_CIA_JCTS,21)</f>
        <v>35</v>
      </c>
      <c r="J588" s="61">
        <f>H588/((G588/12)^2*3.1416/4)</f>
        <v>2.5785398997132702</v>
      </c>
      <c r="K588" s="61">
        <f>(J588^2)/64.4</f>
        <v>0.10324329214927516</v>
      </c>
      <c r="L588" s="63">
        <f>(H588/((1.486/cell_NP)*((3.1416*(G588/12)^2)/4)*(G588/48)^(2/3)))^2</f>
        <v>1.8817204615513285E-3</v>
      </c>
      <c r="M588" s="61">
        <f>L588*I588</f>
        <v>6.5860216154296505E-2</v>
      </c>
      <c r="N588" s="68" t="s">
        <v>10</v>
      </c>
      <c r="O588" s="72" t="s">
        <v>130</v>
      </c>
      <c r="P588" s="61">
        <f>IF(ISBLANK(O588)=FALSE,(VLOOKUP(O588,table_MINOR,2,FALSE))*(K588)," ")</f>
        <v>3.0972987644782547E-2</v>
      </c>
      <c r="Q588" s="61">
        <f>SUM(P588:P589)</f>
        <v>3.0972987644782547E-2</v>
      </c>
      <c r="R588" s="61">
        <f>Q588+M588</f>
        <v>9.683320379907906E-2</v>
      </c>
      <c r="S588" s="61">
        <f>IF(O588="T-INTERSECTION",T588,(T588-K588))</f>
        <v>384.36937252994784</v>
      </c>
      <c r="T588" s="61">
        <f>IF(O588="T-INTERSECTION",(R588+F588-K588),(R588+F588))</f>
        <v>384.47261582209711</v>
      </c>
      <c r="U588" s="61">
        <f>VLOOKUP(C588,table_CIA_JCTS,26)</f>
        <v>387.92</v>
      </c>
      <c r="V588" s="61">
        <f>U588-0.5-S588</f>
        <v>3.0506274700521772</v>
      </c>
      <c r="W588" s="61" t="s">
        <v>10</v>
      </c>
      <c r="X588" s="69">
        <f>IF(B588&gt;0,VLOOKUP(B588,table_CIA_JCTS,28)," ")</f>
        <v>384.07</v>
      </c>
      <c r="Y588" s="1">
        <v>3.2531667962009578</v>
      </c>
      <c r="Z588" s="88">
        <f t="shared" si="8"/>
        <v>-0.20253932614878067</v>
      </c>
    </row>
    <row r="589" spans="2:26" x14ac:dyDescent="0.2">
      <c r="B589" s="216" t="s">
        <v>10</v>
      </c>
      <c r="C589" s="217" t="s">
        <v>10</v>
      </c>
      <c r="D589" s="62" t="s">
        <v>10</v>
      </c>
      <c r="E589" s="61" t="s">
        <v>10</v>
      </c>
      <c r="F589" s="61" t="s">
        <v>10</v>
      </c>
      <c r="G589" s="62" t="s">
        <v>10</v>
      </c>
      <c r="H589" s="60" t="s">
        <v>10</v>
      </c>
      <c r="I589" s="62" t="s">
        <v>10</v>
      </c>
      <c r="J589" s="61" t="s">
        <v>10</v>
      </c>
      <c r="K589" s="68">
        <f>K588</f>
        <v>0.10324329214927516</v>
      </c>
      <c r="L589" s="63" t="s">
        <v>10</v>
      </c>
      <c r="M589" s="61" t="s">
        <v>10</v>
      </c>
      <c r="N589" s="68" t="s">
        <v>10</v>
      </c>
      <c r="O589" s="52" t="s">
        <v>10</v>
      </c>
      <c r="P589" s="257" t="s">
        <v>10</v>
      </c>
      <c r="Q589" s="61" t="s">
        <v>10</v>
      </c>
      <c r="R589" s="61" t="s">
        <v>10</v>
      </c>
      <c r="S589" s="61" t="s">
        <v>10</v>
      </c>
      <c r="T589" s="61" t="s">
        <v>10</v>
      </c>
      <c r="U589" s="61" t="s">
        <v>10</v>
      </c>
      <c r="V589" s="61" t="s">
        <v>10</v>
      </c>
      <c r="W589" s="61" t="s">
        <v>10</v>
      </c>
      <c r="X589" s="69" t="s">
        <v>10</v>
      </c>
      <c r="Y589" s="1" t="s">
        <v>10</v>
      </c>
    </row>
    <row r="590" spans="2:26" x14ac:dyDescent="0.2">
      <c r="B590" s="216">
        <v>151</v>
      </c>
      <c r="C590" s="217">
        <v>150</v>
      </c>
      <c r="D590" s="58" t="s">
        <v>10</v>
      </c>
      <c r="E590" s="61">
        <f>IF(B590=0,cell_HGL,IF(VLOOKUP(B590,table_HGL_JCTS,17,FALSE)&lt;X590,X590,VLOOKUP(B590,table_HGL_JCTS,17,FALSE)))</f>
        <v>384.36937252994784</v>
      </c>
      <c r="F590" s="61">
        <f>IF(B590=0,(E590+K590),IF(VLOOKUP(B590,table_HGL_JCTS,13,FALSE)="T-INTERSECTION",(E590+K590),(IF(VLOOKUP(B590,table_HGL_JCTS,17,FALSE)&lt;X590,(E590+K590),VLOOKUP(B590,table_HGL_JCTS,18,FALSE)))))</f>
        <v>384.47261582209711</v>
      </c>
      <c r="G590" s="62">
        <f>VLOOKUP(C590,table_CIA_JCTS,18)</f>
        <v>18</v>
      </c>
      <c r="H590" s="60">
        <f>VLOOKUP(C590,table_CIA_JCTS,17)</f>
        <v>3.4774502705428647</v>
      </c>
      <c r="I590" s="62">
        <f>VLOOKUP(C590,table_CIA_JCTS,21)</f>
        <v>132</v>
      </c>
      <c r="J590" s="61">
        <f>H590/((G590/12)^2*3.1416/4)</f>
        <v>1.9678297091604362</v>
      </c>
      <c r="K590" s="61">
        <f>(J590^2)/64.4</f>
        <v>6.0129716836249167E-2</v>
      </c>
      <c r="L590" s="63">
        <f>(H590/((1.486/cell_NP)*((3.1416*(G590/12)^2)/4)*(G590/48)^(2/3)))^2</f>
        <v>1.0959290057746562E-3</v>
      </c>
      <c r="M590" s="61">
        <f>L590*I590</f>
        <v>0.14466262876225461</v>
      </c>
      <c r="N590" s="68" t="s">
        <v>10</v>
      </c>
      <c r="O590" s="72" t="s">
        <v>152</v>
      </c>
      <c r="P590" s="61">
        <f>IF(ISBLANK(O590)=FALSE,(VLOOKUP(O590,table_MINOR,2,FALSE))*(K590)," ")</f>
        <v>3.6077830101749496E-2</v>
      </c>
      <c r="Q590" s="61">
        <f>SUM(P590:P591)</f>
        <v>3.6077830101749496E-2</v>
      </c>
      <c r="R590" s="61">
        <f>Q590+M590</f>
        <v>0.18074045886400411</v>
      </c>
      <c r="S590" s="61">
        <f>IF(O590="T-INTERSECTION",T590,(T590-K590))</f>
        <v>384.5932265641249</v>
      </c>
      <c r="T590" s="61">
        <f>IF(O590="T-INTERSECTION",(R590+F590-K590),(R590+F590))</f>
        <v>384.65335628096113</v>
      </c>
      <c r="U590" s="61">
        <f>VLOOKUP(C590,table_CIA_JCTS,26)</f>
        <v>389.02</v>
      </c>
      <c r="V590" s="61">
        <f>U590-0.5-S590</f>
        <v>3.9267734358750772</v>
      </c>
      <c r="W590" s="61" t="s">
        <v>10</v>
      </c>
      <c r="X590" s="69">
        <f>IF(B590&gt;0,VLOOKUP(B590,table_CIA_JCTS,28)," ")</f>
        <v>382.09</v>
      </c>
      <c r="Y590" s="1">
        <v>4.1293127620238579</v>
      </c>
      <c r="Z590" s="88">
        <f t="shared" si="8"/>
        <v>-0.20253932614878067</v>
      </c>
    </row>
    <row r="591" spans="2:26" x14ac:dyDescent="0.2">
      <c r="B591" s="216" t="s">
        <v>10</v>
      </c>
      <c r="C591" s="217" t="s">
        <v>10</v>
      </c>
      <c r="D591" s="62" t="s">
        <v>10</v>
      </c>
      <c r="E591" s="61" t="s">
        <v>10</v>
      </c>
      <c r="F591" s="61" t="s">
        <v>10</v>
      </c>
      <c r="G591" s="62" t="s">
        <v>10</v>
      </c>
      <c r="H591" s="60" t="s">
        <v>10</v>
      </c>
      <c r="I591" s="62" t="s">
        <v>10</v>
      </c>
      <c r="J591" s="61" t="s">
        <v>10</v>
      </c>
      <c r="K591" s="68">
        <f>K590</f>
        <v>6.0129716836249167E-2</v>
      </c>
      <c r="L591" s="63" t="s">
        <v>10</v>
      </c>
      <c r="M591" s="61" t="s">
        <v>10</v>
      </c>
      <c r="N591" s="68" t="s">
        <v>10</v>
      </c>
      <c r="O591" s="52" t="s">
        <v>10</v>
      </c>
      <c r="P591" s="257" t="s">
        <v>10</v>
      </c>
      <c r="Q591" s="61" t="s">
        <v>10</v>
      </c>
      <c r="R591" s="61" t="s">
        <v>10</v>
      </c>
      <c r="S591" s="61" t="s">
        <v>10</v>
      </c>
      <c r="T591" s="61" t="s">
        <v>10</v>
      </c>
      <c r="U591" s="61" t="s">
        <v>10</v>
      </c>
      <c r="V591" s="61" t="s">
        <v>10</v>
      </c>
      <c r="W591" s="61" t="s">
        <v>10</v>
      </c>
      <c r="X591" s="69" t="s">
        <v>10</v>
      </c>
      <c r="Y591" s="1" t="s">
        <v>10</v>
      </c>
    </row>
    <row r="592" spans="2:26" x14ac:dyDescent="0.2">
      <c r="B592" s="216">
        <v>150</v>
      </c>
      <c r="C592" s="217">
        <v>149</v>
      </c>
      <c r="D592" s="58" t="s">
        <v>10</v>
      </c>
      <c r="E592" s="61">
        <f>IF(B592=0,cell_HGL,IF(VLOOKUP(B592,table_HGL_JCTS,17,FALSE)&lt;X592,X592,VLOOKUP(B592,table_HGL_JCTS,17,FALSE)))</f>
        <v>384.5932265641249</v>
      </c>
      <c r="F592" s="61">
        <f>IF(B592=0,(E592+K592),IF(VLOOKUP(B592,table_HGL_JCTS,13,FALSE)="T-INTERSECTION",(E592+K592),(IF(VLOOKUP(B592,table_HGL_JCTS,17,FALSE)&lt;X592,(E592+K592),VLOOKUP(B592,table_HGL_JCTS,18,FALSE)))))</f>
        <v>384.65335628096113</v>
      </c>
      <c r="G592" s="62">
        <f>VLOOKUP(C592,table_CIA_JCTS,18)</f>
        <v>15</v>
      </c>
      <c r="H592" s="60">
        <f>VLOOKUP(C592,table_CIA_JCTS,17)</f>
        <v>1.6971519116896359</v>
      </c>
      <c r="I592" s="62">
        <f>VLOOKUP(C592,table_CIA_JCTS,21)</f>
        <v>551</v>
      </c>
      <c r="J592" s="61">
        <f>H592/((G592/12)^2*3.1416/4)</f>
        <v>1.3829605595637473</v>
      </c>
      <c r="K592" s="61">
        <f>(J592^2)/64.4</f>
        <v>2.969844579672163E-2</v>
      </c>
      <c r="L592" s="63">
        <f>(H592/((1.486/cell_NP)*((3.1416*(G592/12)^2)/4)*(G592/48)^(2/3)))^2</f>
        <v>6.9024295011247284E-4</v>
      </c>
      <c r="M592" s="61">
        <f>L592*I592</f>
        <v>0.38032386551197256</v>
      </c>
      <c r="N592" s="68" t="s">
        <v>10</v>
      </c>
      <c r="O592" s="72" t="s">
        <v>129</v>
      </c>
      <c r="P592" s="61">
        <f>IF(ISBLANK(O592)=FALSE,(VLOOKUP(O592,table_MINOR,2,FALSE))*(K592)," ")</f>
        <v>1.4849222898360815E-2</v>
      </c>
      <c r="Q592" s="61">
        <f>SUM(P592:P596)</f>
        <v>5.1972280144262847E-2</v>
      </c>
      <c r="R592" s="61">
        <f>Q592+M592</f>
        <v>0.43229614565623542</v>
      </c>
      <c r="S592" s="61">
        <f>IF(O592="T-INTERSECTION",T592,(T592-K592))</f>
        <v>385.05595398082062</v>
      </c>
      <c r="T592" s="61">
        <f>IF(O592="T-INTERSECTION",(R592+F592-K592),(R592+F592))</f>
        <v>385.08565242661734</v>
      </c>
      <c r="U592" s="61">
        <f>VLOOKUP(C592,table_CIA_JCTS,26)</f>
        <v>393.84</v>
      </c>
      <c r="V592" s="61">
        <f>U592-0.5-S592</f>
        <v>8.2840460191793568</v>
      </c>
      <c r="W592" s="61" t="s">
        <v>10</v>
      </c>
      <c r="X592" s="69">
        <f>IF(B592&gt;0,VLOOKUP(B592,table_CIA_JCTS,28)," ")</f>
        <v>383.26</v>
      </c>
      <c r="Y592" s="1">
        <v>8.4865853453281375</v>
      </c>
      <c r="Z592" s="88">
        <f t="shared" si="8"/>
        <v>-0.20253932614878067</v>
      </c>
    </row>
    <row r="593" spans="2:26" x14ac:dyDescent="0.2">
      <c r="B593" s="216" t="s">
        <v>10</v>
      </c>
      <c r="C593" s="217" t="s">
        <v>10</v>
      </c>
      <c r="D593" s="62" t="s">
        <v>10</v>
      </c>
      <c r="E593" s="61" t="s">
        <v>10</v>
      </c>
      <c r="F593" s="61" t="s">
        <v>10</v>
      </c>
      <c r="G593" s="62" t="s">
        <v>10</v>
      </c>
      <c r="H593" s="60" t="s">
        <v>10</v>
      </c>
      <c r="I593" s="62" t="s">
        <v>10</v>
      </c>
      <c r="J593" s="61" t="s">
        <v>10</v>
      </c>
      <c r="K593" s="68">
        <f>K592</f>
        <v>2.969844579672163E-2</v>
      </c>
      <c r="L593" s="63" t="s">
        <v>10</v>
      </c>
      <c r="M593" s="61" t="s">
        <v>10</v>
      </c>
      <c r="N593" s="68" t="s">
        <v>10</v>
      </c>
      <c r="O593" s="52" t="s">
        <v>156</v>
      </c>
      <c r="P593" s="61">
        <f>IF(ISBLANK(O593)=FALSE,(VLOOKUP(O593,table_MINOR,2,FALSE))*(K593)," ")</f>
        <v>2.2273834347541224E-2</v>
      </c>
      <c r="Q593" s="61" t="s">
        <v>10</v>
      </c>
      <c r="R593" s="61" t="s">
        <v>10</v>
      </c>
      <c r="S593" s="61" t="s">
        <v>10</v>
      </c>
      <c r="T593" s="61" t="s">
        <v>10</v>
      </c>
      <c r="U593" s="61" t="s">
        <v>10</v>
      </c>
      <c r="V593" s="61" t="s">
        <v>10</v>
      </c>
      <c r="W593" s="61" t="s">
        <v>10</v>
      </c>
      <c r="X593" s="69" t="s">
        <v>10</v>
      </c>
      <c r="Y593" s="1" t="s">
        <v>10</v>
      </c>
    </row>
    <row r="594" spans="2:26" x14ac:dyDescent="0.2">
      <c r="B594" s="216" t="s">
        <v>10</v>
      </c>
      <c r="C594" s="217" t="s">
        <v>10</v>
      </c>
      <c r="D594" s="62" t="s">
        <v>10</v>
      </c>
      <c r="E594" s="61" t="s">
        <v>10</v>
      </c>
      <c r="F594" s="61" t="s">
        <v>10</v>
      </c>
      <c r="G594" s="62" t="s">
        <v>10</v>
      </c>
      <c r="H594" s="60" t="s">
        <v>10</v>
      </c>
      <c r="I594" s="62" t="s">
        <v>10</v>
      </c>
      <c r="J594" s="61" t="s">
        <v>10</v>
      </c>
      <c r="K594" s="68">
        <f>K593</f>
        <v>2.969844579672163E-2</v>
      </c>
      <c r="L594" s="63" t="s">
        <v>10</v>
      </c>
      <c r="M594" s="61" t="s">
        <v>10</v>
      </c>
      <c r="N594" s="68" t="s">
        <v>10</v>
      </c>
      <c r="O594" s="52" t="s">
        <v>131</v>
      </c>
      <c r="P594" s="61">
        <f>IF(ISBLANK(O594)=FALSE,(VLOOKUP(O594,table_MINOR,2,FALSE))*(K594)," ")</f>
        <v>7.4246114491804075E-3</v>
      </c>
      <c r="Q594" s="61" t="s">
        <v>10</v>
      </c>
      <c r="R594" s="61" t="s">
        <v>10</v>
      </c>
      <c r="S594" s="61" t="s">
        <v>10</v>
      </c>
      <c r="T594" s="61" t="s">
        <v>10</v>
      </c>
      <c r="U594" s="61" t="s">
        <v>10</v>
      </c>
      <c r="V594" s="61" t="s">
        <v>10</v>
      </c>
      <c r="W594" s="61" t="s">
        <v>10</v>
      </c>
      <c r="X594" s="69" t="s">
        <v>10</v>
      </c>
      <c r="Y594" s="1" t="s">
        <v>10</v>
      </c>
    </row>
    <row r="595" spans="2:26" x14ac:dyDescent="0.2">
      <c r="B595" s="216" t="s">
        <v>10</v>
      </c>
      <c r="C595" s="217" t="s">
        <v>10</v>
      </c>
      <c r="D595" s="62" t="s">
        <v>10</v>
      </c>
      <c r="E595" s="61" t="s">
        <v>10</v>
      </c>
      <c r="F595" s="61" t="s">
        <v>10</v>
      </c>
      <c r="G595" s="62" t="s">
        <v>10</v>
      </c>
      <c r="H595" s="60" t="s">
        <v>10</v>
      </c>
      <c r="I595" s="62" t="s">
        <v>10</v>
      </c>
      <c r="J595" s="61" t="s">
        <v>10</v>
      </c>
      <c r="K595" s="68">
        <f>K594</f>
        <v>2.969844579672163E-2</v>
      </c>
      <c r="L595" s="63" t="s">
        <v>10</v>
      </c>
      <c r="M595" s="61" t="s">
        <v>10</v>
      </c>
      <c r="N595" s="68" t="s">
        <v>10</v>
      </c>
      <c r="O595" s="52" t="s">
        <v>131</v>
      </c>
      <c r="P595" s="61">
        <f>IF(ISBLANK(O595)=FALSE,(VLOOKUP(O595,table_MINOR,2,FALSE))*(K595)," ")</f>
        <v>7.4246114491804075E-3</v>
      </c>
      <c r="Q595" s="61" t="s">
        <v>10</v>
      </c>
      <c r="R595" s="61" t="s">
        <v>10</v>
      </c>
      <c r="S595" s="61" t="s">
        <v>10</v>
      </c>
      <c r="T595" s="61" t="s">
        <v>10</v>
      </c>
      <c r="U595" s="61" t="s">
        <v>10</v>
      </c>
      <c r="V595" s="61" t="s">
        <v>10</v>
      </c>
      <c r="W595" s="61" t="s">
        <v>10</v>
      </c>
      <c r="X595" s="69" t="s">
        <v>10</v>
      </c>
      <c r="Y595" s="1" t="s">
        <v>10</v>
      </c>
    </row>
    <row r="596" spans="2:26" x14ac:dyDescent="0.2">
      <c r="B596" s="216" t="s">
        <v>10</v>
      </c>
      <c r="C596" s="217" t="s">
        <v>10</v>
      </c>
      <c r="D596" s="62" t="s">
        <v>10</v>
      </c>
      <c r="E596" s="61" t="s">
        <v>10</v>
      </c>
      <c r="F596" s="61" t="s">
        <v>10</v>
      </c>
      <c r="G596" s="62" t="s">
        <v>10</v>
      </c>
      <c r="H596" s="60" t="s">
        <v>10</v>
      </c>
      <c r="I596" s="62" t="s">
        <v>10</v>
      </c>
      <c r="J596" s="61" t="s">
        <v>10</v>
      </c>
      <c r="K596" s="68">
        <f>K595</f>
        <v>2.969844579672163E-2</v>
      </c>
      <c r="L596" s="63" t="s">
        <v>10</v>
      </c>
      <c r="M596" s="61" t="s">
        <v>10</v>
      </c>
      <c r="N596" s="68" t="s">
        <v>10</v>
      </c>
      <c r="O596" s="52" t="s">
        <v>10</v>
      </c>
      <c r="P596" s="257" t="s">
        <v>10</v>
      </c>
      <c r="Q596" s="61" t="s">
        <v>10</v>
      </c>
      <c r="R596" s="61" t="s">
        <v>10</v>
      </c>
      <c r="S596" s="61" t="s">
        <v>10</v>
      </c>
      <c r="T596" s="61" t="s">
        <v>10</v>
      </c>
      <c r="U596" s="61" t="s">
        <v>10</v>
      </c>
      <c r="V596" s="61" t="s">
        <v>10</v>
      </c>
      <c r="W596" s="61" t="s">
        <v>10</v>
      </c>
      <c r="X596" s="69" t="s">
        <v>10</v>
      </c>
      <c r="Y596" s="1" t="s">
        <v>10</v>
      </c>
    </row>
    <row r="597" spans="2:26" x14ac:dyDescent="0.2">
      <c r="B597" s="216">
        <v>149</v>
      </c>
      <c r="C597" s="217">
        <v>147</v>
      </c>
      <c r="D597" s="58" t="s">
        <v>10</v>
      </c>
      <c r="E597" s="61">
        <f>IF(B597=0,cell_HGL,IF(VLOOKUP(B597,table_HGL_JCTS,17,FALSE)&lt;X597,X597,VLOOKUP(B597,table_HGL_JCTS,17,FALSE)))</f>
        <v>387.47</v>
      </c>
      <c r="F597" s="61">
        <f>IF(B597=0,(E597+K597),IF(VLOOKUP(B597,table_HGL_JCTS,13,FALSE)="T-INTERSECTION",(E597+K597),(IF(VLOOKUP(B597,table_HGL_JCTS,17,FALSE)&lt;X597,(E597+K597),VLOOKUP(B597,table_HGL_JCTS,18,FALSE)))))</f>
        <v>387.48127229643194</v>
      </c>
      <c r="G597" s="62">
        <f>VLOOKUP(C597,table_CIA_JCTS,18)</f>
        <v>15</v>
      </c>
      <c r="H597" s="60">
        <f>VLOOKUP(C597,table_CIA_JCTS,17)</f>
        <v>1.0455867164568549</v>
      </c>
      <c r="I597" s="62">
        <f>VLOOKUP(C597,table_CIA_JCTS,21)</f>
        <v>221</v>
      </c>
      <c r="J597" s="61">
        <f>H597/((G597/12)^2*3.1416/4)</f>
        <v>0.85201871470892176</v>
      </c>
      <c r="K597" s="61">
        <f>(J597^2)/64.4</f>
        <v>1.1272296431898182E-2</v>
      </c>
      <c r="L597" s="63">
        <f>(H597/((1.486/cell_NP)*((3.1416*(G597/12)^2)/4)*(G597/48)^(2/3)))^2</f>
        <v>2.6198755305082653E-4</v>
      </c>
      <c r="M597" s="61">
        <f>L597*I597</f>
        <v>5.789924922423266E-2</v>
      </c>
      <c r="N597" s="68" t="s">
        <v>10</v>
      </c>
      <c r="O597" s="72" t="s">
        <v>130</v>
      </c>
      <c r="P597" s="61">
        <f>IF(ISBLANK(O597)=FALSE,(VLOOKUP(O597,table_MINOR,2,FALSE))*(K597)," ")</f>
        <v>3.3816889295694543E-3</v>
      </c>
      <c r="Q597" s="61">
        <f>SUM(P597:P598)</f>
        <v>3.3816889295694543E-3</v>
      </c>
      <c r="R597" s="61">
        <f>Q597+M597</f>
        <v>6.1280938153802117E-2</v>
      </c>
      <c r="S597" s="61">
        <f>IF(O597="T-INTERSECTION",T597,(T597-K597))</f>
        <v>387.53128093815383</v>
      </c>
      <c r="T597" s="61">
        <f>IF(O597="T-INTERSECTION",(R597+F597-K597),(R597+F597))</f>
        <v>387.54255323458574</v>
      </c>
      <c r="U597" s="61">
        <f>VLOOKUP(C597,table_CIA_JCTS,26)</f>
        <v>394.07</v>
      </c>
      <c r="V597" s="61">
        <f>U597-0.5-S597</f>
        <v>6.0387190618461659</v>
      </c>
      <c r="W597" s="61" t="s">
        <v>10</v>
      </c>
      <c r="X597" s="69">
        <f>IF(B597&gt;0,VLOOKUP(B597,table_CIA_JCTS,28)," ")</f>
        <v>387.47</v>
      </c>
      <c r="Y597" s="1">
        <v>6.0387190618461659</v>
      </c>
      <c r="Z597" s="88">
        <f t="shared" si="8"/>
        <v>0</v>
      </c>
    </row>
    <row r="598" spans="2:26" x14ac:dyDescent="0.2">
      <c r="B598" s="216" t="s">
        <v>10</v>
      </c>
      <c r="C598" s="217" t="s">
        <v>10</v>
      </c>
      <c r="D598" s="62" t="s">
        <v>10</v>
      </c>
      <c r="E598" s="61" t="s">
        <v>10</v>
      </c>
      <c r="F598" s="61" t="s">
        <v>10</v>
      </c>
      <c r="G598" s="62" t="s">
        <v>10</v>
      </c>
      <c r="H598" s="60" t="s">
        <v>10</v>
      </c>
      <c r="I598" s="62" t="s">
        <v>10</v>
      </c>
      <c r="J598" s="61" t="s">
        <v>10</v>
      </c>
      <c r="K598" s="68">
        <f>K597</f>
        <v>1.1272296431898182E-2</v>
      </c>
      <c r="L598" s="63" t="s">
        <v>10</v>
      </c>
      <c r="M598" s="61" t="s">
        <v>10</v>
      </c>
      <c r="N598" s="68" t="s">
        <v>10</v>
      </c>
      <c r="O598" s="52" t="s">
        <v>10</v>
      </c>
      <c r="P598" s="257" t="s">
        <v>10</v>
      </c>
      <c r="Q598" s="61" t="s">
        <v>10</v>
      </c>
      <c r="R598" s="61" t="s">
        <v>10</v>
      </c>
      <c r="S598" s="61" t="s">
        <v>10</v>
      </c>
      <c r="T598" s="61" t="s">
        <v>10</v>
      </c>
      <c r="U598" s="61" t="s">
        <v>10</v>
      </c>
      <c r="V598" s="61" t="s">
        <v>10</v>
      </c>
      <c r="W598" s="61" t="s">
        <v>10</v>
      </c>
      <c r="X598" s="69" t="s">
        <v>10</v>
      </c>
      <c r="Y598" s="1" t="s">
        <v>10</v>
      </c>
    </row>
    <row r="599" spans="2:26" x14ac:dyDescent="0.2">
      <c r="B599" s="216">
        <v>147</v>
      </c>
      <c r="C599" s="217">
        <v>146</v>
      </c>
      <c r="D599" s="58" t="s">
        <v>10</v>
      </c>
      <c r="E599" s="61">
        <f>IF(B599=0,cell_HGL,IF(VLOOKUP(B599,table_HGL_JCTS,17,FALSE)&lt;X599,X599,VLOOKUP(B599,table_HGL_JCTS,17,FALSE)))</f>
        <v>387.53128093815383</v>
      </c>
      <c r="F599" s="61">
        <f>IF(B599=0,(E599+K599),IF(VLOOKUP(B599,table_HGL_JCTS,13,FALSE)="T-INTERSECTION",(E599+K599),(IF(VLOOKUP(B599,table_HGL_JCTS,17,FALSE)&lt;X599,(E599+K599),VLOOKUP(B599,table_HGL_JCTS,18,FALSE)))))</f>
        <v>387.54255323458574</v>
      </c>
      <c r="G599" s="62">
        <f>VLOOKUP(C599,table_CIA_JCTS,18)</f>
        <v>15</v>
      </c>
      <c r="H599" s="60">
        <f>VLOOKUP(C599,table_CIA_JCTS,17)</f>
        <v>0.757821068228682</v>
      </c>
      <c r="I599" s="62">
        <f>VLOOKUP(C599,table_CIA_JCTS,21)</f>
        <v>210</v>
      </c>
      <c r="J599" s="61">
        <f>H599/((G599/12)^2*3.1416/4)</f>
        <v>0.61752671717132235</v>
      </c>
      <c r="K599" s="61">
        <f>(J599^2)/64.4</f>
        <v>5.9214168698818372E-3</v>
      </c>
      <c r="L599" s="63">
        <f>(H599/((1.486/cell_NP)*((3.1416*(G599/12)^2)/4)*(G599/48)^(2/3)))^2</f>
        <v>1.3762391059414245E-4</v>
      </c>
      <c r="M599" s="61">
        <f>L599*I599</f>
        <v>2.8901021224769917E-2</v>
      </c>
      <c r="N599" s="68" t="s">
        <v>10</v>
      </c>
      <c r="O599" s="52" t="s">
        <v>10</v>
      </c>
      <c r="P599" s="257" t="s">
        <v>10</v>
      </c>
      <c r="Q599" s="61">
        <f>SUM(P599)</f>
        <v>0</v>
      </c>
      <c r="R599" s="61">
        <f>Q599+M599</f>
        <v>2.8901021224769917E-2</v>
      </c>
      <c r="S599" s="61">
        <f>IF(O599="T-INTERSECTION",T599,(T599-K599))</f>
        <v>387.56553283894061</v>
      </c>
      <c r="T599" s="61">
        <f>IF(O599="T-INTERSECTION",(R599+F599-K599),(R599+F599))</f>
        <v>387.57145425581052</v>
      </c>
      <c r="U599" s="61">
        <f>VLOOKUP(C599,table_CIA_JCTS,26)</f>
        <v>394.07</v>
      </c>
      <c r="V599" s="61">
        <f>U599-0.5-S599</f>
        <v>6.0044671610593809</v>
      </c>
      <c r="W599" s="61" t="s">
        <v>10</v>
      </c>
      <c r="X599" s="69">
        <f>IF(B599&gt;0,VLOOKUP(B599,table_CIA_JCTS,28)," ")</f>
        <v>387.13</v>
      </c>
      <c r="Y599" s="1">
        <v>6.0044671610593809</v>
      </c>
      <c r="Z599" s="88">
        <f t="shared" si="8"/>
        <v>0</v>
      </c>
    </row>
    <row r="600" spans="2:26" x14ac:dyDescent="0.2">
      <c r="B600" s="216" t="s">
        <v>10</v>
      </c>
      <c r="C600" s="217" t="s">
        <v>10</v>
      </c>
      <c r="D600" s="62" t="s">
        <v>10</v>
      </c>
      <c r="E600" s="61" t="s">
        <v>10</v>
      </c>
      <c r="F600" s="61" t="s">
        <v>10</v>
      </c>
      <c r="G600" s="62" t="s">
        <v>10</v>
      </c>
      <c r="H600" s="60" t="s">
        <v>10</v>
      </c>
      <c r="I600" s="62" t="s">
        <v>10</v>
      </c>
      <c r="J600" s="61" t="s">
        <v>10</v>
      </c>
      <c r="K600" s="68" t="s">
        <v>10</v>
      </c>
      <c r="L600" s="63" t="s">
        <v>10</v>
      </c>
      <c r="M600" s="61" t="s">
        <v>10</v>
      </c>
      <c r="N600" s="68" t="s">
        <v>10</v>
      </c>
      <c r="O600" s="52" t="s">
        <v>176</v>
      </c>
      <c r="P600" s="61" t="s">
        <v>10</v>
      </c>
      <c r="Q600" s="61" t="s">
        <v>10</v>
      </c>
      <c r="R600" s="61" t="s">
        <v>10</v>
      </c>
      <c r="S600" s="61" t="s">
        <v>10</v>
      </c>
      <c r="T600" s="61" t="s">
        <v>10</v>
      </c>
      <c r="U600" s="61" t="s">
        <v>10</v>
      </c>
      <c r="V600" s="61" t="s">
        <v>10</v>
      </c>
      <c r="W600" s="61" t="s">
        <v>10</v>
      </c>
      <c r="X600" s="69" t="s">
        <v>10</v>
      </c>
      <c r="Y600" s="1" t="s">
        <v>10</v>
      </c>
    </row>
    <row r="601" spans="2:26" x14ac:dyDescent="0.2">
      <c r="B601" s="216" t="s">
        <v>10</v>
      </c>
      <c r="C601" s="217" t="s">
        <v>10</v>
      </c>
      <c r="D601" s="62" t="s">
        <v>10</v>
      </c>
      <c r="E601" s="61" t="s">
        <v>10</v>
      </c>
      <c r="F601" s="61" t="s">
        <v>10</v>
      </c>
      <c r="G601" s="62" t="s">
        <v>10</v>
      </c>
      <c r="H601" s="60" t="s">
        <v>10</v>
      </c>
      <c r="I601" s="62" t="s">
        <v>10</v>
      </c>
      <c r="J601" s="61" t="s">
        <v>10</v>
      </c>
      <c r="K601" s="68" t="s">
        <v>10</v>
      </c>
      <c r="L601" s="63" t="s">
        <v>10</v>
      </c>
      <c r="M601" s="61" t="s">
        <v>10</v>
      </c>
      <c r="N601" s="68" t="s">
        <v>10</v>
      </c>
      <c r="O601" s="52" t="s">
        <v>176</v>
      </c>
      <c r="P601" s="61" t="s">
        <v>10</v>
      </c>
      <c r="Q601" s="61" t="s">
        <v>10</v>
      </c>
      <c r="R601" s="61" t="s">
        <v>10</v>
      </c>
      <c r="S601" s="61" t="s">
        <v>10</v>
      </c>
      <c r="T601" s="61" t="s">
        <v>10</v>
      </c>
      <c r="U601" s="61" t="s">
        <v>10</v>
      </c>
      <c r="V601" s="61" t="s">
        <v>10</v>
      </c>
      <c r="W601" s="61" t="s">
        <v>10</v>
      </c>
      <c r="X601" s="69" t="s">
        <v>10</v>
      </c>
      <c r="Y601" s="1" t="s">
        <v>10</v>
      </c>
    </row>
    <row r="602" spans="2:26" x14ac:dyDescent="0.2">
      <c r="B602" s="216">
        <v>149</v>
      </c>
      <c r="C602" s="217">
        <v>148</v>
      </c>
      <c r="D602" s="58" t="s">
        <v>10</v>
      </c>
      <c r="E602" s="61">
        <f>IF(B602=0,cell_HGL,IF(VLOOKUP(B602,table_HGL_JCTS,17,FALSE)&lt;X602,X602,VLOOKUP(B602,table_HGL_JCTS,17,FALSE)))</f>
        <v>387.47</v>
      </c>
      <c r="F602" s="61">
        <f>IF(B602=0,(E602+K602),IF(VLOOKUP(B602,table_HGL_JCTS,13,FALSE)="T-INTERSECTION",(E602+K602),(IF(VLOOKUP(B602,table_HGL_JCTS,17,FALSE)&lt;X602,(E602+K602),VLOOKUP(B602,table_HGL_JCTS,18,FALSE)))))</f>
        <v>387.47188103106981</v>
      </c>
      <c r="G602" s="62">
        <f>VLOOKUP(C602,table_CIA_JCTS,18)</f>
        <v>15</v>
      </c>
      <c r="H602" s="60">
        <f>VLOOKUP(C602,table_CIA_JCTS,17)</f>
        <v>0.4271219013622744</v>
      </c>
      <c r="I602" s="62">
        <f>VLOOKUP(C602,table_CIA_JCTS,21)</f>
        <v>359</v>
      </c>
      <c r="J602" s="61">
        <f>H602/((G602/12)^2*3.1416/4)</f>
        <v>0.34804942306067693</v>
      </c>
      <c r="K602" s="61">
        <f>(J602^2)/64.4</f>
        <v>1.8810310697650631E-3</v>
      </c>
      <c r="L602" s="63">
        <f>(H602/((1.486/cell_NP)*((3.1416*(G602/12)^2)/4)*(G602/48)^(2/3)))^2</f>
        <v>4.3718396704489595E-5</v>
      </c>
      <c r="M602" s="61">
        <f>L602*I602</f>
        <v>1.5694904416911765E-2</v>
      </c>
      <c r="N602" s="68" t="s">
        <v>10</v>
      </c>
      <c r="O602" s="52" t="s">
        <v>10</v>
      </c>
      <c r="P602" s="257" t="s">
        <v>10</v>
      </c>
      <c r="Q602" s="61">
        <f>SUM(P602)</f>
        <v>0</v>
      </c>
      <c r="R602" s="61">
        <f>Q602+M602</f>
        <v>1.5694904416911765E-2</v>
      </c>
      <c r="S602" s="61">
        <f>IF(O602="T-INTERSECTION",T602,(T602-K602))</f>
        <v>387.48569490441696</v>
      </c>
      <c r="T602" s="61">
        <f>IF(O602="T-INTERSECTION",(R602+F602-K602),(R602+F602))</f>
        <v>387.48757593548675</v>
      </c>
      <c r="U602" s="61">
        <f>VLOOKUP(C602,table_CIA_JCTS,26)</f>
        <v>393.27</v>
      </c>
      <c r="V602" s="61">
        <f>U602-0.5-S602</f>
        <v>5.2843050955830222</v>
      </c>
      <c r="W602" s="61" t="s">
        <v>10</v>
      </c>
      <c r="X602" s="69">
        <f>IF(B602&gt;0,VLOOKUP(B602,table_CIA_JCTS,28)," ")</f>
        <v>387.47</v>
      </c>
      <c r="Y602" s="1">
        <v>5.2843050955830222</v>
      </c>
      <c r="Z602" s="88">
        <f t="shared" si="8"/>
        <v>0</v>
      </c>
    </row>
    <row r="603" spans="2:26" x14ac:dyDescent="0.2">
      <c r="B603" s="216" t="s">
        <v>10</v>
      </c>
      <c r="C603" s="217" t="s">
        <v>10</v>
      </c>
      <c r="D603" s="62" t="s">
        <v>10</v>
      </c>
      <c r="E603" s="61" t="s">
        <v>10</v>
      </c>
      <c r="F603" s="61" t="s">
        <v>10</v>
      </c>
      <c r="G603" s="62" t="s">
        <v>10</v>
      </c>
      <c r="H603" s="60" t="s">
        <v>10</v>
      </c>
      <c r="I603" s="62" t="s">
        <v>10</v>
      </c>
      <c r="J603" s="61" t="s">
        <v>10</v>
      </c>
      <c r="K603" s="68" t="s">
        <v>10</v>
      </c>
      <c r="L603" s="63" t="s">
        <v>10</v>
      </c>
      <c r="M603" s="61" t="s">
        <v>10</v>
      </c>
      <c r="N603" s="68" t="s">
        <v>10</v>
      </c>
      <c r="O603" s="52" t="s">
        <v>176</v>
      </c>
      <c r="P603" s="61" t="s">
        <v>10</v>
      </c>
      <c r="Q603" s="61" t="s">
        <v>10</v>
      </c>
      <c r="R603" s="61" t="s">
        <v>10</v>
      </c>
      <c r="S603" s="61" t="s">
        <v>10</v>
      </c>
      <c r="T603" s="61" t="s">
        <v>10</v>
      </c>
      <c r="U603" s="61" t="s">
        <v>10</v>
      </c>
      <c r="V603" s="61" t="s">
        <v>10</v>
      </c>
      <c r="W603" s="61" t="s">
        <v>10</v>
      </c>
      <c r="X603" s="69" t="s">
        <v>10</v>
      </c>
      <c r="Y603" s="1" t="s">
        <v>10</v>
      </c>
    </row>
    <row r="604" spans="2:26" x14ac:dyDescent="0.2">
      <c r="B604" s="216" t="s">
        <v>10</v>
      </c>
      <c r="C604" s="217" t="s">
        <v>10</v>
      </c>
      <c r="D604" s="62" t="s">
        <v>10</v>
      </c>
      <c r="E604" s="61" t="s">
        <v>10</v>
      </c>
      <c r="F604" s="61" t="s">
        <v>10</v>
      </c>
      <c r="G604" s="62" t="s">
        <v>10</v>
      </c>
      <c r="H604" s="60" t="s">
        <v>10</v>
      </c>
      <c r="I604" s="62" t="s">
        <v>10</v>
      </c>
      <c r="J604" s="61" t="s">
        <v>10</v>
      </c>
      <c r="K604" s="68" t="s">
        <v>10</v>
      </c>
      <c r="L604" s="63" t="s">
        <v>10</v>
      </c>
      <c r="M604" s="61" t="s">
        <v>10</v>
      </c>
      <c r="N604" s="68" t="s">
        <v>10</v>
      </c>
      <c r="O604" s="52" t="s">
        <v>176</v>
      </c>
      <c r="P604" s="61" t="s">
        <v>10</v>
      </c>
      <c r="Q604" s="61" t="s">
        <v>10</v>
      </c>
      <c r="R604" s="61" t="s">
        <v>10</v>
      </c>
      <c r="S604" s="61" t="s">
        <v>10</v>
      </c>
      <c r="T604" s="61" t="s">
        <v>10</v>
      </c>
      <c r="U604" s="61" t="s">
        <v>10</v>
      </c>
      <c r="V604" s="61" t="s">
        <v>10</v>
      </c>
      <c r="W604" s="61" t="s">
        <v>10</v>
      </c>
      <c r="X604" s="69" t="s">
        <v>10</v>
      </c>
      <c r="Y604" s="1" t="s">
        <v>10</v>
      </c>
    </row>
    <row r="605" spans="2:26" hidden="1" x14ac:dyDescent="0.2">
      <c r="B605" s="216">
        <v>0</v>
      </c>
      <c r="C605" s="217">
        <v>184</v>
      </c>
      <c r="D605" s="58" t="s">
        <v>10</v>
      </c>
      <c r="E605" s="61">
        <f>IF(B605=0,cell_HGL,IF(VLOOKUP(B605,table_HGL_JCTS,17,FALSE)&lt;X605,X605,VLOOKUP(B605,table_HGL_JCTS,17,FALSE)))</f>
        <v>382.27</v>
      </c>
      <c r="F605" s="61">
        <f>IF(B605=0,(E605+K605),IF(VLOOKUP(B605,table_HGL_JCTS,13,FALSE)="T-INTERSECTION",(E605+K605),(IF(VLOOKUP(B605,table_HGL_JCTS,17,FALSE)&lt;X605,(E605+K605),VLOOKUP(B605,table_HGL_JCTS,18,FALSE)))))</f>
        <v>382.4512722793171</v>
      </c>
      <c r="G605" s="62">
        <f>VLOOKUP(C605,table_CIA_JCTS,18)</f>
        <v>48</v>
      </c>
      <c r="H605" s="60">
        <f>VLOOKUP(C605,table_CIA_JCTS,17)</f>
        <v>42.935795232979906</v>
      </c>
      <c r="I605" s="62">
        <f>VLOOKUP(C605,table_CIA_JCTS,21)</f>
        <v>572</v>
      </c>
      <c r="J605" s="61">
        <f>H605/((G605/12)^2*3.1416/4)</f>
        <v>3.4167140336914237</v>
      </c>
      <c r="K605" s="61">
        <f>(J605^2)/64.4</f>
        <v>0.18127227931714157</v>
      </c>
      <c r="L605" s="63">
        <f>(H605/((1.486/cell_NP)*((3.1416*(G605/12)^2)/4)*(G605/48)^(2/3)))^2</f>
        <v>8.9344196764057295E-4</v>
      </c>
      <c r="M605" s="61">
        <f>L605*I605</f>
        <v>0.51104880549040776</v>
      </c>
      <c r="N605" s="68" t="s">
        <v>10</v>
      </c>
      <c r="O605" s="72" t="s">
        <v>128</v>
      </c>
      <c r="P605" s="61">
        <f>IF(ISBLANK(O605)=FALSE,(VLOOKUP(O605,table_MINOR,2,FALSE))*(K605)," ")</f>
        <v>0.18127227931714157</v>
      </c>
      <c r="Q605" s="61">
        <f>SUM(P605:P608)</f>
        <v>0.36254455863428314</v>
      </c>
      <c r="R605" s="61">
        <f>Q605+M605</f>
        <v>0.87359336412469091</v>
      </c>
      <c r="S605" s="61">
        <f>IF(O605="T-INTERSECTION",T605,(T605-K605))</f>
        <v>383.14359336412468</v>
      </c>
      <c r="T605" s="61">
        <f>IF(O605="T-INTERSECTION",(R605+F605-K605),(R605+F605))</f>
        <v>383.3248656434418</v>
      </c>
      <c r="U605" s="61">
        <f>VLOOKUP(C605,table_CIA_JCTS,26)</f>
        <v>392.98</v>
      </c>
      <c r="V605" s="61">
        <f>U605-0.5-S605</f>
        <v>9.3364066358753348</v>
      </c>
      <c r="W605" s="61" t="s">
        <v>10</v>
      </c>
      <c r="X605" s="69" t="str">
        <f>IF(B605&gt;0,VLOOKUP(B605,table_CIA_JCTS,28)," ")</f>
        <v xml:space="preserve"> </v>
      </c>
      <c r="Y605" s="1">
        <v>9.3364066358753348</v>
      </c>
    </row>
    <row r="606" spans="2:26" hidden="1" x14ac:dyDescent="0.2">
      <c r="B606" s="216" t="s">
        <v>10</v>
      </c>
      <c r="C606" s="217" t="s">
        <v>10</v>
      </c>
      <c r="D606" s="62" t="s">
        <v>10</v>
      </c>
      <c r="E606" s="61" t="s">
        <v>10</v>
      </c>
      <c r="F606" s="61" t="s">
        <v>10</v>
      </c>
      <c r="G606" s="62" t="s">
        <v>10</v>
      </c>
      <c r="H606" s="60" t="s">
        <v>10</v>
      </c>
      <c r="I606" s="62" t="s">
        <v>10</v>
      </c>
      <c r="J606" s="61" t="s">
        <v>10</v>
      </c>
      <c r="K606" s="68">
        <f>K605</f>
        <v>0.18127227931714157</v>
      </c>
      <c r="L606" s="63" t="s">
        <v>10</v>
      </c>
      <c r="M606" s="61" t="s">
        <v>10</v>
      </c>
      <c r="N606" s="68" t="s">
        <v>10</v>
      </c>
      <c r="O606" s="52" t="s">
        <v>156</v>
      </c>
      <c r="P606" s="61">
        <f>IF(ISBLANK(O606)=FALSE,(VLOOKUP(O606,table_MINOR,2,FALSE))*(K606)," ")</f>
        <v>0.13595420948785619</v>
      </c>
      <c r="Q606" s="61" t="s">
        <v>10</v>
      </c>
      <c r="R606" s="61" t="s">
        <v>10</v>
      </c>
      <c r="S606" s="61" t="s">
        <v>10</v>
      </c>
      <c r="T606" s="61" t="s">
        <v>10</v>
      </c>
      <c r="U606" s="61" t="s">
        <v>10</v>
      </c>
      <c r="V606" s="61" t="s">
        <v>10</v>
      </c>
      <c r="W606" s="61" t="s">
        <v>10</v>
      </c>
      <c r="X606" s="69" t="s">
        <v>10</v>
      </c>
      <c r="Y606" s="1" t="s">
        <v>10</v>
      </c>
    </row>
    <row r="607" spans="2:26" hidden="1" x14ac:dyDescent="0.2">
      <c r="B607" s="216" t="s">
        <v>10</v>
      </c>
      <c r="C607" s="217" t="s">
        <v>10</v>
      </c>
      <c r="D607" s="62" t="s">
        <v>10</v>
      </c>
      <c r="E607" s="61" t="s">
        <v>10</v>
      </c>
      <c r="F607" s="61" t="s">
        <v>10</v>
      </c>
      <c r="G607" s="62" t="s">
        <v>10</v>
      </c>
      <c r="H607" s="60" t="s">
        <v>10</v>
      </c>
      <c r="I607" s="62" t="s">
        <v>10</v>
      </c>
      <c r="J607" s="61" t="s">
        <v>10</v>
      </c>
      <c r="K607" s="68">
        <f>K606</f>
        <v>0.18127227931714157</v>
      </c>
      <c r="L607" s="63" t="s">
        <v>10</v>
      </c>
      <c r="M607" s="61" t="s">
        <v>10</v>
      </c>
      <c r="N607" s="68" t="s">
        <v>10</v>
      </c>
      <c r="O607" s="52" t="s">
        <v>131</v>
      </c>
      <c r="P607" s="61">
        <f>IF(ISBLANK(O607)=FALSE,(VLOOKUP(O607,table_MINOR,2,FALSE))*(K607)," ")</f>
        <v>4.5318069829285393E-2</v>
      </c>
      <c r="Q607" s="61" t="s">
        <v>10</v>
      </c>
      <c r="R607" s="61" t="s">
        <v>10</v>
      </c>
      <c r="S607" s="61" t="s">
        <v>10</v>
      </c>
      <c r="T607" s="61" t="s">
        <v>10</v>
      </c>
      <c r="U607" s="61" t="s">
        <v>10</v>
      </c>
      <c r="V607" s="61" t="s">
        <v>10</v>
      </c>
      <c r="W607" s="61" t="s">
        <v>10</v>
      </c>
      <c r="X607" s="69" t="s">
        <v>10</v>
      </c>
      <c r="Y607" s="1" t="s">
        <v>10</v>
      </c>
    </row>
    <row r="608" spans="2:26" hidden="1" x14ac:dyDescent="0.2">
      <c r="B608" s="216" t="s">
        <v>10</v>
      </c>
      <c r="C608" s="217" t="s">
        <v>10</v>
      </c>
      <c r="D608" s="62" t="s">
        <v>10</v>
      </c>
      <c r="E608" s="61" t="s">
        <v>10</v>
      </c>
      <c r="F608" s="61" t="s">
        <v>10</v>
      </c>
      <c r="G608" s="62" t="s">
        <v>10</v>
      </c>
      <c r="H608" s="60" t="s">
        <v>10</v>
      </c>
      <c r="I608" s="62" t="s">
        <v>10</v>
      </c>
      <c r="J608" s="61" t="s">
        <v>10</v>
      </c>
      <c r="K608" s="68">
        <f>K607</f>
        <v>0.18127227931714157</v>
      </c>
      <c r="L608" s="63" t="s">
        <v>10</v>
      </c>
      <c r="M608" s="61" t="s">
        <v>10</v>
      </c>
      <c r="N608" s="68" t="s">
        <v>10</v>
      </c>
      <c r="O608" s="52" t="s">
        <v>10</v>
      </c>
      <c r="P608" s="257" t="s">
        <v>10</v>
      </c>
      <c r="Q608" s="61" t="s">
        <v>10</v>
      </c>
      <c r="R608" s="61" t="s">
        <v>10</v>
      </c>
      <c r="S608" s="61" t="s">
        <v>10</v>
      </c>
      <c r="T608" s="61" t="s">
        <v>10</v>
      </c>
      <c r="U608" s="61" t="s">
        <v>10</v>
      </c>
      <c r="V608" s="61" t="s">
        <v>10</v>
      </c>
      <c r="W608" s="61" t="s">
        <v>10</v>
      </c>
      <c r="X608" s="69" t="s">
        <v>10</v>
      </c>
      <c r="Y608" s="1" t="s">
        <v>10</v>
      </c>
    </row>
    <row r="609" spans="2:25" hidden="1" x14ac:dyDescent="0.2">
      <c r="B609" s="216">
        <v>184</v>
      </c>
      <c r="C609" s="217">
        <v>182.1</v>
      </c>
      <c r="D609" s="58" t="s">
        <v>10</v>
      </c>
      <c r="E609" s="61" t="e" vm="1">
        <f>IF(B609=0,cell_HGL,IF(VLOOKUP(B609,table_HGL_JCTS,17,FALSE)&lt;X609,X609,VLOOKUP(B609,table_HGL_JCTS,17,FALSE)))</f>
        <v>#VALUE!</v>
      </c>
      <c r="F609" s="61" t="e" vm="1">
        <f>IF(B609=0,(E609+K609),IF(VLOOKUP(B609,table_HGL_JCTS,13,FALSE)="T-INTERSECTION",(E609+K609),(IF(VLOOKUP(B609,table_HGL_JCTS,17,FALSE)&lt;X609,(E609+K609),VLOOKUP(B609,table_HGL_JCTS,18,FALSE)))))</f>
        <v>#VALUE!</v>
      </c>
      <c r="G609" s="62">
        <f>VLOOKUP(C609,table_CIA_JCTS,18)</f>
        <v>48</v>
      </c>
      <c r="H609" s="60">
        <f>VLOOKUP(C609,table_CIA_JCTS,17)</f>
        <v>41.165540392702312</v>
      </c>
      <c r="I609" s="62">
        <f>VLOOKUP(C609,table_CIA_JCTS,21)</f>
        <v>344</v>
      </c>
      <c r="J609" s="61">
        <f>H609/((G609/12)^2*3.1416/4)</f>
        <v>3.2758419589303469</v>
      </c>
      <c r="K609" s="61">
        <f>(J609^2)/64.4</f>
        <v>0.16663261707901569</v>
      </c>
      <c r="L609" s="63">
        <f>(H609/((1.486/cell_NP)*((3.1416*(G609/12)^2)/4)*(G609/48)^(2/3)))^2</f>
        <v>8.212870375823414E-4</v>
      </c>
      <c r="M609" s="61">
        <f>L609*I609</f>
        <v>0.28252274092832547</v>
      </c>
      <c r="N609" s="68" t="s">
        <v>10</v>
      </c>
      <c r="O609" s="72" t="s">
        <v>156</v>
      </c>
      <c r="P609" s="61">
        <f>IF(ISBLANK(O609)=FALSE,(VLOOKUP(O609,table_MINOR,2,FALSE))*(K609)," ")</f>
        <v>0.12497446280926178</v>
      </c>
      <c r="Q609" s="61">
        <f>SUM(P609:P610)</f>
        <v>0.12497446280926178</v>
      </c>
      <c r="R609" s="61">
        <f>Q609+M609</f>
        <v>0.40749720373758724</v>
      </c>
      <c r="S609" s="261" t="e" vm="2">
        <f>IF(O609="T-INTERSECTION",T609,(T609-K609))</f>
        <v>#VALUE!</v>
      </c>
      <c r="T609" s="61" t="e" vm="2">
        <f>IF(O609="T-INTERSECTION",(R609+F609-K609),(R609+F609))</f>
        <v>#VALUE!</v>
      </c>
      <c r="U609" s="61">
        <f>VLOOKUP(C609,table_CIA_JCTS,26)</f>
        <v>392.72</v>
      </c>
      <c r="V609" s="61" t="e" vm="2">
        <f>U609-0.5-S609</f>
        <v>#VALUE!</v>
      </c>
      <c r="W609" s="61" t="s">
        <v>10</v>
      </c>
      <c r="X609" s="69" t="str">
        <f>IF(B609&gt;0,VLOOKUP(B609,table_CIA_JCTS,28)," ")</f>
        <v xml:space="preserve"> </v>
      </c>
      <c r="Y609" s="1">
        <v>8.6542697698996562</v>
      </c>
    </row>
    <row r="610" spans="2:25" hidden="1" x14ac:dyDescent="0.2">
      <c r="B610" s="216" t="s">
        <v>10</v>
      </c>
      <c r="C610" s="217" t="s">
        <v>10</v>
      </c>
      <c r="D610" s="62" t="s">
        <v>10</v>
      </c>
      <c r="E610" s="61" t="s">
        <v>10</v>
      </c>
      <c r="F610" s="61" t="s">
        <v>10</v>
      </c>
      <c r="G610" s="62" t="s">
        <v>10</v>
      </c>
      <c r="H610" s="60" t="s">
        <v>10</v>
      </c>
      <c r="I610" s="62" t="s">
        <v>10</v>
      </c>
      <c r="J610" s="61" t="s">
        <v>10</v>
      </c>
      <c r="K610" s="68">
        <f>K609</f>
        <v>0.16663261707901569</v>
      </c>
      <c r="L610" s="63" t="s">
        <v>10</v>
      </c>
      <c r="M610" s="61" t="s">
        <v>10</v>
      </c>
      <c r="N610" s="68" t="s">
        <v>10</v>
      </c>
      <c r="O610" s="52" t="s">
        <v>10</v>
      </c>
      <c r="P610" s="257" t="s">
        <v>10</v>
      </c>
      <c r="Q610" s="61" t="s">
        <v>10</v>
      </c>
      <c r="R610" s="61" t="s">
        <v>10</v>
      </c>
      <c r="S610" s="61" t="s">
        <v>10</v>
      </c>
      <c r="T610" s="61" t="s">
        <v>10</v>
      </c>
      <c r="U610" s="61" t="s">
        <v>10</v>
      </c>
      <c r="V610" s="61" t="s">
        <v>10</v>
      </c>
      <c r="W610" s="61" t="s">
        <v>10</v>
      </c>
      <c r="X610" s="69" t="s">
        <v>10</v>
      </c>
      <c r="Y610" s="1" t="s">
        <v>10</v>
      </c>
    </row>
    <row r="611" spans="2:25" hidden="1" x14ac:dyDescent="0.2">
      <c r="B611" s="216">
        <v>182.1</v>
      </c>
      <c r="C611" s="217">
        <v>180.1</v>
      </c>
      <c r="D611" s="58" t="s">
        <v>10</v>
      </c>
      <c r="E611" s="61" t="e" vm="1">
        <f>IF(B611=0,cell_HGL,IF(VLOOKUP(B611,table_HGL_JCTS,17,FALSE)&lt;X611,X611,VLOOKUP(B611,table_HGL_JCTS,17,FALSE)))</f>
        <v>#VALUE!</v>
      </c>
      <c r="F611" s="61" t="e" vm="1">
        <f>IF(B611=0,(E611+K611),IF(VLOOKUP(B611,table_HGL_JCTS,13,FALSE)="T-INTERSECTION",(E611+K611),(IF(VLOOKUP(B611,table_HGL_JCTS,17,FALSE)&lt;X611,(E611+K611),VLOOKUP(B611,table_HGL_JCTS,18,FALSE)))))</f>
        <v>#VALUE!</v>
      </c>
      <c r="G611" s="62">
        <f>VLOOKUP(C611,table_CIA_JCTS,18)</f>
        <v>48</v>
      </c>
      <c r="H611" s="60">
        <f>VLOOKUP(C611,table_CIA_JCTS,17)</f>
        <v>57.911625398202119</v>
      </c>
      <c r="I611" s="62">
        <f>VLOOKUP(C611,table_CIA_JCTS,21)</f>
        <v>575</v>
      </c>
      <c r="J611" s="61">
        <f>H611/((G611/12)^2*3.1416/4)</f>
        <v>4.6084499457443755</v>
      </c>
      <c r="K611" s="61">
        <f>(J611^2)/64.4</f>
        <v>0.3297796723980021</v>
      </c>
      <c r="L611" s="63">
        <f>(H611/((1.486/cell_NP)*((3.1416*(G611/12)^2)/4)*(G611/48)^(2/3)))^2</f>
        <v>1.6253946853046093E-3</v>
      </c>
      <c r="M611" s="61">
        <f>L611*I611</f>
        <v>0.9346019440501504</v>
      </c>
      <c r="N611" s="68" t="s">
        <v>10</v>
      </c>
      <c r="O611" s="72" t="s">
        <v>156</v>
      </c>
      <c r="P611" s="61">
        <f>IF(ISBLANK(O611)=FALSE,(VLOOKUP(O611,table_MINOR,2,FALSE))*(K611)," ")</f>
        <v>0.24733475429850157</v>
      </c>
      <c r="Q611" s="61">
        <f>SUM(P611:P612)</f>
        <v>0.24733475429850157</v>
      </c>
      <c r="R611" s="61">
        <f>Q611+M611</f>
        <v>1.1819366983486519</v>
      </c>
      <c r="S611" s="468" t="e" vm="2">
        <f>IF(O611="T-INTERSECTION",T611,(T611-K611))</f>
        <v>#VALUE!</v>
      </c>
      <c r="T611" s="61" t="e" vm="2">
        <f>IF(O611="T-INTERSECTION",(R611+F611-K611),(R611+F611))</f>
        <v>#VALUE!</v>
      </c>
      <c r="U611" s="61">
        <f>VLOOKUP(C611,table_CIA_JCTS,26)</f>
        <v>392.1</v>
      </c>
      <c r="V611" s="61" t="e" vm="2">
        <f>U611-0.5-S611</f>
        <v>#VALUE!</v>
      </c>
      <c r="W611" s="61" t="s">
        <v>10</v>
      </c>
      <c r="X611" s="69" t="str">
        <f>IF(B611&gt;0,VLOOKUP(B611,table_CIA_JCTS,28)," ")</f>
        <v xml:space="preserve"> </v>
      </c>
      <c r="Y611" s="1">
        <v>7.0154801268699885</v>
      </c>
    </row>
    <row r="612" spans="2:25" hidden="1" x14ac:dyDescent="0.2">
      <c r="B612" s="216" t="s">
        <v>10</v>
      </c>
      <c r="C612" s="217" t="s">
        <v>10</v>
      </c>
      <c r="D612" s="62" t="s">
        <v>10</v>
      </c>
      <c r="E612" s="61" t="s">
        <v>10</v>
      </c>
      <c r="F612" s="61" t="s">
        <v>10</v>
      </c>
      <c r="G612" s="62" t="s">
        <v>10</v>
      </c>
      <c r="H612" s="60" t="s">
        <v>10</v>
      </c>
      <c r="I612" s="62" t="s">
        <v>10</v>
      </c>
      <c r="J612" s="61" t="s">
        <v>10</v>
      </c>
      <c r="K612" s="68">
        <f>K611</f>
        <v>0.3297796723980021</v>
      </c>
      <c r="L612" s="63" t="s">
        <v>10</v>
      </c>
      <c r="M612" s="61" t="s">
        <v>10</v>
      </c>
      <c r="N612" s="68" t="s">
        <v>10</v>
      </c>
      <c r="O612" s="52" t="s">
        <v>10</v>
      </c>
      <c r="P612" s="257" t="s">
        <v>10</v>
      </c>
      <c r="Q612" s="61" t="s">
        <v>10</v>
      </c>
      <c r="R612" s="61" t="s">
        <v>10</v>
      </c>
      <c r="S612" s="61" t="s">
        <v>10</v>
      </c>
      <c r="T612" s="61" t="s">
        <v>10</v>
      </c>
      <c r="U612" s="61" t="s">
        <v>10</v>
      </c>
      <c r="V612" s="61" t="s">
        <v>10</v>
      </c>
      <c r="W612" s="61" t="s">
        <v>10</v>
      </c>
      <c r="X612" s="69" t="s">
        <v>10</v>
      </c>
      <c r="Y612" s="1" t="s">
        <v>10</v>
      </c>
    </row>
    <row r="613" spans="2:25" hidden="1" x14ac:dyDescent="0.2">
      <c r="B613" s="216">
        <v>180.1</v>
      </c>
      <c r="C613" s="217">
        <v>178</v>
      </c>
      <c r="D613" s="58" t="s">
        <v>10</v>
      </c>
      <c r="E613" s="61" t="e" vm="1">
        <f>IF(B613=0,cell_HGL,IF(VLOOKUP(B613,table_HGL_JCTS,17,FALSE)&lt;X613,X613,VLOOKUP(B613,table_HGL_JCTS,17,FALSE)))</f>
        <v>#VALUE!</v>
      </c>
      <c r="F613" s="61" t="e" vm="1">
        <f>IF(B613=0,(E613+K613),IF(VLOOKUP(B613,table_HGL_JCTS,13,FALSE)="T-INTERSECTION",(E613+K613),(IF(VLOOKUP(B613,table_HGL_JCTS,17,FALSE)&lt;X613,(E613+K613),VLOOKUP(B613,table_HGL_JCTS,18,FALSE)))))</f>
        <v>#VALUE!</v>
      </c>
      <c r="G613" s="62">
        <f>VLOOKUP(C613,table_CIA_JCTS,18)</f>
        <v>48</v>
      </c>
      <c r="H613" s="60">
        <f>VLOOKUP(C613,table_CIA_JCTS,17)</f>
        <v>44.234753535321161</v>
      </c>
      <c r="I613" s="62">
        <f>VLOOKUP(C613,table_CIA_JCTS,21)</f>
        <v>93</v>
      </c>
      <c r="J613" s="61">
        <f>H613/((G613/12)^2*3.1416/4)</f>
        <v>3.5200816093170011</v>
      </c>
      <c r="K613" s="61">
        <f>(J613^2)/64.4</f>
        <v>0.19240643689831938</v>
      </c>
      <c r="L613" s="63">
        <f>(H613/((1.486/cell_NP)*((3.1416*(G613/12)^2)/4)*(G613/48)^(2/3)))^2</f>
        <v>9.4831921470129883E-4</v>
      </c>
      <c r="M613" s="61">
        <f>L613*I613</f>
        <v>8.8193686967220797E-2</v>
      </c>
      <c r="N613" s="68" t="s">
        <v>10</v>
      </c>
      <c r="O613" s="72" t="s">
        <v>156</v>
      </c>
      <c r="P613" s="61">
        <f>IF(ISBLANK(O613)=FALSE,(VLOOKUP(O613,table_MINOR,2,FALSE))*(K613)," ")</f>
        <v>0.14430482767373953</v>
      </c>
      <c r="Q613" s="61">
        <f>SUM(P613:P614)</f>
        <v>0.14430482767373953</v>
      </c>
      <c r="R613" s="61">
        <f>Q613+M613</f>
        <v>0.23249851464096033</v>
      </c>
      <c r="S613" s="61" t="e" vm="2">
        <f>IF(O613="T-INTERSECTION",T613,(T613-K613))</f>
        <v>#VALUE!</v>
      </c>
      <c r="T613" s="61" t="e" vm="2">
        <f>IF(O613="T-INTERSECTION",(R613+F613-K613),(R613+F613))</f>
        <v>#VALUE!</v>
      </c>
      <c r="U613" s="61">
        <f>VLOOKUP(C613,table_CIA_JCTS,26)</f>
        <v>391.92</v>
      </c>
      <c r="V613" s="61" t="e" vm="2">
        <f>U613-0.5-S613</f>
        <v>#VALUE!</v>
      </c>
      <c r="W613" s="61" t="s">
        <v>10</v>
      </c>
      <c r="X613" s="69">
        <f>IF(B613&gt;0,VLOOKUP(B613,table_CIA_JCTS,28)," ")</f>
        <v>383.18</v>
      </c>
      <c r="Y613" s="1">
        <v>6.4656083767293353</v>
      </c>
    </row>
    <row r="614" spans="2:25" hidden="1" x14ac:dyDescent="0.2">
      <c r="B614" s="216" t="s">
        <v>10</v>
      </c>
      <c r="C614" s="217" t="s">
        <v>10</v>
      </c>
      <c r="D614" s="62" t="s">
        <v>10</v>
      </c>
      <c r="E614" s="61" t="s">
        <v>10</v>
      </c>
      <c r="F614" s="61" t="s">
        <v>10</v>
      </c>
      <c r="G614" s="62" t="s">
        <v>10</v>
      </c>
      <c r="H614" s="60" t="s">
        <v>10</v>
      </c>
      <c r="I614" s="62" t="s">
        <v>10</v>
      </c>
      <c r="J614" s="61" t="s">
        <v>10</v>
      </c>
      <c r="K614" s="68">
        <f>K613</f>
        <v>0.19240643689831938</v>
      </c>
      <c r="L614" s="63" t="s">
        <v>10</v>
      </c>
      <c r="M614" s="61" t="s">
        <v>10</v>
      </c>
      <c r="N614" s="68" t="s">
        <v>10</v>
      </c>
      <c r="O614" s="52" t="s">
        <v>10</v>
      </c>
      <c r="P614" s="257" t="s">
        <v>10</v>
      </c>
      <c r="Q614" s="61" t="s">
        <v>10</v>
      </c>
      <c r="R614" s="61" t="s">
        <v>10</v>
      </c>
      <c r="S614" s="61" t="s">
        <v>10</v>
      </c>
      <c r="T614" s="61" t="s">
        <v>10</v>
      </c>
      <c r="U614" s="61" t="s">
        <v>10</v>
      </c>
      <c r="V614" s="61" t="s">
        <v>10</v>
      </c>
      <c r="W614" s="61" t="s">
        <v>10</v>
      </c>
      <c r="X614" s="69" t="s">
        <v>10</v>
      </c>
      <c r="Y614" s="1" t="s">
        <v>10</v>
      </c>
    </row>
    <row r="615" spans="2:25" hidden="1" x14ac:dyDescent="0.2">
      <c r="B615" s="216">
        <v>178</v>
      </c>
      <c r="C615" s="217">
        <v>176</v>
      </c>
      <c r="D615" s="58" t="s">
        <v>10</v>
      </c>
      <c r="E615" s="61" t="e" vm="1">
        <f>IF(B615=0,cell_HGL,IF(VLOOKUP(B615,table_HGL_JCTS,17,FALSE)&lt;X615,X615,VLOOKUP(B615,table_HGL_JCTS,17,FALSE)))</f>
        <v>#VALUE!</v>
      </c>
      <c r="F615" s="61" t="e" vm="1">
        <f>IF(B615=0,(E615+K615),IF(VLOOKUP(B615,table_HGL_JCTS,13,FALSE)="T-INTERSECTION",(E615+K615),(IF(VLOOKUP(B615,table_HGL_JCTS,17,FALSE)&lt;X615,(E615+K615),VLOOKUP(B615,table_HGL_JCTS,18,FALSE)))))</f>
        <v>#VALUE!</v>
      </c>
      <c r="G615" s="62">
        <f>VLOOKUP(C615,table_CIA_JCTS,18)</f>
        <v>42</v>
      </c>
      <c r="H615" s="60">
        <f>VLOOKUP(C615,table_CIA_JCTS,17)</f>
        <v>42.651448099434603</v>
      </c>
      <c r="I615" s="62">
        <f>VLOOKUP(C615,table_CIA_JCTS,21)</f>
        <v>1260</v>
      </c>
      <c r="J615" s="61">
        <f>H615/((G615/12)^2*3.1416/4)</f>
        <v>4.4330925200661673</v>
      </c>
      <c r="K615" s="61">
        <f>(J615^2)/64.4</f>
        <v>0.3051600821656304</v>
      </c>
      <c r="L615" s="63">
        <f>(H615/((1.486/cell_NP)*((3.1416*(G615/12)^2)/4)*(G615/48)^(2/3)))^2</f>
        <v>1.7971539106296879E-3</v>
      </c>
      <c r="M615" s="61">
        <f>L615*I615</f>
        <v>2.2644139273934067</v>
      </c>
      <c r="N615" s="68" t="s">
        <v>10</v>
      </c>
      <c r="O615" s="72" t="s">
        <v>156</v>
      </c>
      <c r="P615" s="61">
        <f>IF(ISBLANK(O615)=FALSE,(VLOOKUP(O615,table_MINOR,2,FALSE))*(K615)," ")</f>
        <v>0.2288700616242228</v>
      </c>
      <c r="Q615" s="61">
        <f>SUM(P615:P616)</f>
        <v>0.2288700616242228</v>
      </c>
      <c r="R615" s="61">
        <f>Q615+M615</f>
        <v>2.4932839890176295</v>
      </c>
      <c r="S615" s="61" t="e" vm="2">
        <f>IF(O615="T-INTERSECTION",T615,(T615-K615))</f>
        <v>#VALUE!</v>
      </c>
      <c r="T615" s="61" t="e" vm="2">
        <f>IF(O615="T-INTERSECTION",(R615+F615-K615),(R615+F615))</f>
        <v>#VALUE!</v>
      </c>
      <c r="U615" s="61">
        <f>VLOOKUP(C615,table_CIA_JCTS,26)</f>
        <v>394.7</v>
      </c>
      <c r="V615" s="61" t="e" vm="2">
        <f>U615-0.5-S615</f>
        <v>#VALUE!</v>
      </c>
      <c r="W615" s="61" t="s">
        <v>10</v>
      </c>
      <c r="X615" s="69">
        <f>IF(B615&gt;0,VLOOKUP(B615,table_CIA_JCTS,28)," ")</f>
        <v>383.28</v>
      </c>
      <c r="Y615" s="1">
        <v>6.8650780329789995</v>
      </c>
    </row>
    <row r="616" spans="2:25" hidden="1" x14ac:dyDescent="0.2">
      <c r="B616" s="216" t="s">
        <v>10</v>
      </c>
      <c r="C616" s="217" t="s">
        <v>10</v>
      </c>
      <c r="D616" s="62" t="s">
        <v>10</v>
      </c>
      <c r="E616" s="61" t="s">
        <v>10</v>
      </c>
      <c r="F616" s="61" t="s">
        <v>10</v>
      </c>
      <c r="G616" s="62" t="s">
        <v>10</v>
      </c>
      <c r="H616" s="60" t="s">
        <v>10</v>
      </c>
      <c r="I616" s="62" t="s">
        <v>10</v>
      </c>
      <c r="J616" s="61" t="s">
        <v>10</v>
      </c>
      <c r="K616" s="68">
        <f>K615</f>
        <v>0.3051600821656304</v>
      </c>
      <c r="L616" s="63" t="s">
        <v>10</v>
      </c>
      <c r="M616" s="61" t="s">
        <v>10</v>
      </c>
      <c r="N616" s="68" t="s">
        <v>10</v>
      </c>
      <c r="O616" s="52" t="s">
        <v>10</v>
      </c>
      <c r="P616" s="257" t="s">
        <v>10</v>
      </c>
      <c r="Q616" s="61" t="s">
        <v>10</v>
      </c>
      <c r="R616" s="61" t="s">
        <v>10</v>
      </c>
      <c r="S616" s="61" t="s">
        <v>10</v>
      </c>
      <c r="T616" s="61" t="s">
        <v>10</v>
      </c>
      <c r="U616" s="61" t="s">
        <v>10</v>
      </c>
      <c r="V616" s="61" t="s">
        <v>10</v>
      </c>
      <c r="W616" s="61" t="s">
        <v>10</v>
      </c>
      <c r="X616" s="69" t="s">
        <v>10</v>
      </c>
      <c r="Y616" s="1" t="s">
        <v>10</v>
      </c>
    </row>
    <row r="617" spans="2:25" hidden="1" x14ac:dyDescent="0.2">
      <c r="B617" s="216">
        <v>176</v>
      </c>
      <c r="C617" s="217">
        <v>173</v>
      </c>
      <c r="D617" s="58" t="s">
        <v>10</v>
      </c>
      <c r="E617" s="61" t="e" vm="1">
        <f>IF(B617=0,cell_HGL,IF(VLOOKUP(B617,table_HGL_JCTS,17,FALSE)&lt;X617,X617,VLOOKUP(B617,table_HGL_JCTS,17,FALSE)))</f>
        <v>#VALUE!</v>
      </c>
      <c r="F617" s="61" t="e" vm="1">
        <f>IF(B617=0,(E617+K617),IF(VLOOKUP(B617,table_HGL_JCTS,13,FALSE)="T-INTERSECTION",(E617+K617),(IF(VLOOKUP(B617,table_HGL_JCTS,17,FALSE)&lt;X617,(E617+K617),VLOOKUP(B617,table_HGL_JCTS,18,FALSE)))))</f>
        <v>#VALUE!</v>
      </c>
      <c r="G617" s="62">
        <f>VLOOKUP(C617,table_CIA_JCTS,18)</f>
        <v>42</v>
      </c>
      <c r="H617" s="60">
        <f>VLOOKUP(C617,table_CIA_JCTS,17)</f>
        <v>33.126882844054784</v>
      </c>
      <c r="I617" s="62">
        <f>VLOOKUP(C617,table_CIA_JCTS,21)</f>
        <v>1310</v>
      </c>
      <c r="J617" s="61">
        <f>H617/((G617/12)^2*3.1416/4)</f>
        <v>3.4431313142456759</v>
      </c>
      <c r="K617" s="61">
        <f>(J617^2)/64.4</f>
        <v>0.18408623054563902</v>
      </c>
      <c r="L617" s="63">
        <f>(H617/((1.486/cell_NP)*((3.1416*(G617/12)^2)/4)*(G617/48)^(2/3)))^2</f>
        <v>1.084123738499355E-3</v>
      </c>
      <c r="M617" s="61">
        <f>L617*I617</f>
        <v>1.4202020974341549</v>
      </c>
      <c r="N617" s="68" t="s">
        <v>10</v>
      </c>
      <c r="O617" s="72" t="s">
        <v>156</v>
      </c>
      <c r="P617" s="61">
        <f>IF(ISBLANK(O617)=FALSE,(VLOOKUP(O617,table_MINOR,2,FALSE))*(K617)," ")</f>
        <v>0.13806467290922927</v>
      </c>
      <c r="Q617" s="61">
        <f>SUM(P617:P618)</f>
        <v>0.13806467290922927</v>
      </c>
      <c r="R617" s="61">
        <f>Q617+M617</f>
        <v>1.5582667703433841</v>
      </c>
      <c r="S617" s="61" t="e" vm="2">
        <f>IF(O617="T-INTERSECTION",T617,(T617-K617))</f>
        <v>#VALUE!</v>
      </c>
      <c r="T617" s="61" t="e" vm="2">
        <f>IF(O617="T-INTERSECTION",(R617+F617-K617),(R617+F617))</f>
        <v>#VALUE!</v>
      </c>
      <c r="U617" s="61">
        <f>VLOOKUP(C617,table_CIA_JCTS,26)</f>
        <v>397.2</v>
      </c>
      <c r="V617" s="61" t="e" vm="2">
        <f>U617-0.5-S617</f>
        <v>#VALUE!</v>
      </c>
      <c r="W617" s="61" t="s">
        <v>10</v>
      </c>
      <c r="X617" s="69" t="str">
        <f>IF(B617&gt;0,VLOOKUP(B617,table_CIA_JCTS,28)," ")</f>
        <v xml:space="preserve"> </v>
      </c>
      <c r="Y617" s="1">
        <v>7.6857374110156229</v>
      </c>
    </row>
    <row r="618" spans="2:25" hidden="1" x14ac:dyDescent="0.2">
      <c r="B618" s="216" t="s">
        <v>10</v>
      </c>
      <c r="C618" s="217" t="s">
        <v>10</v>
      </c>
      <c r="D618" s="62" t="s">
        <v>10</v>
      </c>
      <c r="E618" s="61" t="s">
        <v>10</v>
      </c>
      <c r="F618" s="61" t="s">
        <v>10</v>
      </c>
      <c r="G618" s="62" t="s">
        <v>10</v>
      </c>
      <c r="H618" s="60" t="s">
        <v>10</v>
      </c>
      <c r="I618" s="62" t="s">
        <v>10</v>
      </c>
      <c r="J618" s="61" t="s">
        <v>10</v>
      </c>
      <c r="K618" s="68">
        <f>K617</f>
        <v>0.18408623054563902</v>
      </c>
      <c r="L618" s="63" t="s">
        <v>10</v>
      </c>
      <c r="M618" s="61" t="s">
        <v>10</v>
      </c>
      <c r="N618" s="68" t="s">
        <v>10</v>
      </c>
      <c r="O618" s="52" t="s">
        <v>10</v>
      </c>
      <c r="P618" s="257" t="s">
        <v>10</v>
      </c>
      <c r="Q618" s="61" t="s">
        <v>10</v>
      </c>
      <c r="R618" s="61" t="s">
        <v>10</v>
      </c>
      <c r="S618" s="61" t="s">
        <v>10</v>
      </c>
      <c r="T618" s="61" t="s">
        <v>10</v>
      </c>
      <c r="U618" s="61" t="s">
        <v>10</v>
      </c>
      <c r="V618" s="61" t="s">
        <v>10</v>
      </c>
      <c r="W618" s="61" t="s">
        <v>10</v>
      </c>
      <c r="X618" s="69" t="s">
        <v>10</v>
      </c>
      <c r="Y618" s="1" t="s">
        <v>10</v>
      </c>
    </row>
    <row r="619" spans="2:25" hidden="1" x14ac:dyDescent="0.2">
      <c r="B619" s="216">
        <v>173</v>
      </c>
      <c r="C619" s="217">
        <v>169</v>
      </c>
      <c r="D619" s="58" t="s">
        <v>10</v>
      </c>
      <c r="E619" s="61" t="e" vm="1">
        <f>IF(B619=0,cell_HGL,IF(VLOOKUP(B619,table_HGL_JCTS,17,FALSE)&lt;X619,X619,VLOOKUP(B619,table_HGL_JCTS,17,FALSE)))</f>
        <v>#VALUE!</v>
      </c>
      <c r="F619" s="61" t="e" vm="1">
        <f>IF(B619=0,(E619+K619),IF(VLOOKUP(B619,table_HGL_JCTS,13,FALSE)="T-INTERSECTION",(E619+K619),(IF(VLOOKUP(B619,table_HGL_JCTS,17,FALSE)&lt;X619,(E619+K619),VLOOKUP(B619,table_HGL_JCTS,18,FALSE)))))</f>
        <v>#VALUE!</v>
      </c>
      <c r="G619" s="62">
        <f>VLOOKUP(C619,table_CIA_JCTS,18)</f>
        <v>24</v>
      </c>
      <c r="H619" s="60">
        <f>VLOOKUP(C619,table_CIA_JCTS,17)</f>
        <v>11.919905465577752</v>
      </c>
      <c r="I619" s="62">
        <f>VLOOKUP(C619,table_CIA_JCTS,21)</f>
        <v>1463</v>
      </c>
      <c r="J619" s="61">
        <f>H619/((G619/12)^2*3.1416/4)</f>
        <v>3.794214879544739</v>
      </c>
      <c r="K619" s="61">
        <f>(J619^2)/64.4</f>
        <v>0.22354140608942077</v>
      </c>
      <c r="L619" s="63">
        <f>(H619/((1.486/cell_NP)*((3.1416*(G619/12)^2)/4)*(G619/48)^(2/3)))^2</f>
        <v>2.7762991429412347E-3</v>
      </c>
      <c r="M619" s="61">
        <f>L619*I619</f>
        <v>4.0617256461230262</v>
      </c>
      <c r="N619" s="68" t="s">
        <v>10</v>
      </c>
      <c r="O619" s="72" t="s">
        <v>130</v>
      </c>
      <c r="P619" s="61">
        <f>IF(ISBLANK(O619)=FALSE,(VLOOKUP(O619,table_MINOR,2,FALSE))*(K619)," ")</f>
        <v>6.706242182682623E-2</v>
      </c>
      <c r="Q619" s="61">
        <f>SUM(P619:P621)</f>
        <v>0.12294777334918142</v>
      </c>
      <c r="R619" s="61">
        <f>Q619+M619</f>
        <v>4.1846734194722073</v>
      </c>
      <c r="S619" s="61" t="e" vm="2">
        <f>IF(O619="T-INTERSECTION",T619,(T619-K619))</f>
        <v>#VALUE!</v>
      </c>
      <c r="T619" s="61" t="e" vm="2">
        <f>IF(O619="T-INTERSECTION",(R619+F619-K619),(R619+F619))</f>
        <v>#VALUE!</v>
      </c>
      <c r="U619" s="61">
        <f>VLOOKUP(C619,table_CIA_JCTS,26)</f>
        <v>400.82</v>
      </c>
      <c r="V619" s="61" t="e" vm="2">
        <f>U619-0.5-S619</f>
        <v>#VALUE!</v>
      </c>
      <c r="W619" s="61" t="s">
        <v>10</v>
      </c>
      <c r="X619" s="69" t="str">
        <f>IF(B619&gt;0,VLOOKUP(B619,table_CIA_JCTS,28)," ")</f>
        <v xml:space="preserve"> </v>
      </c>
      <c r="Y619" s="1">
        <v>7.1605191670871591</v>
      </c>
    </row>
    <row r="620" spans="2:25" hidden="1" x14ac:dyDescent="0.2">
      <c r="B620" s="216" t="s">
        <v>10</v>
      </c>
      <c r="C620" s="217" t="s">
        <v>10</v>
      </c>
      <c r="D620" s="62" t="s">
        <v>10</v>
      </c>
      <c r="E620" s="61" t="s">
        <v>10</v>
      </c>
      <c r="F620" s="61" t="s">
        <v>10</v>
      </c>
      <c r="G620" s="62" t="s">
        <v>10</v>
      </c>
      <c r="H620" s="60" t="s">
        <v>10</v>
      </c>
      <c r="I620" s="62" t="s">
        <v>10</v>
      </c>
      <c r="J620" s="61" t="s">
        <v>10</v>
      </c>
      <c r="K620" s="68">
        <f>K619</f>
        <v>0.22354140608942077</v>
      </c>
      <c r="L620" s="63" t="s">
        <v>10</v>
      </c>
      <c r="M620" s="61" t="s">
        <v>10</v>
      </c>
      <c r="N620" s="68" t="s">
        <v>10</v>
      </c>
      <c r="O620" s="52" t="s">
        <v>131</v>
      </c>
      <c r="P620" s="61">
        <f>IF(ISBLANK(O620)=FALSE,(VLOOKUP(O620,table_MINOR,2,FALSE))*(K620)," ")</f>
        <v>5.5885351522355194E-2</v>
      </c>
      <c r="Q620" s="61" t="s">
        <v>10</v>
      </c>
      <c r="R620" s="61" t="s">
        <v>10</v>
      </c>
      <c r="S620" s="61" t="s">
        <v>10</v>
      </c>
      <c r="T620" s="61" t="s">
        <v>10</v>
      </c>
      <c r="U620" s="61" t="s">
        <v>10</v>
      </c>
      <c r="V620" s="61" t="s">
        <v>10</v>
      </c>
      <c r="W620" s="61" t="s">
        <v>10</v>
      </c>
      <c r="X620" s="69" t="s">
        <v>10</v>
      </c>
      <c r="Y620" s="1" t="s">
        <v>10</v>
      </c>
    </row>
    <row r="621" spans="2:25" hidden="1" x14ac:dyDescent="0.2">
      <c r="B621" s="216" t="s">
        <v>10</v>
      </c>
      <c r="C621" s="217" t="s">
        <v>10</v>
      </c>
      <c r="D621" s="62" t="s">
        <v>10</v>
      </c>
      <c r="E621" s="61" t="s">
        <v>10</v>
      </c>
      <c r="F621" s="61" t="s">
        <v>10</v>
      </c>
      <c r="G621" s="62" t="s">
        <v>10</v>
      </c>
      <c r="H621" s="60" t="s">
        <v>10</v>
      </c>
      <c r="I621" s="62" t="s">
        <v>10</v>
      </c>
      <c r="J621" s="61" t="s">
        <v>10</v>
      </c>
      <c r="K621" s="68">
        <f>K620</f>
        <v>0.22354140608942077</v>
      </c>
      <c r="L621" s="63" t="s">
        <v>10</v>
      </c>
      <c r="M621" s="61" t="s">
        <v>10</v>
      </c>
      <c r="N621" s="68" t="s">
        <v>10</v>
      </c>
      <c r="O621" s="52" t="s">
        <v>10</v>
      </c>
      <c r="P621" s="257" t="s">
        <v>10</v>
      </c>
      <c r="Q621" s="61" t="s">
        <v>10</v>
      </c>
      <c r="R621" s="61" t="s">
        <v>10</v>
      </c>
      <c r="S621" s="61" t="s">
        <v>10</v>
      </c>
      <c r="T621" s="61" t="s">
        <v>10</v>
      </c>
      <c r="U621" s="61" t="s">
        <v>10</v>
      </c>
      <c r="V621" s="61" t="s">
        <v>10</v>
      </c>
      <c r="W621" s="61" t="s">
        <v>10</v>
      </c>
      <c r="X621" s="69" t="s">
        <v>10</v>
      </c>
      <c r="Y621" s="1" t="s">
        <v>10</v>
      </c>
    </row>
    <row r="622" spans="2:25" hidden="1" x14ac:dyDescent="0.2">
      <c r="B622" s="216">
        <v>169</v>
      </c>
      <c r="C622" s="217">
        <v>168</v>
      </c>
      <c r="D622" s="58" t="s">
        <v>10</v>
      </c>
      <c r="E622" s="61" t="e" vm="1">
        <f>IF(B622=0,cell_HGL,IF(VLOOKUP(B622,table_HGL_JCTS,17,FALSE)&lt;X622,X622,VLOOKUP(B622,table_HGL_JCTS,17,FALSE)))</f>
        <v>#VALUE!</v>
      </c>
      <c r="F622" s="61" t="e" vm="1">
        <f>IF(B622=0,(E622+K622),IF(VLOOKUP(B622,table_HGL_JCTS,13,FALSE)="T-INTERSECTION",(E622+K622),(IF(VLOOKUP(B622,table_HGL_JCTS,17,FALSE)&lt;X622,(E622+K622),VLOOKUP(B622,table_HGL_JCTS,18,FALSE)))))</f>
        <v>#VALUE!</v>
      </c>
      <c r="G622" s="62">
        <f>VLOOKUP(C622,table_CIA_JCTS,18)</f>
        <v>18</v>
      </c>
      <c r="H622" s="60">
        <f>VLOOKUP(C622,table_CIA_JCTS,17)</f>
        <v>4.8783242426674649</v>
      </c>
      <c r="I622" s="62">
        <f>VLOOKUP(C622,table_CIA_JCTS,21)</f>
        <v>462</v>
      </c>
      <c r="J622" s="61">
        <f>H622/((G622/12)^2*3.1416/4)</f>
        <v>2.760560361411009</v>
      </c>
      <c r="K622" s="61">
        <f>(J622^2)/64.4</f>
        <v>0.11833375013965343</v>
      </c>
      <c r="L622" s="63">
        <f>(H622/((1.486/cell_NP)*((3.1416*(G622/12)^2)/4)*(G622/48)^(2/3)))^2</f>
        <v>2.1567603501827268E-3</v>
      </c>
      <c r="M622" s="61">
        <f>L622*I622</f>
        <v>0.99642328178441975</v>
      </c>
      <c r="N622" s="68" t="s">
        <v>10</v>
      </c>
      <c r="O622" s="72" t="s">
        <v>129</v>
      </c>
      <c r="P622" s="61">
        <f>IF(ISBLANK(O622)=FALSE,(VLOOKUP(O622,table_MINOR,2,FALSE))*(K622)," ")</f>
        <v>5.9166875069826715E-2</v>
      </c>
      <c r="Q622" s="61">
        <f>SUM(P622:P624)</f>
        <v>0.1479171876745668</v>
      </c>
      <c r="R622" s="61">
        <f>Q622+M622</f>
        <v>1.1443404694589865</v>
      </c>
      <c r="S622" s="61" t="e" vm="2">
        <f>IF(O622="T-INTERSECTION",T622,(T622-K622))</f>
        <v>#VALUE!</v>
      </c>
      <c r="T622" s="61" t="e" vm="2">
        <f>IF(O622="T-INTERSECTION",(R622+F622-K622),(R622+F622))</f>
        <v>#VALUE!</v>
      </c>
      <c r="U622" s="61">
        <f>VLOOKUP(C622,table_CIA_JCTS,26)</f>
        <v>401.73</v>
      </c>
      <c r="V622" s="61" t="e" vm="2">
        <f>U622-0.5-S622</f>
        <v>#VALUE!</v>
      </c>
      <c r="W622" s="61" t="s">
        <v>10</v>
      </c>
      <c r="X622" s="69">
        <f>IF(B622&gt;0,VLOOKUP(B622,table_CIA_JCTS,28)," ")</f>
        <v>391.91</v>
      </c>
      <c r="Y622" s="1">
        <v>6.8209710416784333</v>
      </c>
    </row>
    <row r="623" spans="2:25" hidden="1" x14ac:dyDescent="0.2">
      <c r="B623" s="216" t="s">
        <v>10</v>
      </c>
      <c r="C623" s="217" t="s">
        <v>10</v>
      </c>
      <c r="D623" s="62" t="s">
        <v>10</v>
      </c>
      <c r="E623" s="61" t="s">
        <v>10</v>
      </c>
      <c r="F623" s="61" t="s">
        <v>10</v>
      </c>
      <c r="G623" s="62" t="s">
        <v>10</v>
      </c>
      <c r="H623" s="60" t="s">
        <v>10</v>
      </c>
      <c r="I623" s="62" t="s">
        <v>10</v>
      </c>
      <c r="J623" s="61" t="s">
        <v>10</v>
      </c>
      <c r="K623" s="68">
        <f>K622</f>
        <v>0.11833375013965343</v>
      </c>
      <c r="L623" s="63" t="s">
        <v>10</v>
      </c>
      <c r="M623" s="61" t="s">
        <v>10</v>
      </c>
      <c r="N623" s="68" t="s">
        <v>10</v>
      </c>
      <c r="O623" s="52" t="s">
        <v>156</v>
      </c>
      <c r="P623" s="61">
        <f>IF(ISBLANK(O623)=FALSE,(VLOOKUP(O623,table_MINOR,2,FALSE))*(K623)," ")</f>
        <v>8.8750312604740075E-2</v>
      </c>
      <c r="Q623" s="61" t="s">
        <v>10</v>
      </c>
      <c r="R623" s="61" t="s">
        <v>10</v>
      </c>
      <c r="S623" s="61" t="s">
        <v>10</v>
      </c>
      <c r="T623" s="61" t="s">
        <v>10</v>
      </c>
      <c r="U623" s="61" t="s">
        <v>10</v>
      </c>
      <c r="V623" s="61" t="s">
        <v>10</v>
      </c>
      <c r="W623" s="61" t="s">
        <v>10</v>
      </c>
      <c r="X623" s="69" t="s">
        <v>10</v>
      </c>
      <c r="Y623" s="1" t="s">
        <v>10</v>
      </c>
    </row>
    <row r="624" spans="2:25" hidden="1" x14ac:dyDescent="0.2">
      <c r="B624" s="216" t="s">
        <v>10</v>
      </c>
      <c r="C624" s="217" t="s">
        <v>10</v>
      </c>
      <c r="D624" s="62" t="s">
        <v>10</v>
      </c>
      <c r="E624" s="61" t="s">
        <v>10</v>
      </c>
      <c r="F624" s="61" t="s">
        <v>10</v>
      </c>
      <c r="G624" s="62" t="s">
        <v>10</v>
      </c>
      <c r="H624" s="60" t="s">
        <v>10</v>
      </c>
      <c r="I624" s="62" t="s">
        <v>10</v>
      </c>
      <c r="J624" s="61" t="s">
        <v>10</v>
      </c>
      <c r="K624" s="68">
        <f>K623</f>
        <v>0.11833375013965343</v>
      </c>
      <c r="L624" s="63" t="s">
        <v>10</v>
      </c>
      <c r="M624" s="61" t="s">
        <v>10</v>
      </c>
      <c r="N624" s="68" t="s">
        <v>10</v>
      </c>
      <c r="O624" s="52" t="s">
        <v>10</v>
      </c>
      <c r="P624" s="257" t="s">
        <v>10</v>
      </c>
      <c r="Q624" s="61" t="s">
        <v>10</v>
      </c>
      <c r="R624" s="61" t="s">
        <v>10</v>
      </c>
      <c r="S624" s="61" t="s">
        <v>10</v>
      </c>
      <c r="T624" s="61" t="s">
        <v>10</v>
      </c>
      <c r="U624" s="61" t="s">
        <v>10</v>
      </c>
      <c r="V624" s="61" t="s">
        <v>10</v>
      </c>
      <c r="W624" s="61" t="s">
        <v>10</v>
      </c>
      <c r="X624" s="69" t="s">
        <v>10</v>
      </c>
      <c r="Y624" s="1" t="s">
        <v>10</v>
      </c>
    </row>
    <row r="625" spans="2:25" hidden="1" x14ac:dyDescent="0.2">
      <c r="B625" s="216">
        <v>168</v>
      </c>
      <c r="C625" s="217">
        <v>167</v>
      </c>
      <c r="D625" s="58" t="s">
        <v>10</v>
      </c>
      <c r="E625" s="61" t="e" vm="1">
        <f>IF(B625=0,cell_HGL,IF(VLOOKUP(B625,table_HGL_JCTS,17,FALSE)&lt;X625,X625,VLOOKUP(B625,table_HGL_JCTS,17,FALSE)))</f>
        <v>#VALUE!</v>
      </c>
      <c r="F625" s="61" t="e" vm="1">
        <f>IF(B625=0,(E625+K625),IF(VLOOKUP(B625,table_HGL_JCTS,13,FALSE)="T-INTERSECTION",(E625+K625),(IF(VLOOKUP(B625,table_HGL_JCTS,17,FALSE)&lt;X625,(E625+K625),VLOOKUP(B625,table_HGL_JCTS,18,FALSE)))))</f>
        <v>#VALUE!</v>
      </c>
      <c r="G625" s="62">
        <f>VLOOKUP(C625,table_CIA_JCTS,18)</f>
        <v>18</v>
      </c>
      <c r="H625" s="60">
        <f>VLOOKUP(C625,table_CIA_JCTS,17)</f>
        <v>3.3690941578741107</v>
      </c>
      <c r="I625" s="62">
        <f>VLOOKUP(C625,table_CIA_JCTS,21)</f>
        <v>883</v>
      </c>
      <c r="J625" s="61">
        <f>H625/((G625/12)^2*3.1416/4)</f>
        <v>1.9065128358510091</v>
      </c>
      <c r="K625" s="61">
        <f>(J625^2)/64.4</f>
        <v>5.6440857038271057E-2</v>
      </c>
      <c r="L625" s="63">
        <f>(H625/((1.486/cell_NP)*((3.1416*(G625/12)^2)/4)*(G625/48)^(2/3)))^2</f>
        <v>1.028695553439436E-3</v>
      </c>
      <c r="M625" s="61">
        <f>L625*I625</f>
        <v>0.90833817368702197</v>
      </c>
      <c r="N625" s="68" t="s">
        <v>10</v>
      </c>
      <c r="O625" s="72" t="s">
        <v>131</v>
      </c>
      <c r="P625" s="61">
        <f>IF(ISBLANK(O625)=FALSE,(VLOOKUP(O625,table_MINOR,2,FALSE))*(K625)," ")</f>
        <v>1.4110214259567764E-2</v>
      </c>
      <c r="Q625" s="61">
        <f>SUM(P625:P626)</f>
        <v>1.4110214259567764E-2</v>
      </c>
      <c r="R625" s="61">
        <f>Q625+M625</f>
        <v>0.92244838794658968</v>
      </c>
      <c r="S625" s="61" t="e" vm="2">
        <f>IF(O625="T-INTERSECTION",T625,(T625-K625))</f>
        <v>#VALUE!</v>
      </c>
      <c r="T625" s="61" t="e" vm="2">
        <f>IF(O625="T-INTERSECTION",(R625+F625-K625),(R625+F625))</f>
        <v>#VALUE!</v>
      </c>
      <c r="U625" s="61">
        <f>VLOOKUP(C625,table_CIA_JCTS,26)</f>
        <v>399.18</v>
      </c>
      <c r="V625" s="61" t="e" vm="2">
        <f>U625-0.5-S625</f>
        <v>#VALUE!</v>
      </c>
      <c r="W625" s="61" t="s">
        <v>10</v>
      </c>
      <c r="X625" s="69">
        <f>IF(B625&gt;0,VLOOKUP(B625,table_CIA_JCTS,28)," ")</f>
        <v>382.15</v>
      </c>
      <c r="Y625" s="1">
        <v>3.2866297606304897</v>
      </c>
    </row>
    <row r="626" spans="2:25" hidden="1" x14ac:dyDescent="0.2">
      <c r="B626" s="216" t="s">
        <v>10</v>
      </c>
      <c r="C626" s="217" t="s">
        <v>10</v>
      </c>
      <c r="D626" s="62" t="s">
        <v>10</v>
      </c>
      <c r="E626" s="61" t="s">
        <v>10</v>
      </c>
      <c r="F626" s="61" t="s">
        <v>10</v>
      </c>
      <c r="G626" s="62" t="s">
        <v>10</v>
      </c>
      <c r="H626" s="60" t="s">
        <v>10</v>
      </c>
      <c r="I626" s="62" t="s">
        <v>10</v>
      </c>
      <c r="J626" s="61" t="s">
        <v>10</v>
      </c>
      <c r="K626" s="68">
        <f>K625</f>
        <v>5.6440857038271057E-2</v>
      </c>
      <c r="L626" s="63" t="s">
        <v>10</v>
      </c>
      <c r="M626" s="61" t="s">
        <v>10</v>
      </c>
      <c r="N626" s="68" t="s">
        <v>10</v>
      </c>
      <c r="O626" s="52" t="s">
        <v>10</v>
      </c>
      <c r="P626" s="257" t="s">
        <v>10</v>
      </c>
      <c r="Q626" s="61" t="s">
        <v>10</v>
      </c>
      <c r="R626" s="61" t="s">
        <v>10</v>
      </c>
      <c r="S626" s="61" t="s">
        <v>10</v>
      </c>
      <c r="T626" s="61" t="s">
        <v>10</v>
      </c>
      <c r="U626" s="61" t="s">
        <v>10</v>
      </c>
      <c r="V626" s="61" t="s">
        <v>10</v>
      </c>
      <c r="W626" s="61" t="s">
        <v>10</v>
      </c>
      <c r="X626" s="69" t="s">
        <v>10</v>
      </c>
      <c r="Y626" s="1" t="s">
        <v>10</v>
      </c>
    </row>
    <row r="627" spans="2:25" hidden="1" x14ac:dyDescent="0.2">
      <c r="B627" s="216" t="s">
        <v>10</v>
      </c>
      <c r="C627" s="217" t="s">
        <v>10</v>
      </c>
      <c r="D627" s="62" t="s">
        <v>10</v>
      </c>
      <c r="E627" s="61" t="s">
        <v>10</v>
      </c>
      <c r="F627" s="61" t="s">
        <v>10</v>
      </c>
      <c r="G627" s="62" t="s">
        <v>10</v>
      </c>
      <c r="H627" s="60" t="s">
        <v>10</v>
      </c>
      <c r="I627" s="62" t="s">
        <v>10</v>
      </c>
      <c r="J627" s="61" t="s">
        <v>10</v>
      </c>
      <c r="K627" s="68" t="s">
        <v>10</v>
      </c>
      <c r="L627" s="63" t="s">
        <v>10</v>
      </c>
      <c r="M627" s="61" t="s">
        <v>10</v>
      </c>
      <c r="N627" s="68" t="s">
        <v>10</v>
      </c>
      <c r="O627" s="52" t="s">
        <v>176</v>
      </c>
      <c r="P627" s="61" t="s">
        <v>10</v>
      </c>
      <c r="Q627" s="61" t="s">
        <v>10</v>
      </c>
      <c r="R627" s="61" t="s">
        <v>10</v>
      </c>
      <c r="S627" s="61" t="s">
        <v>10</v>
      </c>
      <c r="T627" s="61" t="s">
        <v>10</v>
      </c>
      <c r="U627" s="61" t="s">
        <v>10</v>
      </c>
      <c r="V627" s="61" t="s">
        <v>10</v>
      </c>
      <c r="W627" s="61" t="s">
        <v>10</v>
      </c>
      <c r="X627" s="69" t="s">
        <v>10</v>
      </c>
      <c r="Y627" s="1" t="s">
        <v>10</v>
      </c>
    </row>
    <row r="628" spans="2:25" hidden="1" x14ac:dyDescent="0.2">
      <c r="B628" s="216">
        <v>168</v>
      </c>
      <c r="C628" s="217">
        <v>166</v>
      </c>
      <c r="D628" s="58" t="s">
        <v>10</v>
      </c>
      <c r="E628" s="61" t="e" vm="1">
        <f>IF(B628=0,cell_HGL,IF(VLOOKUP(B628,table_HGL_JCTS,17,FALSE)&lt;X628,X628,VLOOKUP(B628,table_HGL_JCTS,17,FALSE)))</f>
        <v>#VALUE!</v>
      </c>
      <c r="F628" s="61" t="e" vm="1">
        <f>IF(B628=0,(E628+K628),IF(VLOOKUP(B628,table_HGL_JCTS,13,FALSE)="T-INTERSECTION",(E628+K628),(IF(VLOOKUP(B628,table_HGL_JCTS,17,FALSE)&lt;X628,(E628+K628),VLOOKUP(B628,table_HGL_JCTS,18,FALSE)))))</f>
        <v>#VALUE!</v>
      </c>
      <c r="G628" s="62">
        <f>VLOOKUP(C628,table_CIA_JCTS,18)</f>
        <v>18</v>
      </c>
      <c r="H628" s="60">
        <f>VLOOKUP(C628,table_CIA_JCTS,17)</f>
        <v>2.3106899320401593</v>
      </c>
      <c r="I628" s="62">
        <f>VLOOKUP(C628,table_CIA_JCTS,21)</f>
        <v>249</v>
      </c>
      <c r="J628" s="61">
        <f>H628/((G628/12)^2*3.1416/4)</f>
        <v>1.3075799632403358</v>
      </c>
      <c r="K628" s="61">
        <f>(J628^2)/64.4</f>
        <v>2.6549151556950274E-2</v>
      </c>
      <c r="L628" s="63">
        <f>(H628/((1.486/cell_NP)*((3.1416*(G628/12)^2)/4)*(G628/48)^(2/3)))^2</f>
        <v>4.8388694976239557E-4</v>
      </c>
      <c r="M628" s="61">
        <f>L628*I628</f>
        <v>0.12048785049083649</v>
      </c>
      <c r="N628" s="68" t="s">
        <v>10</v>
      </c>
      <c r="O628" s="52" t="s">
        <v>10</v>
      </c>
      <c r="P628" s="257" t="s">
        <v>10</v>
      </c>
      <c r="Q628" s="61">
        <f>SUM(P628)</f>
        <v>0</v>
      </c>
      <c r="R628" s="61">
        <f>Q628+M628</f>
        <v>0.12048785049083649</v>
      </c>
      <c r="S628" s="61" t="e" vm="2">
        <f>IF(O628="T-INTERSECTION",T628,(T628-K628))</f>
        <v>#VALUE!</v>
      </c>
      <c r="T628" s="61" t="e" vm="2">
        <f>IF(O628="T-INTERSECTION",(R628+F628-K628),(R628+F628))</f>
        <v>#VALUE!</v>
      </c>
      <c r="U628" s="61">
        <f>VLOOKUP(C628,table_CIA_JCTS,26)</f>
        <v>400.13</v>
      </c>
      <c r="V628" s="61" t="e" vm="2">
        <f>U628-0.5-S628</f>
        <v>#VALUE!</v>
      </c>
      <c r="W628" s="61" t="s">
        <v>10</v>
      </c>
      <c r="X628" s="69">
        <f>IF(B628&gt;0,VLOOKUP(B628,table_CIA_JCTS,28)," ")</f>
        <v>382.15</v>
      </c>
      <c r="Y628" s="1">
        <v>5.0086985926048442</v>
      </c>
    </row>
    <row r="629" spans="2:25" hidden="1" x14ac:dyDescent="0.2">
      <c r="B629" s="216" t="s">
        <v>10</v>
      </c>
      <c r="C629" s="217" t="s">
        <v>10</v>
      </c>
      <c r="D629" s="62" t="s">
        <v>10</v>
      </c>
      <c r="E629" s="61" t="s">
        <v>10</v>
      </c>
      <c r="F629" s="61" t="s">
        <v>10</v>
      </c>
      <c r="G629" s="62" t="s">
        <v>10</v>
      </c>
      <c r="H629" s="60" t="s">
        <v>10</v>
      </c>
      <c r="I629" s="62" t="s">
        <v>10</v>
      </c>
      <c r="J629" s="61" t="s">
        <v>10</v>
      </c>
      <c r="K629" s="68" t="s">
        <v>10</v>
      </c>
      <c r="L629" s="63" t="s">
        <v>10</v>
      </c>
      <c r="M629" s="61" t="s">
        <v>10</v>
      </c>
      <c r="N629" s="68" t="s">
        <v>10</v>
      </c>
      <c r="O629" s="52" t="s">
        <v>176</v>
      </c>
      <c r="P629" s="61" t="s">
        <v>10</v>
      </c>
      <c r="Q629" s="61" t="s">
        <v>10</v>
      </c>
      <c r="R629" s="61" t="s">
        <v>10</v>
      </c>
      <c r="S629" s="61" t="s">
        <v>10</v>
      </c>
      <c r="T629" s="61" t="s">
        <v>10</v>
      </c>
      <c r="U629" s="61" t="s">
        <v>10</v>
      </c>
      <c r="V629" s="61" t="s">
        <v>10</v>
      </c>
      <c r="W629" s="61" t="s">
        <v>10</v>
      </c>
      <c r="X629" s="69" t="s">
        <v>10</v>
      </c>
      <c r="Y629" s="1" t="s">
        <v>10</v>
      </c>
    </row>
    <row r="630" spans="2:25" hidden="1" x14ac:dyDescent="0.2">
      <c r="B630" s="216" t="s">
        <v>10</v>
      </c>
      <c r="C630" s="217" t="s">
        <v>10</v>
      </c>
      <c r="D630" s="62" t="s">
        <v>10</v>
      </c>
      <c r="E630" s="61" t="s">
        <v>10</v>
      </c>
      <c r="F630" s="61" t="s">
        <v>10</v>
      </c>
      <c r="G630" s="62" t="s">
        <v>10</v>
      </c>
      <c r="H630" s="60" t="s">
        <v>10</v>
      </c>
      <c r="I630" s="62" t="s">
        <v>10</v>
      </c>
      <c r="J630" s="61" t="s">
        <v>10</v>
      </c>
      <c r="K630" s="68" t="s">
        <v>10</v>
      </c>
      <c r="L630" s="63" t="s">
        <v>10</v>
      </c>
      <c r="M630" s="61" t="s">
        <v>10</v>
      </c>
      <c r="N630" s="68" t="s">
        <v>10</v>
      </c>
      <c r="O630" s="52" t="s">
        <v>176</v>
      </c>
      <c r="P630" s="61" t="s">
        <v>10</v>
      </c>
      <c r="Q630" s="61" t="s">
        <v>10</v>
      </c>
      <c r="R630" s="61" t="s">
        <v>10</v>
      </c>
      <c r="S630" s="61" t="s">
        <v>10</v>
      </c>
      <c r="T630" s="61" t="s">
        <v>10</v>
      </c>
      <c r="U630" s="61" t="s">
        <v>10</v>
      </c>
      <c r="V630" s="61" t="s">
        <v>10</v>
      </c>
      <c r="W630" s="61" t="s">
        <v>10</v>
      </c>
      <c r="X630" s="69" t="s">
        <v>10</v>
      </c>
      <c r="Y630" s="1" t="s">
        <v>10</v>
      </c>
    </row>
    <row r="631" spans="2:25" hidden="1" x14ac:dyDescent="0.2">
      <c r="B631" s="216">
        <v>173</v>
      </c>
      <c r="C631" s="217">
        <v>172</v>
      </c>
      <c r="D631" s="58" t="s">
        <v>10</v>
      </c>
      <c r="E631" s="61" t="e" vm="1">
        <f>IF(B631=0,cell_HGL,IF(VLOOKUP(B631,table_HGL_JCTS,17,FALSE)&lt;X631,X631,VLOOKUP(B631,table_HGL_JCTS,17,FALSE)))</f>
        <v>#VALUE!</v>
      </c>
      <c r="F631" s="61" t="e" vm="1">
        <f>IF(B631=0,(E631+K631),IF(VLOOKUP(B631,table_HGL_JCTS,13,FALSE)="T-INTERSECTION",(E631+K631),(IF(VLOOKUP(B631,table_HGL_JCTS,17,FALSE)&lt;X631,(E631+K631),VLOOKUP(B631,table_HGL_JCTS,18,FALSE)))))</f>
        <v>#VALUE!</v>
      </c>
      <c r="G631" s="62">
        <f>VLOOKUP(C631,table_CIA_JCTS,18)</f>
        <v>30</v>
      </c>
      <c r="H631" s="60">
        <f>VLOOKUP(C631,table_CIA_JCTS,17)</f>
        <v>18.109908274050245</v>
      </c>
      <c r="I631" s="62">
        <f>VLOOKUP(C631,table_CIA_JCTS,21)</f>
        <v>670</v>
      </c>
      <c r="J631" s="61">
        <f>H631/((G631/12)^2*3.1416/4)</f>
        <v>3.6893115913522276</v>
      </c>
      <c r="K631" s="61">
        <f>(J631^2)/64.4</f>
        <v>0.21135124251686188</v>
      </c>
      <c r="L631" s="63">
        <f>(H631/((1.486/cell_NP)*((3.1416*(G631/12)^2)/4)*(G631/48)^(2/3)))^2</f>
        <v>1.9493944952280852E-3</v>
      </c>
      <c r="M631" s="61">
        <f>L631*I631</f>
        <v>1.3060943118028172</v>
      </c>
      <c r="N631" s="68" t="s">
        <v>10</v>
      </c>
      <c r="O631" s="72" t="s">
        <v>130</v>
      </c>
      <c r="P631" s="61">
        <f>IF(ISBLANK(O631)=FALSE,(VLOOKUP(O631,table_MINOR,2,FALSE))*(K631)," ")</f>
        <v>6.3405372755058559E-2</v>
      </c>
      <c r="Q631" s="61">
        <f>SUM(P631:P632)</f>
        <v>6.3405372755058559E-2</v>
      </c>
      <c r="R631" s="61">
        <f>Q631+M631</f>
        <v>1.3694996845578757</v>
      </c>
      <c r="S631" s="61" t="e" vm="2">
        <f>IF(O631="T-INTERSECTION",T631,(T631-K631))</f>
        <v>#VALUE!</v>
      </c>
      <c r="T631" s="61" t="e" vm="2">
        <f>IF(O631="T-INTERSECTION",(R631+F631-K631),(R631+F631))</f>
        <v>#VALUE!</v>
      </c>
      <c r="U631" s="61">
        <f>VLOOKUP(C631,table_CIA_JCTS,26)</f>
        <v>396.5</v>
      </c>
      <c r="V631" s="61" t="e" vm="2">
        <f>U631-0.5-S631</f>
        <v>#VALUE!</v>
      </c>
      <c r="W631" s="61" t="s">
        <v>10</v>
      </c>
      <c r="X631" s="69" t="str">
        <f>IF(B631&gt;0,VLOOKUP(B631,table_CIA_JCTS,28)," ")</f>
        <v xml:space="preserve"> </v>
      </c>
      <c r="Y631" s="1">
        <v>5.6435027384289924</v>
      </c>
    </row>
    <row r="632" spans="2:25" hidden="1" x14ac:dyDescent="0.2">
      <c r="B632" s="216" t="s">
        <v>10</v>
      </c>
      <c r="C632" s="217" t="s">
        <v>10</v>
      </c>
      <c r="D632" s="62" t="s">
        <v>10</v>
      </c>
      <c r="E632" s="61" t="s">
        <v>10</v>
      </c>
      <c r="F632" s="61" t="s">
        <v>10</v>
      </c>
      <c r="G632" s="62" t="s">
        <v>10</v>
      </c>
      <c r="H632" s="60" t="s">
        <v>10</v>
      </c>
      <c r="I632" s="62" t="s">
        <v>10</v>
      </c>
      <c r="J632" s="61" t="s">
        <v>10</v>
      </c>
      <c r="K632" s="68">
        <f>K631</f>
        <v>0.21135124251686188</v>
      </c>
      <c r="L632" s="63" t="s">
        <v>10</v>
      </c>
      <c r="M632" s="61" t="s">
        <v>10</v>
      </c>
      <c r="N632" s="68" t="s">
        <v>10</v>
      </c>
      <c r="O632" s="52" t="s">
        <v>10</v>
      </c>
      <c r="P632" s="257" t="s">
        <v>10</v>
      </c>
      <c r="Q632" s="61" t="s">
        <v>10</v>
      </c>
      <c r="R632" s="61" t="s">
        <v>10</v>
      </c>
      <c r="S632" s="61" t="s">
        <v>10</v>
      </c>
      <c r="T632" s="61" t="s">
        <v>10</v>
      </c>
      <c r="U632" s="61" t="s">
        <v>10</v>
      </c>
      <c r="V632" s="61" t="s">
        <v>10</v>
      </c>
      <c r="W632" s="61" t="s">
        <v>10</v>
      </c>
      <c r="X632" s="69" t="s">
        <v>10</v>
      </c>
      <c r="Y632" s="1" t="s">
        <v>10</v>
      </c>
    </row>
    <row r="633" spans="2:25" hidden="1" x14ac:dyDescent="0.2">
      <c r="B633" s="216">
        <v>172</v>
      </c>
      <c r="C633" s="217">
        <v>171</v>
      </c>
      <c r="D633" s="58" t="s">
        <v>10</v>
      </c>
      <c r="E633" s="61" t="e" vm="1">
        <f>IF(B633=0,cell_HGL,IF(VLOOKUP(B633,table_HGL_JCTS,17,FALSE)&lt;X633,X633,VLOOKUP(B633,table_HGL_JCTS,17,FALSE)))</f>
        <v>#VALUE!</v>
      </c>
      <c r="F633" s="61" t="e" vm="1">
        <f>IF(B633=0,(E633+K633),IF(VLOOKUP(B633,table_HGL_JCTS,13,FALSE)="T-INTERSECTION",(E633+K633),(IF(VLOOKUP(B633,table_HGL_JCTS,17,FALSE)&lt;X633,(E633+K633),VLOOKUP(B633,table_HGL_JCTS,18,FALSE)))))</f>
        <v>#VALUE!</v>
      </c>
      <c r="G633" s="62">
        <f>VLOOKUP(C633,table_CIA_JCTS,18)</f>
        <v>30</v>
      </c>
      <c r="H633" s="60">
        <f>VLOOKUP(C633,table_CIA_JCTS,17)</f>
        <v>12.914085531439984</v>
      </c>
      <c r="I633" s="62">
        <f>VLOOKUP(C633,table_CIA_JCTS,21)</f>
        <v>405</v>
      </c>
      <c r="J633" s="61">
        <f>H633/((G633/12)^2*3.1416/4)</f>
        <v>2.6308297492110997</v>
      </c>
      <c r="K633" s="61">
        <f>(J633^2)/64.4</f>
        <v>0.10747306163562324</v>
      </c>
      <c r="L633" s="63">
        <f>(H633/((1.486/cell_NP)*((3.1416*(G633/12)^2)/4)*(G633/48)^(2/3)))^2</f>
        <v>9.9127590755033242E-4</v>
      </c>
      <c r="M633" s="61">
        <f>L633*I633</f>
        <v>0.40146674255788461</v>
      </c>
      <c r="N633" s="68" t="s">
        <v>10</v>
      </c>
      <c r="O633" s="72" t="s">
        <v>130</v>
      </c>
      <c r="P633" s="61">
        <f>IF(ISBLANK(O633)=FALSE,(VLOOKUP(O633,table_MINOR,2,FALSE))*(K633)," ")</f>
        <v>3.2241918490686972E-2</v>
      </c>
      <c r="Q633" s="61">
        <f>SUM(P633:P634)</f>
        <v>3.2241918490686972E-2</v>
      </c>
      <c r="R633" s="61">
        <f>Q633+M633</f>
        <v>0.43370866104857159</v>
      </c>
      <c r="S633" s="61" t="e" vm="2">
        <f>IF(O633="T-INTERSECTION",T633,(T633-K633))</f>
        <v>#VALUE!</v>
      </c>
      <c r="T633" s="61" t="e" vm="2">
        <f>IF(O633="T-INTERSECTION",(R633+F633-K633),(R633+F633))</f>
        <v>#VALUE!</v>
      </c>
      <c r="U633" s="61">
        <f>VLOOKUP(C633,table_CIA_JCTS,26)</f>
        <v>395</v>
      </c>
      <c r="V633" s="61" t="e" vm="2">
        <f>U633-0.5-S633</f>
        <v>#VALUE!</v>
      </c>
      <c r="W633" s="61" t="s">
        <v>10</v>
      </c>
      <c r="X633" s="69" t="str">
        <f>IF(B633&gt;0,VLOOKUP(B633,table_CIA_JCTS,28)," ")</f>
        <v xml:space="preserve"> </v>
      </c>
      <c r="Y633" s="1">
        <v>3.605915896499198</v>
      </c>
    </row>
    <row r="634" spans="2:25" hidden="1" x14ac:dyDescent="0.2">
      <c r="B634" s="216" t="s">
        <v>10</v>
      </c>
      <c r="C634" s="217" t="s">
        <v>10</v>
      </c>
      <c r="D634" s="62" t="s">
        <v>10</v>
      </c>
      <c r="E634" s="61" t="s">
        <v>10</v>
      </c>
      <c r="F634" s="61" t="s">
        <v>10</v>
      </c>
      <c r="G634" s="62" t="s">
        <v>10</v>
      </c>
      <c r="H634" s="60" t="s">
        <v>10</v>
      </c>
      <c r="I634" s="62" t="s">
        <v>10</v>
      </c>
      <c r="J634" s="61" t="s">
        <v>10</v>
      </c>
      <c r="K634" s="68">
        <f>K633</f>
        <v>0.10747306163562324</v>
      </c>
      <c r="L634" s="63" t="s">
        <v>10</v>
      </c>
      <c r="M634" s="61" t="s">
        <v>10</v>
      </c>
      <c r="N634" s="68" t="s">
        <v>10</v>
      </c>
      <c r="O634" s="52" t="s">
        <v>10</v>
      </c>
      <c r="P634" s="257" t="s">
        <v>10</v>
      </c>
      <c r="Q634" s="61" t="s">
        <v>10</v>
      </c>
      <c r="R634" s="61" t="s">
        <v>10</v>
      </c>
      <c r="S634" s="61" t="s">
        <v>10</v>
      </c>
      <c r="T634" s="61" t="s">
        <v>10</v>
      </c>
      <c r="U634" s="61" t="s">
        <v>10</v>
      </c>
      <c r="V634" s="61" t="s">
        <v>10</v>
      </c>
      <c r="W634" s="61" t="s">
        <v>10</v>
      </c>
      <c r="X634" s="69" t="s">
        <v>10</v>
      </c>
      <c r="Y634" s="1" t="s">
        <v>10</v>
      </c>
    </row>
    <row r="635" spans="2:25" hidden="1" x14ac:dyDescent="0.2">
      <c r="B635" s="216">
        <v>171</v>
      </c>
      <c r="C635" s="217">
        <v>170</v>
      </c>
      <c r="D635" s="58" t="s">
        <v>10</v>
      </c>
      <c r="E635" s="61" t="e" vm="1">
        <f>IF(B635=0,cell_HGL,IF(VLOOKUP(B635,table_HGL_JCTS,17,FALSE)&lt;X635,X635,VLOOKUP(B635,table_HGL_JCTS,17,FALSE)))</f>
        <v>#VALUE!</v>
      </c>
      <c r="F635" s="61" t="e" vm="1">
        <f>IF(B635=0,(E635+K635),IF(VLOOKUP(B635,table_HGL_JCTS,13,FALSE)="T-INTERSECTION",(E635+K635),(IF(VLOOKUP(B635,table_HGL_JCTS,17,FALSE)&lt;X635,(E635+K635),VLOOKUP(B635,table_HGL_JCTS,18,FALSE)))))</f>
        <v>#VALUE!</v>
      </c>
      <c r="G635" s="62">
        <f>VLOOKUP(C635,table_CIA_JCTS,18)</f>
        <v>24</v>
      </c>
      <c r="H635" s="60">
        <f>VLOOKUP(C635,table_CIA_JCTS,17)</f>
        <v>10.205382853619586</v>
      </c>
      <c r="I635" s="62">
        <f>VLOOKUP(C635,table_CIA_JCTS,21)</f>
        <v>450</v>
      </c>
      <c r="J635" s="61">
        <f>H635/((G635/12)^2*3.1416/4)</f>
        <v>3.2484666582695398</v>
      </c>
      <c r="K635" s="61">
        <f>(J635^2)/64.4</f>
        <v>0.16385924891131784</v>
      </c>
      <c r="L635" s="63">
        <f>(H635/((1.486/cell_NP)*((3.1416*(G635/12)^2)/4)*(G635/48)^(2/3)))^2</f>
        <v>2.0350694767192648E-3</v>
      </c>
      <c r="M635" s="61">
        <f>L635*I635</f>
        <v>0.91578126452366915</v>
      </c>
      <c r="N635" s="68" t="s">
        <v>10</v>
      </c>
      <c r="O635" s="52" t="s">
        <v>10</v>
      </c>
      <c r="P635" s="257" t="s">
        <v>10</v>
      </c>
      <c r="Q635" s="61">
        <f>SUM(P635)</f>
        <v>0</v>
      </c>
      <c r="R635" s="61">
        <f>Q635+M635</f>
        <v>0.91578126452366915</v>
      </c>
      <c r="S635" s="61" t="e" vm="2">
        <f>IF(O635="T-INTERSECTION",T635,(T635-K635))</f>
        <v>#VALUE!</v>
      </c>
      <c r="T635" s="61" t="e" vm="2">
        <f>IF(O635="T-INTERSECTION",(R635+F635-K635),(R635+F635))</f>
        <v>#VALUE!</v>
      </c>
      <c r="U635" s="61">
        <f>VLOOKUP(C635,table_CIA_JCTS,26)</f>
        <v>394.5</v>
      </c>
      <c r="V635" s="61" t="e" vm="2">
        <f>U635-0.5-S635</f>
        <v>#VALUE!</v>
      </c>
      <c r="W635" s="61" t="s">
        <v>10</v>
      </c>
      <c r="X635" s="69" t="str">
        <f>IF(B635&gt;0,VLOOKUP(B635,table_CIA_JCTS,28)," ")</f>
        <v xml:space="preserve"> </v>
      </c>
      <c r="Y635" s="1">
        <v>2.2465208192512023</v>
      </c>
    </row>
    <row r="636" spans="2:25" hidden="1" x14ac:dyDescent="0.2">
      <c r="B636" s="216" t="s">
        <v>10</v>
      </c>
      <c r="C636" s="217" t="s">
        <v>10</v>
      </c>
      <c r="D636" s="62" t="s">
        <v>10</v>
      </c>
      <c r="E636" s="61" t="s">
        <v>10</v>
      </c>
      <c r="F636" s="61" t="s">
        <v>10</v>
      </c>
      <c r="G636" s="62" t="s">
        <v>10</v>
      </c>
      <c r="H636" s="60" t="s">
        <v>10</v>
      </c>
      <c r="I636" s="62" t="s">
        <v>10</v>
      </c>
      <c r="J636" s="61" t="s">
        <v>10</v>
      </c>
      <c r="K636" s="68" t="s">
        <v>10</v>
      </c>
      <c r="L636" s="63" t="s">
        <v>10</v>
      </c>
      <c r="M636" s="61" t="s">
        <v>10</v>
      </c>
      <c r="N636" s="68" t="s">
        <v>10</v>
      </c>
      <c r="O636" s="52" t="s">
        <v>176</v>
      </c>
      <c r="P636" s="61" t="s">
        <v>10</v>
      </c>
      <c r="Q636" s="61" t="s">
        <v>10</v>
      </c>
      <c r="R636" s="61" t="s">
        <v>10</v>
      </c>
      <c r="S636" s="61" t="s">
        <v>10</v>
      </c>
      <c r="T636" s="61" t="s">
        <v>10</v>
      </c>
      <c r="U636" s="61" t="s">
        <v>10</v>
      </c>
      <c r="V636" s="61" t="s">
        <v>10</v>
      </c>
      <c r="W636" s="61" t="s">
        <v>10</v>
      </c>
      <c r="X636" s="69" t="s">
        <v>10</v>
      </c>
      <c r="Y636" s="1" t="s">
        <v>10</v>
      </c>
    </row>
    <row r="637" spans="2:25" hidden="1" x14ac:dyDescent="0.2">
      <c r="B637" s="216" t="s">
        <v>10</v>
      </c>
      <c r="C637" s="217" t="s">
        <v>10</v>
      </c>
      <c r="D637" s="62" t="s">
        <v>10</v>
      </c>
      <c r="E637" s="61" t="s">
        <v>10</v>
      </c>
      <c r="F637" s="61" t="s">
        <v>10</v>
      </c>
      <c r="G637" s="62" t="s">
        <v>10</v>
      </c>
      <c r="H637" s="60" t="s">
        <v>10</v>
      </c>
      <c r="I637" s="62" t="s">
        <v>10</v>
      </c>
      <c r="J637" s="61" t="s">
        <v>10</v>
      </c>
      <c r="K637" s="68" t="s">
        <v>10</v>
      </c>
      <c r="L637" s="63" t="s">
        <v>10</v>
      </c>
      <c r="M637" s="61" t="s">
        <v>10</v>
      </c>
      <c r="N637" s="68" t="s">
        <v>10</v>
      </c>
      <c r="O637" s="52" t="s">
        <v>176</v>
      </c>
      <c r="P637" s="61" t="s">
        <v>10</v>
      </c>
      <c r="Q637" s="61" t="s">
        <v>10</v>
      </c>
      <c r="R637" s="61" t="s">
        <v>10</v>
      </c>
      <c r="S637" s="61" t="s">
        <v>10</v>
      </c>
      <c r="T637" s="61" t="s">
        <v>10</v>
      </c>
      <c r="U637" s="61" t="s">
        <v>10</v>
      </c>
      <c r="V637" s="61" t="s">
        <v>10</v>
      </c>
      <c r="W637" s="61" t="s">
        <v>10</v>
      </c>
      <c r="X637" s="69" t="s">
        <v>10</v>
      </c>
      <c r="Y637" s="1" t="s">
        <v>10</v>
      </c>
    </row>
    <row r="638" spans="2:25" hidden="1" x14ac:dyDescent="0.2">
      <c r="B638" s="216">
        <v>176</v>
      </c>
      <c r="C638" s="217">
        <v>174</v>
      </c>
      <c r="D638" s="58" t="s">
        <v>10</v>
      </c>
      <c r="E638" s="61" t="e" vm="1">
        <f>IF(B638=0,cell_HGL,IF(VLOOKUP(B638,table_HGL_JCTS,17,FALSE)&lt;X638,X638,VLOOKUP(B638,table_HGL_JCTS,17,FALSE)))</f>
        <v>#VALUE!</v>
      </c>
      <c r="F638" s="61" t="e" vm="1">
        <f>IF(B638=0,(E638+K638),IF(VLOOKUP(B638,table_HGL_JCTS,13,FALSE)="T-INTERSECTION",(E638+K638),(IF(VLOOKUP(B638,table_HGL_JCTS,17,FALSE)&lt;X638,(E638+K638),VLOOKUP(B638,table_HGL_JCTS,18,FALSE)))))</f>
        <v>#VALUE!</v>
      </c>
      <c r="G638" s="62">
        <f>VLOOKUP(C638,table_CIA_JCTS,18)</f>
        <v>30</v>
      </c>
      <c r="H638" s="60">
        <f>VLOOKUP(C638,table_CIA_JCTS,17)</f>
        <v>10.181450701617292</v>
      </c>
      <c r="I638" s="62">
        <f>VLOOKUP(C638,table_CIA_JCTS,21)</f>
        <v>490</v>
      </c>
      <c r="J638" s="61">
        <f>H638/((G638/12)^2*3.1416/4)</f>
        <v>2.0741432547221375</v>
      </c>
      <c r="K638" s="61">
        <f>(J638^2)/64.4</f>
        <v>6.6802332936480455E-2</v>
      </c>
      <c r="L638" s="63">
        <f>(H638/((1.486/cell_NP)*((3.1416*(G638/12)^2)/4)*(G638/48)^(2/3)))^2</f>
        <v>6.161501514919146E-4</v>
      </c>
      <c r="M638" s="61">
        <f>L638*I638</f>
        <v>0.30191357423103815</v>
      </c>
      <c r="N638" s="68" t="s">
        <v>10</v>
      </c>
      <c r="O638" s="72" t="s">
        <v>130</v>
      </c>
      <c r="P638" s="61">
        <f>IF(ISBLANK(O638)=FALSE,(VLOOKUP(O638,table_MINOR,2,FALSE))*(K638)," ")</f>
        <v>2.0040699880944136E-2</v>
      </c>
      <c r="Q638" s="61">
        <f>SUM(P638:P639)</f>
        <v>2.0040699880944136E-2</v>
      </c>
      <c r="R638" s="61">
        <f>Q638+M638</f>
        <v>0.3219542741119823</v>
      </c>
      <c r="S638" s="61" t="e" vm="2">
        <f>IF(O638="T-INTERSECTION",T638,(T638-K638))</f>
        <v>#VALUE!</v>
      </c>
      <c r="T638" s="61" t="e" vm="2">
        <f>IF(O638="T-INTERSECTION",(R638+F638-K638),(R638+F638))</f>
        <v>#VALUE!</v>
      </c>
      <c r="U638" s="61">
        <f>VLOOKUP(C638,table_CIA_JCTS,26)</f>
        <v>393.75</v>
      </c>
      <c r="V638" s="61" t="e" vm="2">
        <f>U638-0.5-S638</f>
        <v>#VALUE!</v>
      </c>
      <c r="W638" s="61" t="s">
        <v>10</v>
      </c>
      <c r="X638" s="69" t="str">
        <f>IF(B638&gt;0,VLOOKUP(B638,table_CIA_JCTS,28)," ")</f>
        <v xml:space="preserve"> </v>
      </c>
      <c r="Y638" s="1">
        <v>5.3547660096378991</v>
      </c>
    </row>
    <row r="639" spans="2:25" hidden="1" x14ac:dyDescent="0.2">
      <c r="B639" s="216" t="s">
        <v>10</v>
      </c>
      <c r="C639" s="217" t="s">
        <v>10</v>
      </c>
      <c r="D639" s="62" t="s">
        <v>10</v>
      </c>
      <c r="E639" s="61" t="s">
        <v>10</v>
      </c>
      <c r="F639" s="61" t="s">
        <v>10</v>
      </c>
      <c r="G639" s="62" t="s">
        <v>10</v>
      </c>
      <c r="H639" s="60" t="s">
        <v>10</v>
      </c>
      <c r="I639" s="62" t="s">
        <v>10</v>
      </c>
      <c r="J639" s="61" t="s">
        <v>10</v>
      </c>
      <c r="K639" s="68">
        <f>K638</f>
        <v>6.6802332936480455E-2</v>
      </c>
      <c r="L639" s="63" t="s">
        <v>10</v>
      </c>
      <c r="M639" s="61" t="s">
        <v>10</v>
      </c>
      <c r="N639" s="68" t="s">
        <v>10</v>
      </c>
      <c r="O639" s="52" t="s">
        <v>10</v>
      </c>
      <c r="P639" s="257" t="s">
        <v>10</v>
      </c>
      <c r="Q639" s="61" t="s">
        <v>10</v>
      </c>
      <c r="R639" s="61" t="s">
        <v>10</v>
      </c>
      <c r="S639" s="61" t="s">
        <v>10</v>
      </c>
      <c r="T639" s="61" t="s">
        <v>10</v>
      </c>
      <c r="U639" s="61" t="s">
        <v>10</v>
      </c>
      <c r="V639" s="61" t="s">
        <v>10</v>
      </c>
      <c r="W639" s="61" t="s">
        <v>10</v>
      </c>
      <c r="X639" s="69" t="s">
        <v>10</v>
      </c>
      <c r="Y639" s="1" t="s">
        <v>10</v>
      </c>
    </row>
    <row r="640" spans="2:25" hidden="1" x14ac:dyDescent="0.2">
      <c r="B640" s="216">
        <v>174</v>
      </c>
      <c r="C640" s="217">
        <v>159.19999999999999</v>
      </c>
      <c r="D640" s="58" t="s">
        <v>10</v>
      </c>
      <c r="E640" s="61" t="e" vm="1">
        <f>IF(B640=0,cell_HGL,IF(VLOOKUP(B640,table_HGL_JCTS,17,FALSE)&lt;X640,X640,VLOOKUP(B640,table_HGL_JCTS,17,FALSE)))</f>
        <v>#VALUE!</v>
      </c>
      <c r="F640" s="61" t="e" vm="1">
        <f>IF(B640=0,(E640+K640),IF(VLOOKUP(B640,table_HGL_JCTS,13,FALSE)="T-INTERSECTION",(E640+K640),(IF(VLOOKUP(B640,table_HGL_JCTS,17,FALSE)&lt;X640,(E640+K640),VLOOKUP(B640,table_HGL_JCTS,18,FALSE)))))</f>
        <v>#VALUE!</v>
      </c>
      <c r="G640" s="62">
        <f>VLOOKUP(C640,table_CIA_JCTS,18)</f>
        <v>24</v>
      </c>
      <c r="H640" s="60">
        <f>VLOOKUP(C640,table_CIA_JCTS,17)</f>
        <v>1.4430670652116502</v>
      </c>
      <c r="I640" s="62">
        <f>VLOOKUP(C640,table_CIA_JCTS,21)</f>
        <v>711</v>
      </c>
      <c r="J640" s="61">
        <f>H640/((G640/12)^2*3.1416/4)</f>
        <v>0.45934143914300046</v>
      </c>
      <c r="K640" s="61">
        <f>(J640^2)/64.4</f>
        <v>3.2763130079807887E-3</v>
      </c>
      <c r="L640" s="63">
        <f>(H640/((1.486/cell_NP)*((3.1416*(G640/12)^2)/4)*(G640/48)^(2/3)))^2</f>
        <v>4.0690559995966473E-5</v>
      </c>
      <c r="M640" s="61">
        <f>L640*I640</f>
        <v>2.8930988157132163E-2</v>
      </c>
      <c r="N640" s="68" t="s">
        <v>10</v>
      </c>
      <c r="O640" s="72" t="s">
        <v>152</v>
      </c>
      <c r="P640" s="61">
        <f>IF(ISBLANK(O640)=FALSE,(VLOOKUP(O640,table_MINOR,2,FALSE))*(K640)," ")</f>
        <v>1.9657878047884729E-3</v>
      </c>
      <c r="Q640" s="61">
        <f>SUM(P640:P641)</f>
        <v>1.9657878047884729E-3</v>
      </c>
      <c r="R640" s="61">
        <f>Q640+M640</f>
        <v>3.0896775961920635E-2</v>
      </c>
      <c r="S640" s="327" t="e" vm="2">
        <f>IF(O640="T-INTERSECTION",T640,(T640-K640))</f>
        <v>#VALUE!</v>
      </c>
      <c r="T640" s="61" t="e" vm="2">
        <f>IF(O640="T-INTERSECTION",(R640+F640-K640),(R640+F640))</f>
        <v>#VALUE!</v>
      </c>
      <c r="U640" s="61">
        <f>VLOOKUP(C640,table_CIA_JCTS,26)</f>
        <v>391.7</v>
      </c>
      <c r="V640" s="61" t="e" vm="2">
        <f>U640-0.5-S640</f>
        <v>#VALUE!</v>
      </c>
      <c r="W640" s="61" t="s">
        <v>10</v>
      </c>
      <c r="X640" s="69" t="str">
        <f>IF(B640&gt;0,VLOOKUP(B640,table_CIA_JCTS,28)," ")</f>
        <v xml:space="preserve"> </v>
      </c>
      <c r="Y640" s="1">
        <v>3.2103432137474215</v>
      </c>
    </row>
    <row r="641" spans="2:25" hidden="1" x14ac:dyDescent="0.2">
      <c r="B641" s="216" t="s">
        <v>10</v>
      </c>
      <c r="C641" s="217" t="s">
        <v>10</v>
      </c>
      <c r="D641" s="62" t="s">
        <v>10</v>
      </c>
      <c r="E641" s="61" t="s">
        <v>10</v>
      </c>
      <c r="F641" s="61" t="s">
        <v>10</v>
      </c>
      <c r="G641" s="62" t="s">
        <v>10</v>
      </c>
      <c r="H641" s="60" t="s">
        <v>10</v>
      </c>
      <c r="I641" s="62" t="s">
        <v>10</v>
      </c>
      <c r="J641" s="61" t="s">
        <v>10</v>
      </c>
      <c r="K641" s="68">
        <f>K640</f>
        <v>3.2763130079807887E-3</v>
      </c>
      <c r="L641" s="63" t="s">
        <v>10</v>
      </c>
      <c r="M641" s="61" t="s">
        <v>10</v>
      </c>
      <c r="N641" s="68" t="s">
        <v>10</v>
      </c>
      <c r="O641" s="52" t="s">
        <v>10</v>
      </c>
      <c r="P641" s="257" t="s">
        <v>10</v>
      </c>
      <c r="Q641" s="61" t="s">
        <v>10</v>
      </c>
      <c r="R641" s="61" t="s">
        <v>10</v>
      </c>
      <c r="S641" s="61" t="s">
        <v>10</v>
      </c>
      <c r="T641" s="61" t="s">
        <v>10</v>
      </c>
      <c r="U641" s="61" t="s">
        <v>10</v>
      </c>
      <c r="V641" s="61" t="s">
        <v>10</v>
      </c>
      <c r="W641" s="61" t="s">
        <v>10</v>
      </c>
      <c r="X641" s="69" t="s">
        <v>10</v>
      </c>
      <c r="Y641" s="1" t="s">
        <v>10</v>
      </c>
    </row>
    <row r="642" spans="2:25" hidden="1" x14ac:dyDescent="0.2">
      <c r="B642" s="216" t="s">
        <v>10</v>
      </c>
      <c r="C642" s="217" t="s">
        <v>10</v>
      </c>
      <c r="D642" s="62" t="s">
        <v>10</v>
      </c>
      <c r="E642" s="61" t="s">
        <v>10</v>
      </c>
      <c r="F642" s="61" t="s">
        <v>10</v>
      </c>
      <c r="G642" s="62" t="s">
        <v>10</v>
      </c>
      <c r="H642" s="60" t="s">
        <v>10</v>
      </c>
      <c r="I642" s="62" t="s">
        <v>10</v>
      </c>
      <c r="J642" s="61" t="s">
        <v>10</v>
      </c>
      <c r="K642" s="68" t="s">
        <v>10</v>
      </c>
      <c r="L642" s="63" t="s">
        <v>10</v>
      </c>
      <c r="M642" s="61" t="s">
        <v>10</v>
      </c>
      <c r="N642" s="68" t="s">
        <v>10</v>
      </c>
      <c r="O642" s="52" t="s">
        <v>176</v>
      </c>
      <c r="P642" s="61" t="s">
        <v>10</v>
      </c>
      <c r="Q642" s="61" t="s">
        <v>10</v>
      </c>
      <c r="R642" s="61" t="s">
        <v>10</v>
      </c>
      <c r="S642" s="61" t="s">
        <v>10</v>
      </c>
      <c r="T642" s="61" t="s">
        <v>10</v>
      </c>
      <c r="U642" s="61" t="s">
        <v>10</v>
      </c>
      <c r="V642" s="61" t="s">
        <v>10</v>
      </c>
      <c r="W642" s="61" t="s">
        <v>10</v>
      </c>
      <c r="X642" s="69" t="s">
        <v>10</v>
      </c>
      <c r="Y642" s="1" t="s">
        <v>10</v>
      </c>
    </row>
    <row r="643" spans="2:25" hidden="1" x14ac:dyDescent="0.2">
      <c r="B643" s="216">
        <v>0</v>
      </c>
      <c r="C643" s="217">
        <v>182.2</v>
      </c>
      <c r="D643" s="58" t="s">
        <v>10</v>
      </c>
      <c r="E643" s="61">
        <f>IF(B643=0,cell_HGL,IF(VLOOKUP(B643,table_HGL_JCTS,17,FALSE)&lt;X643,X643,VLOOKUP(B643,table_HGL_JCTS,17,FALSE)))</f>
        <v>382.27</v>
      </c>
      <c r="F643" s="61">
        <f>IF(B643=0,(E643+K643),IF(VLOOKUP(B643,table_HGL_JCTS,13,FALSE)="T-INTERSECTION",(E643+K643),(IF(VLOOKUP(B643,table_HGL_JCTS,17,FALSE)&lt;X643,(E643+K643),VLOOKUP(B643,table_HGL_JCTS,18,FALSE)))))</f>
        <v>382.49355439038698</v>
      </c>
      <c r="G643" s="62">
        <f>VLOOKUP(C643,table_CIA_JCTS,18)</f>
        <v>36</v>
      </c>
      <c r="H643" s="60">
        <f>VLOOKUP(C643,table_CIA_JCTS,17)</f>
        <v>26.820566193614738</v>
      </c>
      <c r="I643" s="62">
        <f>VLOOKUP(C643,table_CIA_JCTS,21)</f>
        <v>490</v>
      </c>
      <c r="J643" s="61">
        <f>H643/((G643/12)^2*3.1416/4)</f>
        <v>3.7943250705393909</v>
      </c>
      <c r="K643" s="61">
        <f>(J643^2)/64.4</f>
        <v>0.22355439038701477</v>
      </c>
      <c r="L643" s="63">
        <f>(H643/((1.486/cell_NP)*((3.1416*(G643/12)^2)/4)*(G643/48)^(2/3)))^2</f>
        <v>1.6169743794341477E-3</v>
      </c>
      <c r="M643" s="61">
        <f>L643*I643</f>
        <v>0.79231744592273234</v>
      </c>
      <c r="N643" s="68" t="s">
        <v>10</v>
      </c>
      <c r="O643" s="72" t="s">
        <v>128</v>
      </c>
      <c r="P643" s="61">
        <f>IF(ISBLANK(O643)=FALSE,(VLOOKUP(O643,table_MINOR,2,FALSE))*(K643)," ")</f>
        <v>0.22355439038701477</v>
      </c>
      <c r="Q643" s="61">
        <f>SUM(P643:P647)</f>
        <v>0.50299737837078329</v>
      </c>
      <c r="R643" s="61">
        <f>Q643+M643</f>
        <v>1.2953148242935155</v>
      </c>
      <c r="S643" s="261">
        <f>IF(O643="T-INTERSECTION",T643,(T643-K643))</f>
        <v>383.56531482429352</v>
      </c>
      <c r="T643" s="61">
        <f>IF(O643="T-INTERSECTION",(R643+F643-K643),(R643+F643))</f>
        <v>383.78886921468052</v>
      </c>
      <c r="U643" s="61">
        <f>VLOOKUP(C643,table_CIA_JCTS,26)</f>
        <v>392.72</v>
      </c>
      <c r="V643" s="61">
        <f>U643-0.5-S643</f>
        <v>8.6546851757065042</v>
      </c>
      <c r="W643" s="61" t="s">
        <v>10</v>
      </c>
      <c r="X643" s="69" t="str">
        <f>IF(B643&gt;0,VLOOKUP(B643,table_CIA_JCTS,28)," ")</f>
        <v xml:space="preserve"> </v>
      </c>
      <c r="Y643" s="1">
        <v>8.6546851757065042</v>
      </c>
    </row>
    <row r="644" spans="2:25" hidden="1" x14ac:dyDescent="0.2">
      <c r="B644" s="216" t="s">
        <v>10</v>
      </c>
      <c r="C644" s="217" t="s">
        <v>10</v>
      </c>
      <c r="D644" s="62" t="s">
        <v>10</v>
      </c>
      <c r="E644" s="61" t="s">
        <v>10</v>
      </c>
      <c r="F644" s="61" t="s">
        <v>10</v>
      </c>
      <c r="G644" s="62" t="s">
        <v>10</v>
      </c>
      <c r="H644" s="60" t="s">
        <v>10</v>
      </c>
      <c r="I644" s="62" t="s">
        <v>10</v>
      </c>
      <c r="J644" s="61" t="s">
        <v>10</v>
      </c>
      <c r="K644" s="68">
        <f>K643</f>
        <v>0.22355439038701477</v>
      </c>
      <c r="L644" s="63" t="s">
        <v>10</v>
      </c>
      <c r="M644" s="61" t="s">
        <v>10</v>
      </c>
      <c r="N644" s="68" t="s">
        <v>10</v>
      </c>
      <c r="O644" s="52" t="s">
        <v>156</v>
      </c>
      <c r="P644" s="61">
        <f>IF(ISBLANK(O644)=FALSE,(VLOOKUP(O644,table_MINOR,2,FALSE))*(K644)," ")</f>
        <v>0.16766579279026109</v>
      </c>
      <c r="Q644" s="61" t="s">
        <v>10</v>
      </c>
      <c r="R644" s="61" t="s">
        <v>10</v>
      </c>
      <c r="S644" s="61" t="s">
        <v>10</v>
      </c>
      <c r="T644" s="61" t="s">
        <v>10</v>
      </c>
      <c r="U644" s="61" t="s">
        <v>10</v>
      </c>
      <c r="V644" s="61" t="s">
        <v>10</v>
      </c>
      <c r="W644" s="61" t="s">
        <v>10</v>
      </c>
      <c r="X644" s="69" t="s">
        <v>10</v>
      </c>
      <c r="Y644" s="1" t="s">
        <v>10</v>
      </c>
    </row>
    <row r="645" spans="2:25" hidden="1" x14ac:dyDescent="0.2">
      <c r="B645" s="216" t="s">
        <v>10</v>
      </c>
      <c r="C645" s="217" t="s">
        <v>10</v>
      </c>
      <c r="D645" s="62" t="s">
        <v>10</v>
      </c>
      <c r="E645" s="61" t="s">
        <v>10</v>
      </c>
      <c r="F645" s="61" t="s">
        <v>10</v>
      </c>
      <c r="G645" s="62" t="s">
        <v>10</v>
      </c>
      <c r="H645" s="60" t="s">
        <v>10</v>
      </c>
      <c r="I645" s="62" t="s">
        <v>10</v>
      </c>
      <c r="J645" s="61" t="s">
        <v>10</v>
      </c>
      <c r="K645" s="68">
        <f>K644</f>
        <v>0.22355439038701477</v>
      </c>
      <c r="L645" s="63" t="s">
        <v>10</v>
      </c>
      <c r="M645" s="61" t="s">
        <v>10</v>
      </c>
      <c r="N645" s="68" t="s">
        <v>10</v>
      </c>
      <c r="O645" s="52" t="s">
        <v>131</v>
      </c>
      <c r="P645" s="61">
        <f>IF(ISBLANK(O645)=FALSE,(VLOOKUP(O645,table_MINOR,2,FALSE))*(K645)," ")</f>
        <v>5.5888597596753693E-2</v>
      </c>
      <c r="Q645" s="61" t="s">
        <v>10</v>
      </c>
      <c r="R645" s="61" t="s">
        <v>10</v>
      </c>
      <c r="S645" s="61" t="s">
        <v>10</v>
      </c>
      <c r="T645" s="61" t="s">
        <v>10</v>
      </c>
      <c r="U645" s="61" t="s">
        <v>10</v>
      </c>
      <c r="V645" s="61" t="s">
        <v>10</v>
      </c>
      <c r="W645" s="61" t="s">
        <v>10</v>
      </c>
      <c r="X645" s="69" t="s">
        <v>10</v>
      </c>
      <c r="Y645" s="1" t="s">
        <v>10</v>
      </c>
    </row>
    <row r="646" spans="2:25" hidden="1" x14ac:dyDescent="0.2">
      <c r="B646" s="216" t="s">
        <v>10</v>
      </c>
      <c r="C646" s="217" t="s">
        <v>10</v>
      </c>
      <c r="D646" s="62" t="s">
        <v>10</v>
      </c>
      <c r="E646" s="61" t="s">
        <v>10</v>
      </c>
      <c r="F646" s="61" t="s">
        <v>10</v>
      </c>
      <c r="G646" s="62" t="s">
        <v>10</v>
      </c>
      <c r="H646" s="60" t="s">
        <v>10</v>
      </c>
      <c r="I646" s="62" t="s">
        <v>10</v>
      </c>
      <c r="J646" s="61" t="s">
        <v>10</v>
      </c>
      <c r="K646" s="68">
        <f>K645</f>
        <v>0.22355439038701477</v>
      </c>
      <c r="L646" s="63" t="s">
        <v>10</v>
      </c>
      <c r="M646" s="61" t="s">
        <v>10</v>
      </c>
      <c r="N646" s="68" t="s">
        <v>10</v>
      </c>
      <c r="O646" s="52" t="s">
        <v>131</v>
      </c>
      <c r="P646" s="61">
        <f>IF(ISBLANK(O646)=FALSE,(VLOOKUP(O646,table_MINOR,2,FALSE))*(K646)," ")</f>
        <v>5.5888597596753693E-2</v>
      </c>
      <c r="Q646" s="61" t="s">
        <v>10</v>
      </c>
      <c r="R646" s="61" t="s">
        <v>10</v>
      </c>
      <c r="S646" s="61" t="s">
        <v>10</v>
      </c>
      <c r="T646" s="61" t="s">
        <v>10</v>
      </c>
      <c r="U646" s="61" t="s">
        <v>10</v>
      </c>
      <c r="V646" s="61" t="s">
        <v>10</v>
      </c>
      <c r="W646" s="61" t="s">
        <v>10</v>
      </c>
      <c r="X646" s="69" t="s">
        <v>10</v>
      </c>
      <c r="Y646" s="1" t="s">
        <v>10</v>
      </c>
    </row>
    <row r="647" spans="2:25" hidden="1" x14ac:dyDescent="0.2">
      <c r="B647" s="216" t="s">
        <v>10</v>
      </c>
      <c r="C647" s="217" t="s">
        <v>10</v>
      </c>
      <c r="D647" s="62" t="s">
        <v>10</v>
      </c>
      <c r="E647" s="61" t="s">
        <v>10</v>
      </c>
      <c r="F647" s="61" t="s">
        <v>10</v>
      </c>
      <c r="G647" s="62" t="s">
        <v>10</v>
      </c>
      <c r="H647" s="60" t="s">
        <v>10</v>
      </c>
      <c r="I647" s="62" t="s">
        <v>10</v>
      </c>
      <c r="J647" s="61" t="s">
        <v>10</v>
      </c>
      <c r="K647" s="68">
        <f>K646</f>
        <v>0.22355439038701477</v>
      </c>
      <c r="L647" s="63" t="s">
        <v>10</v>
      </c>
      <c r="M647" s="61" t="s">
        <v>10</v>
      </c>
      <c r="N647" s="68" t="s">
        <v>10</v>
      </c>
      <c r="O647" s="52" t="s">
        <v>10</v>
      </c>
      <c r="P647" s="257" t="s">
        <v>10</v>
      </c>
      <c r="Q647" s="61" t="s">
        <v>10</v>
      </c>
      <c r="R647" s="61" t="s">
        <v>10</v>
      </c>
      <c r="S647" s="61" t="s">
        <v>10</v>
      </c>
      <c r="T647" s="61" t="s">
        <v>10</v>
      </c>
      <c r="U647" s="61" t="s">
        <v>10</v>
      </c>
      <c r="V647" s="61" t="s">
        <v>10</v>
      </c>
      <c r="W647" s="61" t="s">
        <v>10</v>
      </c>
      <c r="X647" s="69" t="s">
        <v>10</v>
      </c>
      <c r="Y647" s="1" t="s">
        <v>10</v>
      </c>
    </row>
    <row r="648" spans="2:25" hidden="1" x14ac:dyDescent="0.2">
      <c r="B648" s="216">
        <v>182.2</v>
      </c>
      <c r="C648" s="217">
        <v>180.2</v>
      </c>
      <c r="D648" s="58" t="s">
        <v>10</v>
      </c>
      <c r="E648" s="61" t="e" vm="1">
        <f>IF(B648=0,cell_HGL,IF(VLOOKUP(B648,table_HGL_JCTS,17,FALSE)&lt;X648,X648,VLOOKUP(B648,table_HGL_JCTS,17,FALSE)))</f>
        <v>#VALUE!</v>
      </c>
      <c r="F648" s="61" t="e" vm="1">
        <f>IF(B648=0,(E648+K648),IF(VLOOKUP(B648,table_HGL_JCTS,13,FALSE)="T-INTERSECTION",(E648+K648),(IF(VLOOKUP(B648,table_HGL_JCTS,17,FALSE)&lt;X648,(E648+K648),VLOOKUP(B648,table_HGL_JCTS,18,FALSE)))))</f>
        <v>#VALUE!</v>
      </c>
      <c r="G648" s="62">
        <f>VLOOKUP(C648,table_CIA_JCTS,18)</f>
        <v>24</v>
      </c>
      <c r="H648" s="60">
        <f>VLOOKUP(C648,table_CIA_JCTS,17)</f>
        <v>8.5007890492773761</v>
      </c>
      <c r="I648" s="62">
        <f>VLOOKUP(C648,table_CIA_JCTS,21)</f>
        <v>583</v>
      </c>
      <c r="J648" s="61">
        <f>H648/((G648/12)^2*3.1416/4)</f>
        <v>2.7058788672260556</v>
      </c>
      <c r="K648" s="61">
        <f>(J648^2)/64.4</f>
        <v>0.11369224292081617</v>
      </c>
      <c r="L648" s="63">
        <f>(H648/((1.486/cell_NP)*((3.1416*(G648/12)^2)/4)*(G648/48)^(2/3)))^2</f>
        <v>1.4120143650428018E-3</v>
      </c>
      <c r="M648" s="61">
        <f>L648*I648</f>
        <v>0.82320437481995345</v>
      </c>
      <c r="N648" s="68" t="s">
        <v>10</v>
      </c>
      <c r="O648" s="72" t="s">
        <v>156</v>
      </c>
      <c r="P648" s="61">
        <f>IF(ISBLANK(O648)=FALSE,(VLOOKUP(O648,table_MINOR,2,FALSE))*(K648)," ")</f>
        <v>8.5269182190612136E-2</v>
      </c>
      <c r="Q648" s="61">
        <f>SUM(P648:P649)</f>
        <v>8.5269182190612136E-2</v>
      </c>
      <c r="R648" s="61">
        <f>Q648+M648</f>
        <v>0.90847355701056554</v>
      </c>
      <c r="S648" s="468" t="e" vm="2">
        <f>IF(O648="T-INTERSECTION",T648,(T648-K648))</f>
        <v>#VALUE!</v>
      </c>
      <c r="T648" s="61" t="e" vm="2">
        <f>IF(O648="T-INTERSECTION",(R648+F648-K648),(R648+F648))</f>
        <v>#VALUE!</v>
      </c>
      <c r="U648" s="61">
        <f>VLOOKUP(C648,table_CIA_JCTS,26)</f>
        <v>392.1</v>
      </c>
      <c r="V648" s="61" t="e" vm="2">
        <f>U648-0.5-S648</f>
        <v>#VALUE!</v>
      </c>
      <c r="W648" s="61" t="s">
        <v>10</v>
      </c>
      <c r="X648" s="69" t="str">
        <f>IF(B648&gt;0,VLOOKUP(B648,table_CIA_JCTS,28)," ")</f>
        <v xml:space="preserve"> </v>
      </c>
      <c r="Y648" s="1">
        <v>7.0163494712297734</v>
      </c>
    </row>
    <row r="649" spans="2:25" hidden="1" x14ac:dyDescent="0.2">
      <c r="B649" s="216" t="s">
        <v>10</v>
      </c>
      <c r="C649" s="217" t="s">
        <v>10</v>
      </c>
      <c r="D649" s="62" t="s">
        <v>10</v>
      </c>
      <c r="E649" s="61" t="s">
        <v>10</v>
      </c>
      <c r="F649" s="61" t="s">
        <v>10</v>
      </c>
      <c r="G649" s="62" t="s">
        <v>10</v>
      </c>
      <c r="H649" s="60" t="s">
        <v>10</v>
      </c>
      <c r="I649" s="62" t="s">
        <v>10</v>
      </c>
      <c r="J649" s="61" t="s">
        <v>10</v>
      </c>
      <c r="K649" s="68">
        <f>K648</f>
        <v>0.11369224292081617</v>
      </c>
      <c r="L649" s="63" t="s">
        <v>10</v>
      </c>
      <c r="M649" s="61" t="s">
        <v>10</v>
      </c>
      <c r="N649" s="68" t="s">
        <v>10</v>
      </c>
      <c r="O649" s="52" t="s">
        <v>10</v>
      </c>
      <c r="P649" s="257" t="s">
        <v>10</v>
      </c>
      <c r="Q649" s="61" t="s">
        <v>10</v>
      </c>
      <c r="R649" s="61" t="s">
        <v>10</v>
      </c>
      <c r="S649" s="61" t="s">
        <v>10</v>
      </c>
      <c r="T649" s="61" t="s">
        <v>10</v>
      </c>
      <c r="U649" s="61" t="s">
        <v>10</v>
      </c>
      <c r="V649" s="61" t="s">
        <v>10</v>
      </c>
      <c r="W649" s="61" t="s">
        <v>10</v>
      </c>
      <c r="X649" s="69" t="s">
        <v>10</v>
      </c>
      <c r="Y649" s="1" t="s">
        <v>10</v>
      </c>
    </row>
    <row r="650" spans="2:25" hidden="1" x14ac:dyDescent="0.2">
      <c r="B650" s="216">
        <v>180.2</v>
      </c>
      <c r="C650" s="217">
        <v>165</v>
      </c>
      <c r="D650" s="58" t="s">
        <v>10</v>
      </c>
      <c r="E650" s="61" t="e" vm="1">
        <f>IF(B650=0,cell_HGL,IF(VLOOKUP(B650,table_HGL_JCTS,17,FALSE)&lt;X650,X650,VLOOKUP(B650,table_HGL_JCTS,17,FALSE)))</f>
        <v>#VALUE!</v>
      </c>
      <c r="F650" s="61" t="e" vm="1">
        <f>IF(B650=0,(E650+K650),IF(VLOOKUP(B650,table_HGL_JCTS,13,FALSE)="T-INTERSECTION",(E650+K650),(IF(VLOOKUP(B650,table_HGL_JCTS,17,FALSE)&lt;X650,(E650+K650),VLOOKUP(B650,table_HGL_JCTS,18,FALSE)))))</f>
        <v>#VALUE!</v>
      </c>
      <c r="G650" s="62">
        <f>VLOOKUP(C650,table_CIA_JCTS,18)</f>
        <v>42</v>
      </c>
      <c r="H650" s="60">
        <f>VLOOKUP(C650,table_CIA_JCTS,17)</f>
        <v>22.153924811517161</v>
      </c>
      <c r="I650" s="62">
        <f>VLOOKUP(C650,table_CIA_JCTS,21)</f>
        <v>77</v>
      </c>
      <c r="J650" s="61">
        <f>H650/((G650/12)^2*3.1416/4)</f>
        <v>2.3026275249338344</v>
      </c>
      <c r="K650" s="61">
        <f>(J650^2)/64.4</f>
        <v>8.2330644698492481E-2</v>
      </c>
      <c r="L650" s="63">
        <f>(H650/((1.486/cell_NP)*((3.1416*(G650/12)^2)/4)*(G650/48)^(2/3)))^2</f>
        <v>4.848630234810695E-4</v>
      </c>
      <c r="M650" s="61">
        <f>L650*I650</f>
        <v>3.7334452808042352E-2</v>
      </c>
      <c r="N650" s="68" t="s">
        <v>10</v>
      </c>
      <c r="O650" s="72" t="s">
        <v>156</v>
      </c>
      <c r="P650" s="61">
        <f>IF(ISBLANK(O650)=FALSE,(VLOOKUP(O650,table_MINOR,2,FALSE))*(K650)," ")</f>
        <v>6.1747983523869357E-2</v>
      </c>
      <c r="Q650" s="61">
        <f>SUM(P650:P652)</f>
        <v>8.2330644698492481E-2</v>
      </c>
      <c r="R650" s="61">
        <f>Q650+M650</f>
        <v>0.11966509750653484</v>
      </c>
      <c r="S650" s="61" t="e" vm="2">
        <f>IF(O650="T-INTERSECTION",T650,(T650-K650))</f>
        <v>#VALUE!</v>
      </c>
      <c r="T650" s="61" t="e" vm="2">
        <f>IF(O650="T-INTERSECTION",(R650+F650-K650),(R650+F650))</f>
        <v>#VALUE!</v>
      </c>
      <c r="U650" s="61">
        <f>VLOOKUP(C650,table_CIA_JCTS,26)</f>
        <v>392.1</v>
      </c>
      <c r="V650" s="61" t="e" vm="2">
        <f>U650-0.5-S650</f>
        <v>#VALUE!</v>
      </c>
      <c r="W650" s="61" t="s">
        <v>10</v>
      </c>
      <c r="X650" s="69" t="str">
        <f>IF(B650&gt;0,VLOOKUP(B650,table_CIA_JCTS,28)," ")</f>
        <v xml:space="preserve"> </v>
      </c>
      <c r="Y650" s="1">
        <v>6.8653227755009425</v>
      </c>
    </row>
    <row r="651" spans="2:25" hidden="1" x14ac:dyDescent="0.2">
      <c r="B651" s="216" t="s">
        <v>10</v>
      </c>
      <c r="C651" s="217" t="s">
        <v>10</v>
      </c>
      <c r="D651" s="62" t="s">
        <v>10</v>
      </c>
      <c r="E651" s="61" t="s">
        <v>10</v>
      </c>
      <c r="F651" s="61" t="s">
        <v>10</v>
      </c>
      <c r="G651" s="62" t="s">
        <v>10</v>
      </c>
      <c r="H651" s="60" t="s">
        <v>10</v>
      </c>
      <c r="I651" s="62" t="s">
        <v>10</v>
      </c>
      <c r="J651" s="61" t="s">
        <v>10</v>
      </c>
      <c r="K651" s="68">
        <f>K650</f>
        <v>8.2330644698492481E-2</v>
      </c>
      <c r="L651" s="63" t="s">
        <v>10</v>
      </c>
      <c r="M651" s="61" t="s">
        <v>10</v>
      </c>
      <c r="N651" s="68" t="s">
        <v>10</v>
      </c>
      <c r="O651" s="52" t="s">
        <v>131</v>
      </c>
      <c r="P651" s="61">
        <f>IF(ISBLANK(O651)=FALSE,(VLOOKUP(O651,table_MINOR,2,FALSE))*(K651)," ")</f>
        <v>2.058266117462312E-2</v>
      </c>
      <c r="Q651" s="61" t="s">
        <v>10</v>
      </c>
      <c r="R651" s="61" t="s">
        <v>10</v>
      </c>
      <c r="S651" s="61" t="s">
        <v>10</v>
      </c>
      <c r="T651" s="61" t="s">
        <v>10</v>
      </c>
      <c r="U651" s="61" t="s">
        <v>10</v>
      </c>
      <c r="V651" s="61" t="s">
        <v>10</v>
      </c>
      <c r="W651" s="61" t="s">
        <v>10</v>
      </c>
      <c r="X651" s="69" t="s">
        <v>10</v>
      </c>
      <c r="Y651" s="1" t="s">
        <v>10</v>
      </c>
    </row>
    <row r="652" spans="2:25" hidden="1" x14ac:dyDescent="0.2">
      <c r="B652" s="216" t="s">
        <v>10</v>
      </c>
      <c r="C652" s="217" t="s">
        <v>10</v>
      </c>
      <c r="D652" s="62" t="s">
        <v>10</v>
      </c>
      <c r="E652" s="61" t="s">
        <v>10</v>
      </c>
      <c r="F652" s="61" t="s">
        <v>10</v>
      </c>
      <c r="G652" s="62" t="s">
        <v>10</v>
      </c>
      <c r="H652" s="60" t="s">
        <v>10</v>
      </c>
      <c r="I652" s="62" t="s">
        <v>10</v>
      </c>
      <c r="J652" s="61" t="s">
        <v>10</v>
      </c>
      <c r="K652" s="68">
        <f>K651</f>
        <v>8.2330644698492481E-2</v>
      </c>
      <c r="L652" s="63" t="s">
        <v>10</v>
      </c>
      <c r="M652" s="61" t="s">
        <v>10</v>
      </c>
      <c r="N652" s="68" t="s">
        <v>10</v>
      </c>
      <c r="O652" s="52" t="s">
        <v>10</v>
      </c>
      <c r="P652" s="257" t="s">
        <v>10</v>
      </c>
      <c r="Q652" s="61" t="s">
        <v>10</v>
      </c>
      <c r="R652" s="61" t="s">
        <v>10</v>
      </c>
      <c r="S652" s="61" t="s">
        <v>10</v>
      </c>
      <c r="T652" s="61" t="s">
        <v>10</v>
      </c>
      <c r="U652" s="61" t="s">
        <v>10</v>
      </c>
      <c r="V652" s="61" t="s">
        <v>10</v>
      </c>
      <c r="W652" s="61" t="s">
        <v>10</v>
      </c>
      <c r="X652" s="69" t="s">
        <v>10</v>
      </c>
      <c r="Y652" s="1" t="s">
        <v>10</v>
      </c>
    </row>
    <row r="653" spans="2:25" hidden="1" x14ac:dyDescent="0.2">
      <c r="B653" s="216">
        <v>165</v>
      </c>
      <c r="C653" s="217">
        <v>162</v>
      </c>
      <c r="D653" s="58" t="s">
        <v>10</v>
      </c>
      <c r="E653" s="61" t="e" vm="1">
        <f>IF(B653=0,cell_HGL,IF(VLOOKUP(B653,table_HGL_JCTS,17,FALSE)&lt;X653,X653,VLOOKUP(B653,table_HGL_JCTS,17,FALSE)))</f>
        <v>#VALUE!</v>
      </c>
      <c r="F653" s="61" t="e" vm="1">
        <f>IF(B653=0,(E653+K653),IF(VLOOKUP(B653,table_HGL_JCTS,13,FALSE)="T-INTERSECTION",(E653+K653),(IF(VLOOKUP(B653,table_HGL_JCTS,17,FALSE)&lt;X653,(E653+K653),VLOOKUP(B653,table_HGL_JCTS,18,FALSE)))))</f>
        <v>#VALUE!</v>
      </c>
      <c r="G653" s="62">
        <f>VLOOKUP(C653,table_CIA_JCTS,18)</f>
        <v>36</v>
      </c>
      <c r="H653" s="60">
        <f>VLOOKUP(C653,table_CIA_JCTS,17)</f>
        <v>20.415705564404135</v>
      </c>
      <c r="I653" s="62">
        <f>VLOOKUP(C653,table_CIA_JCTS,21)</f>
        <v>396</v>
      </c>
      <c r="J653" s="61">
        <f>H653/((G653/12)^2*3.1416/4)</f>
        <v>2.8882247636595841</v>
      </c>
      <c r="K653" s="61">
        <f>(J653^2)/64.4</f>
        <v>0.12953171250646675</v>
      </c>
      <c r="L653" s="63">
        <f>(H653/((1.486/cell_NP)*((3.1416*(G653/12)^2)/4)*(G653/48)^(2/3)))^2</f>
        <v>9.3690604816389436E-4</v>
      </c>
      <c r="M653" s="61">
        <f>L653*I653</f>
        <v>0.37101479507290219</v>
      </c>
      <c r="N653" s="68" t="s">
        <v>10</v>
      </c>
      <c r="O653" s="72" t="s">
        <v>130</v>
      </c>
      <c r="P653" s="61">
        <f>IF(ISBLANK(O653)=FALSE,(VLOOKUP(O653,table_MINOR,2,FALSE))*(K653)," ")</f>
        <v>3.8859513751940022E-2</v>
      </c>
      <c r="Q653" s="61">
        <f>SUM(P653:P654)</f>
        <v>3.8859513751940022E-2</v>
      </c>
      <c r="R653" s="61">
        <f>Q653+M653</f>
        <v>0.40987430882484222</v>
      </c>
      <c r="S653" s="61" t="e" vm="2">
        <f>IF(O653="T-INTERSECTION",T653,(T653-K653))</f>
        <v>#VALUE!</v>
      </c>
      <c r="T653" s="61" t="e" vm="2">
        <f>IF(O653="T-INTERSECTION",(R653+F653-K653),(R653+F653))</f>
        <v>#VALUE!</v>
      </c>
      <c r="U653" s="61">
        <f>VLOOKUP(C653,table_CIA_JCTS,26)</f>
        <v>391.55</v>
      </c>
      <c r="V653" s="61" t="e" vm="2">
        <f>U653-0.5-S653</f>
        <v>#VALUE!</v>
      </c>
      <c r="W653" s="61" t="s">
        <v>10</v>
      </c>
      <c r="X653" s="69">
        <f>IF(B653&gt;0,VLOOKUP(B653,table_CIA_JCTS,28)," ")</f>
        <v>383</v>
      </c>
      <c r="Y653" s="1">
        <v>5.9526495344840669</v>
      </c>
    </row>
    <row r="654" spans="2:25" hidden="1" x14ac:dyDescent="0.2">
      <c r="B654" s="216" t="s">
        <v>10</v>
      </c>
      <c r="C654" s="217" t="s">
        <v>10</v>
      </c>
      <c r="D654" s="62" t="s">
        <v>10</v>
      </c>
      <c r="E654" s="61" t="s">
        <v>10</v>
      </c>
      <c r="F654" s="61" t="s">
        <v>10</v>
      </c>
      <c r="G654" s="62" t="s">
        <v>10</v>
      </c>
      <c r="H654" s="60" t="s">
        <v>10</v>
      </c>
      <c r="I654" s="62" t="s">
        <v>10</v>
      </c>
      <c r="J654" s="61" t="s">
        <v>10</v>
      </c>
      <c r="K654" s="68">
        <f>K653</f>
        <v>0.12953171250646675</v>
      </c>
      <c r="L654" s="63" t="s">
        <v>10</v>
      </c>
      <c r="M654" s="61" t="s">
        <v>10</v>
      </c>
      <c r="N654" s="68" t="s">
        <v>10</v>
      </c>
      <c r="O654" s="52" t="s">
        <v>10</v>
      </c>
      <c r="P654" s="257" t="s">
        <v>10</v>
      </c>
      <c r="Q654" s="61" t="s">
        <v>10</v>
      </c>
      <c r="R654" s="61" t="s">
        <v>10</v>
      </c>
      <c r="S654" s="61" t="s">
        <v>10</v>
      </c>
      <c r="T654" s="61" t="s">
        <v>10</v>
      </c>
      <c r="U654" s="61" t="s">
        <v>10</v>
      </c>
      <c r="V654" s="61" t="s">
        <v>10</v>
      </c>
      <c r="W654" s="61" t="s">
        <v>10</v>
      </c>
      <c r="X654" s="69" t="s">
        <v>10</v>
      </c>
      <c r="Y654" s="1" t="s">
        <v>10</v>
      </c>
    </row>
    <row r="655" spans="2:25" hidden="1" x14ac:dyDescent="0.2">
      <c r="B655" s="216">
        <v>162</v>
      </c>
      <c r="C655" s="217">
        <v>161</v>
      </c>
      <c r="D655" s="58" t="s">
        <v>10</v>
      </c>
      <c r="E655" s="61" t="e" vm="1">
        <f>IF(B655=0,cell_HGL,IF(VLOOKUP(B655,table_HGL_JCTS,17,FALSE)&lt;X655,X655,VLOOKUP(B655,table_HGL_JCTS,17,FALSE)))</f>
        <v>#VALUE!</v>
      </c>
      <c r="F655" s="61" t="e" vm="1">
        <f>IF(B655=0,(E655+K655),IF(VLOOKUP(B655,table_HGL_JCTS,13,FALSE)="T-INTERSECTION",(E655+K655),(IF(VLOOKUP(B655,table_HGL_JCTS,17,FALSE)&lt;X655,(E655+K655),VLOOKUP(B655,table_HGL_JCTS,18,FALSE)))))</f>
        <v>#VALUE!</v>
      </c>
      <c r="G655" s="62">
        <f>VLOOKUP(C655,table_CIA_JCTS,18)</f>
        <v>36</v>
      </c>
      <c r="H655" s="60">
        <f>VLOOKUP(C655,table_CIA_JCTS,17)</f>
        <v>19.649115057699479</v>
      </c>
      <c r="I655" s="62">
        <f>VLOOKUP(C655,table_CIA_JCTS,21)</f>
        <v>434</v>
      </c>
      <c r="J655" s="61">
        <f>H655/((G655/12)^2*3.1416/4)</f>
        <v>2.7797746452903658</v>
      </c>
      <c r="K655" s="61">
        <f>(J655^2)/64.4</f>
        <v>0.11998675587886923</v>
      </c>
      <c r="L655" s="63">
        <f>(H655/((1.486/cell_NP)*((3.1416*(G655/12)^2)/4)*(G655/48)^(2/3)))^2</f>
        <v>8.6786714316669749E-4</v>
      </c>
      <c r="M655" s="61">
        <f>L655*I655</f>
        <v>0.37665434013434673</v>
      </c>
      <c r="N655" s="68" t="s">
        <v>10</v>
      </c>
      <c r="O655" s="72" t="s">
        <v>130</v>
      </c>
      <c r="P655" s="61">
        <f>IF(ISBLANK(O655)=FALSE,(VLOOKUP(O655,table_MINOR,2,FALSE))*(K655)," ")</f>
        <v>3.5996026763660767E-2</v>
      </c>
      <c r="Q655" s="61">
        <f>SUM(P655:P657)</f>
        <v>6.5992715733378074E-2</v>
      </c>
      <c r="R655" s="61">
        <f>Q655+M655</f>
        <v>0.44264705586772479</v>
      </c>
      <c r="S655" s="61" t="e" vm="2">
        <f>IF(O655="T-INTERSECTION",T655,(T655-K655))</f>
        <v>#VALUE!</v>
      </c>
      <c r="T655" s="61" t="e" vm="2">
        <f>IF(O655="T-INTERSECTION",(R655+F655-K655),(R655+F655))</f>
        <v>#VALUE!</v>
      </c>
      <c r="U655" s="61">
        <f>VLOOKUP(C655,table_CIA_JCTS,26)</f>
        <v>390.6</v>
      </c>
      <c r="V655" s="61" t="e" vm="2">
        <f>U655-0.5-S655</f>
        <v>#VALUE!</v>
      </c>
      <c r="W655" s="61" t="s">
        <v>10</v>
      </c>
      <c r="X655" s="69">
        <f>IF(B655&gt;0,VLOOKUP(B655,table_CIA_JCTS,28)," ")</f>
        <v>383.12</v>
      </c>
      <c r="Y655" s="1">
        <v>4.5504575219887329</v>
      </c>
    </row>
    <row r="656" spans="2:25" hidden="1" x14ac:dyDescent="0.2">
      <c r="B656" s="216" t="s">
        <v>10</v>
      </c>
      <c r="C656" s="217" t="s">
        <v>10</v>
      </c>
      <c r="D656" s="62" t="s">
        <v>10</v>
      </c>
      <c r="E656" s="61" t="s">
        <v>10</v>
      </c>
      <c r="F656" s="61" t="s">
        <v>10</v>
      </c>
      <c r="G656" s="62" t="s">
        <v>10</v>
      </c>
      <c r="H656" s="60" t="s">
        <v>10</v>
      </c>
      <c r="I656" s="62" t="s">
        <v>10</v>
      </c>
      <c r="J656" s="61" t="s">
        <v>10</v>
      </c>
      <c r="K656" s="68">
        <f>K655</f>
        <v>0.11998675587886923</v>
      </c>
      <c r="L656" s="63" t="s">
        <v>10</v>
      </c>
      <c r="M656" s="61" t="s">
        <v>10</v>
      </c>
      <c r="N656" s="68" t="s">
        <v>10</v>
      </c>
      <c r="O656" s="52" t="s">
        <v>131</v>
      </c>
      <c r="P656" s="61">
        <f>IF(ISBLANK(O656)=FALSE,(VLOOKUP(O656,table_MINOR,2,FALSE))*(K656)," ")</f>
        <v>2.9996688969717307E-2</v>
      </c>
      <c r="Q656" s="61" t="s">
        <v>10</v>
      </c>
      <c r="R656" s="61" t="s">
        <v>10</v>
      </c>
      <c r="S656" s="61" t="s">
        <v>10</v>
      </c>
      <c r="T656" s="61" t="s">
        <v>10</v>
      </c>
      <c r="U656" s="61" t="s">
        <v>10</v>
      </c>
      <c r="V656" s="61" t="s">
        <v>10</v>
      </c>
      <c r="W656" s="61" t="s">
        <v>10</v>
      </c>
      <c r="X656" s="69" t="s">
        <v>10</v>
      </c>
      <c r="Y656" s="1" t="s">
        <v>10</v>
      </c>
    </row>
    <row r="657" spans="2:25" hidden="1" x14ac:dyDescent="0.2">
      <c r="B657" s="216" t="s">
        <v>10</v>
      </c>
      <c r="C657" s="217" t="s">
        <v>10</v>
      </c>
      <c r="D657" s="62" t="s">
        <v>10</v>
      </c>
      <c r="E657" s="61" t="s">
        <v>10</v>
      </c>
      <c r="F657" s="61" t="s">
        <v>10</v>
      </c>
      <c r="G657" s="62" t="s">
        <v>10</v>
      </c>
      <c r="H657" s="60" t="s">
        <v>10</v>
      </c>
      <c r="I657" s="62" t="s">
        <v>10</v>
      </c>
      <c r="J657" s="61" t="s">
        <v>10</v>
      </c>
      <c r="K657" s="68">
        <f>K656</f>
        <v>0.11998675587886923</v>
      </c>
      <c r="L657" s="63" t="s">
        <v>10</v>
      </c>
      <c r="M657" s="61" t="s">
        <v>10</v>
      </c>
      <c r="N657" s="68" t="s">
        <v>10</v>
      </c>
      <c r="O657" s="52" t="s">
        <v>10</v>
      </c>
      <c r="P657" s="257" t="s">
        <v>10</v>
      </c>
      <c r="Q657" s="61" t="s">
        <v>10</v>
      </c>
      <c r="R657" s="61" t="s">
        <v>10</v>
      </c>
      <c r="S657" s="61" t="s">
        <v>10</v>
      </c>
      <c r="T657" s="61" t="s">
        <v>10</v>
      </c>
      <c r="U657" s="61" t="s">
        <v>10</v>
      </c>
      <c r="V657" s="61" t="s">
        <v>10</v>
      </c>
      <c r="W657" s="61" t="s">
        <v>10</v>
      </c>
      <c r="X657" s="69" t="s">
        <v>10</v>
      </c>
      <c r="Y657" s="1" t="s">
        <v>10</v>
      </c>
    </row>
    <row r="658" spans="2:25" hidden="1" x14ac:dyDescent="0.2">
      <c r="B658" s="216">
        <v>161</v>
      </c>
      <c r="C658" s="217">
        <v>160</v>
      </c>
      <c r="D658" s="58" t="s">
        <v>10</v>
      </c>
      <c r="E658" s="61" t="e" vm="1">
        <f>IF(B658=0,cell_HGL,IF(VLOOKUP(B658,table_HGL_JCTS,17,FALSE)&lt;X658,X658,VLOOKUP(B658,table_HGL_JCTS,17,FALSE)))</f>
        <v>#VALUE!</v>
      </c>
      <c r="F658" s="61" t="e" vm="1">
        <f>IF(B658=0,(E658+K658),IF(VLOOKUP(B658,table_HGL_JCTS,13,FALSE)="T-INTERSECTION",(E658+K658),(IF(VLOOKUP(B658,table_HGL_JCTS,17,FALSE)&lt;X658,(E658+K658),VLOOKUP(B658,table_HGL_JCTS,18,FALSE)))))</f>
        <v>#VALUE!</v>
      </c>
      <c r="G658" s="62">
        <f>VLOOKUP(C658,table_CIA_JCTS,18)</f>
        <v>30</v>
      </c>
      <c r="H658" s="60">
        <f>VLOOKUP(C658,table_CIA_JCTS,17)</f>
        <v>18.574520381477786</v>
      </c>
      <c r="I658" s="62">
        <f>VLOOKUP(C658,table_CIA_JCTS,21)</f>
        <v>937</v>
      </c>
      <c r="J658" s="61">
        <f>H658/((G658/12)^2*3.1416/4)</f>
        <v>3.7839613713221874</v>
      </c>
      <c r="K658" s="61">
        <f>(J658^2)/64.4</f>
        <v>0.2223348394356908</v>
      </c>
      <c r="L658" s="63">
        <f>(H658/((1.486/cell_NP)*((3.1416*(G658/12)^2)/4)*(G658/48)^(2/3)))^2</f>
        <v>2.0507015096387581E-3</v>
      </c>
      <c r="M658" s="61">
        <f>L658*I658</f>
        <v>1.9215073145315162</v>
      </c>
      <c r="N658" s="68" t="s">
        <v>10</v>
      </c>
      <c r="O658" s="72" t="s">
        <v>130</v>
      </c>
      <c r="P658" s="61">
        <f>IF(ISBLANK(O658)=FALSE,(VLOOKUP(O658,table_MINOR,2,FALSE))*(K658)," ")</f>
        <v>6.6700451830707233E-2</v>
      </c>
      <c r="Q658" s="61">
        <f>SUM(P658:P661)</f>
        <v>0.17786787154855263</v>
      </c>
      <c r="R658" s="61">
        <f>Q658+M658</f>
        <v>2.0993751860800689</v>
      </c>
      <c r="S658" s="61" t="e" vm="2">
        <f>IF(O658="T-INTERSECTION",T658,(T658-K658))</f>
        <v>#VALUE!</v>
      </c>
      <c r="T658" s="61" t="e" vm="2">
        <f>IF(O658="T-INTERSECTION",(R658+F658-K658),(R658+F658))</f>
        <v>#VALUE!</v>
      </c>
      <c r="U658" s="61">
        <f>VLOOKUP(C658,table_CIA_JCTS,26)</f>
        <v>390.8</v>
      </c>
      <c r="V658" s="61" t="e" vm="2">
        <f>U658-0.5-S658</f>
        <v>#VALUE!</v>
      </c>
      <c r="W658" s="61" t="s">
        <v>10</v>
      </c>
      <c r="X658" s="69">
        <f>IF(B658&gt;0,VLOOKUP(B658,table_CIA_JCTS,28)," ")</f>
        <v>383.98</v>
      </c>
      <c r="Y658" s="1">
        <v>2.7534304194654737</v>
      </c>
    </row>
    <row r="659" spans="2:25" hidden="1" x14ac:dyDescent="0.2">
      <c r="B659" s="216" t="s">
        <v>10</v>
      </c>
      <c r="C659" s="217" t="s">
        <v>10</v>
      </c>
      <c r="D659" s="62" t="s">
        <v>10</v>
      </c>
      <c r="E659" s="61" t="s">
        <v>10</v>
      </c>
      <c r="F659" s="61" t="s">
        <v>10</v>
      </c>
      <c r="G659" s="62" t="s">
        <v>10</v>
      </c>
      <c r="H659" s="60" t="s">
        <v>10</v>
      </c>
      <c r="I659" s="62" t="s">
        <v>10</v>
      </c>
      <c r="J659" s="61" t="s">
        <v>10</v>
      </c>
      <c r="K659" s="68">
        <f>K658</f>
        <v>0.2223348394356908</v>
      </c>
      <c r="L659" s="63" t="s">
        <v>10</v>
      </c>
      <c r="M659" s="61" t="s">
        <v>10</v>
      </c>
      <c r="N659" s="68" t="s">
        <v>10</v>
      </c>
      <c r="O659" s="52" t="s">
        <v>131</v>
      </c>
      <c r="P659" s="61">
        <f>IF(ISBLANK(O659)=FALSE,(VLOOKUP(O659,table_MINOR,2,FALSE))*(K659)," ")</f>
        <v>5.5583709858922699E-2</v>
      </c>
      <c r="Q659" s="61" t="s">
        <v>10</v>
      </c>
      <c r="R659" s="61" t="s">
        <v>10</v>
      </c>
      <c r="S659" s="61" t="s">
        <v>10</v>
      </c>
      <c r="T659" s="61" t="s">
        <v>10</v>
      </c>
      <c r="U659" s="61" t="s">
        <v>10</v>
      </c>
      <c r="V659" s="61" t="s">
        <v>10</v>
      </c>
      <c r="W659" s="61" t="s">
        <v>10</v>
      </c>
      <c r="X659" s="69" t="s">
        <v>10</v>
      </c>
      <c r="Y659" s="1" t="s">
        <v>10</v>
      </c>
    </row>
    <row r="660" spans="2:25" hidden="1" x14ac:dyDescent="0.2">
      <c r="B660" s="216" t="s">
        <v>10</v>
      </c>
      <c r="C660" s="217" t="s">
        <v>10</v>
      </c>
      <c r="D660" s="62" t="s">
        <v>10</v>
      </c>
      <c r="E660" s="61" t="s">
        <v>10</v>
      </c>
      <c r="F660" s="61" t="s">
        <v>10</v>
      </c>
      <c r="G660" s="62" t="s">
        <v>10</v>
      </c>
      <c r="H660" s="60" t="s">
        <v>10</v>
      </c>
      <c r="I660" s="62" t="s">
        <v>10</v>
      </c>
      <c r="J660" s="61" t="s">
        <v>10</v>
      </c>
      <c r="K660" s="68">
        <f>K659</f>
        <v>0.2223348394356908</v>
      </c>
      <c r="L660" s="63" t="s">
        <v>10</v>
      </c>
      <c r="M660" s="61" t="s">
        <v>10</v>
      </c>
      <c r="N660" s="68" t="s">
        <v>10</v>
      </c>
      <c r="O660" s="52" t="s">
        <v>131</v>
      </c>
      <c r="P660" s="61">
        <f>IF(ISBLANK(O660)=FALSE,(VLOOKUP(O660,table_MINOR,2,FALSE))*(K660)," ")</f>
        <v>5.5583709858922699E-2</v>
      </c>
      <c r="Q660" s="61" t="s">
        <v>10</v>
      </c>
      <c r="R660" s="61" t="s">
        <v>10</v>
      </c>
      <c r="S660" s="61" t="s">
        <v>10</v>
      </c>
      <c r="T660" s="61" t="s">
        <v>10</v>
      </c>
      <c r="U660" s="61" t="s">
        <v>10</v>
      </c>
      <c r="V660" s="61" t="s">
        <v>10</v>
      </c>
      <c r="W660" s="61" t="s">
        <v>10</v>
      </c>
      <c r="X660" s="69" t="s">
        <v>10</v>
      </c>
      <c r="Y660" s="1" t="s">
        <v>10</v>
      </c>
    </row>
    <row r="661" spans="2:25" hidden="1" x14ac:dyDescent="0.2">
      <c r="B661" s="216" t="s">
        <v>10</v>
      </c>
      <c r="C661" s="217" t="s">
        <v>10</v>
      </c>
      <c r="D661" s="62" t="s">
        <v>10</v>
      </c>
      <c r="E661" s="61" t="s">
        <v>10</v>
      </c>
      <c r="F661" s="61" t="s">
        <v>10</v>
      </c>
      <c r="G661" s="62" t="s">
        <v>10</v>
      </c>
      <c r="H661" s="60" t="s">
        <v>10</v>
      </c>
      <c r="I661" s="62" t="s">
        <v>10</v>
      </c>
      <c r="J661" s="61" t="s">
        <v>10</v>
      </c>
      <c r="K661" s="68">
        <f>K660</f>
        <v>0.2223348394356908</v>
      </c>
      <c r="L661" s="63" t="s">
        <v>10</v>
      </c>
      <c r="M661" s="61" t="s">
        <v>10</v>
      </c>
      <c r="N661" s="68" t="s">
        <v>10</v>
      </c>
      <c r="O661" s="52" t="s">
        <v>10</v>
      </c>
      <c r="P661" s="257" t="s">
        <v>10</v>
      </c>
      <c r="Q661" s="61" t="s">
        <v>10</v>
      </c>
      <c r="R661" s="61" t="s">
        <v>10</v>
      </c>
      <c r="S661" s="61" t="s">
        <v>10</v>
      </c>
      <c r="T661" s="61" t="s">
        <v>10</v>
      </c>
      <c r="U661" s="61" t="s">
        <v>10</v>
      </c>
      <c r="V661" s="61" t="s">
        <v>10</v>
      </c>
      <c r="W661" s="61" t="s">
        <v>10</v>
      </c>
      <c r="X661" s="69" t="s">
        <v>10</v>
      </c>
      <c r="Y661" s="1" t="s">
        <v>10</v>
      </c>
    </row>
    <row r="662" spans="2:25" hidden="1" x14ac:dyDescent="0.2">
      <c r="B662" s="216">
        <v>160</v>
      </c>
      <c r="C662" s="217">
        <v>159.1</v>
      </c>
      <c r="D662" s="58" t="s">
        <v>10</v>
      </c>
      <c r="E662" s="61" t="e" vm="1">
        <f>IF(B662=0,cell_HGL,IF(VLOOKUP(B662,table_HGL_JCTS,17,FALSE)&lt;X662,X662,VLOOKUP(B662,table_HGL_JCTS,17,FALSE)))</f>
        <v>#VALUE!</v>
      </c>
      <c r="F662" s="61" t="e" vm="1">
        <f>IF(B662=0,(E662+K662),IF(VLOOKUP(B662,table_HGL_JCTS,13,FALSE)="T-INTERSECTION",(E662+K662),(IF(VLOOKUP(B662,table_HGL_JCTS,17,FALSE)&lt;X662,(E662+K662),VLOOKUP(B662,table_HGL_JCTS,18,FALSE)))))</f>
        <v>#VALUE!</v>
      </c>
      <c r="G662" s="62">
        <v>30</v>
      </c>
      <c r="H662" s="60">
        <f>VLOOKUP(C662,table_CIA_JCTS,17)</f>
        <v>18.383019939001912</v>
      </c>
      <c r="I662" s="62">
        <v>207</v>
      </c>
      <c r="J662" s="61">
        <f>H662/((G662/12)^2*3.1416/4)</f>
        <v>3.7449493127582203</v>
      </c>
      <c r="K662" s="61">
        <f>(J662^2)/64.4</f>
        <v>0.21777399619764387</v>
      </c>
      <c r="L662" s="63">
        <f>(H662/((1.486/cell_NP)*((3.1416*(G662/12)^2)/4)*(G662/48)^(2/3)))^2</f>
        <v>2.00863465166352E-3</v>
      </c>
      <c r="M662" s="61">
        <f>L662*I662</f>
        <v>0.41578737289434864</v>
      </c>
      <c r="N662" s="68" t="s">
        <v>10</v>
      </c>
      <c r="O662" s="72" t="s">
        <v>130</v>
      </c>
      <c r="P662" s="61">
        <f>IF(ISBLANK(O662)=FALSE,(VLOOKUP(O662,table_MINOR,2,FALSE))*(K662)," ")</f>
        <v>6.5332198859293159E-2</v>
      </c>
      <c r="Q662" s="61">
        <f>SUM(P662:P663)</f>
        <v>6.5332198859293159E-2</v>
      </c>
      <c r="R662" s="61">
        <f>Q662+M662</f>
        <v>0.48111957175364178</v>
      </c>
      <c r="S662" s="327" t="e" vm="2">
        <f>IF(O662="T-INTERSECTION",T662,(T662-K662))</f>
        <v>#VALUE!</v>
      </c>
      <c r="T662" s="61" t="e" vm="2">
        <f>IF(O662="T-INTERSECTION",(R662+F662-K662),(R662+F662))</f>
        <v>#VALUE!</v>
      </c>
      <c r="U662" s="61">
        <v>391.7</v>
      </c>
      <c r="V662" s="61" t="e" vm="2">
        <f>U662-0.5-S662</f>
        <v>#VALUE!</v>
      </c>
      <c r="W662" s="61" t="s">
        <v>10</v>
      </c>
      <c r="X662" s="69">
        <f>IF(B662&gt;0,VLOOKUP(B662,table_CIA_JCTS,28)," ")</f>
        <v>384.75</v>
      </c>
      <c r="Y662" s="1">
        <v>3.1677500044737599</v>
      </c>
    </row>
    <row r="663" spans="2:25" hidden="1" x14ac:dyDescent="0.2">
      <c r="B663" s="216" t="s">
        <v>10</v>
      </c>
      <c r="C663" s="217" t="s">
        <v>10</v>
      </c>
      <c r="D663" s="62" t="s">
        <v>10</v>
      </c>
      <c r="E663" s="61" t="s">
        <v>10</v>
      </c>
      <c r="F663" s="61" t="s">
        <v>10</v>
      </c>
      <c r="G663" s="62" t="s">
        <v>10</v>
      </c>
      <c r="H663" s="60" t="s">
        <v>10</v>
      </c>
      <c r="I663" s="62" t="s">
        <v>10</v>
      </c>
      <c r="J663" s="61" t="s">
        <v>10</v>
      </c>
      <c r="K663" s="68">
        <f>K662</f>
        <v>0.21777399619764387</v>
      </c>
      <c r="L663" s="63" t="s">
        <v>10</v>
      </c>
      <c r="M663" s="61" t="s">
        <v>10</v>
      </c>
      <c r="N663" s="68" t="s">
        <v>10</v>
      </c>
      <c r="O663" s="52" t="s">
        <v>10</v>
      </c>
      <c r="P663" s="257" t="s">
        <v>10</v>
      </c>
      <c r="Q663" s="61" t="s">
        <v>10</v>
      </c>
      <c r="R663" s="61" t="s">
        <v>10</v>
      </c>
      <c r="S663" s="61" t="s">
        <v>10</v>
      </c>
      <c r="T663" s="61" t="s">
        <v>10</v>
      </c>
      <c r="U663" s="61" t="s">
        <v>10</v>
      </c>
      <c r="V663" s="61" t="s">
        <v>10</v>
      </c>
      <c r="W663" s="61" t="s">
        <v>10</v>
      </c>
      <c r="X663" s="69" t="s">
        <v>10</v>
      </c>
      <c r="Y663" s="1" t="s">
        <v>10</v>
      </c>
    </row>
    <row r="664" spans="2:25" hidden="1" x14ac:dyDescent="0.2">
      <c r="B664" s="216">
        <v>159.1</v>
      </c>
      <c r="C664" s="217">
        <v>159</v>
      </c>
      <c r="D664" s="58" t="s">
        <v>10</v>
      </c>
      <c r="E664" s="61" t="e" vm="1">
        <f>IF(B664=0,cell_HGL,IF(VLOOKUP(B664,table_HGL_JCTS,17,FALSE)&lt;X664,X664,VLOOKUP(B664,table_HGL_JCTS,17,FALSE)))</f>
        <v>#VALUE!</v>
      </c>
      <c r="F664" s="61" t="e" vm="1">
        <f>IF(B664=0,(E664+K664),IF(VLOOKUP(B664,table_HGL_JCTS,13,FALSE)="T-INTERSECTION",(E664+K664),(IF(VLOOKUP(B664,table_HGL_JCTS,17,FALSE)&lt;X664,(E664+K664),VLOOKUP(B664,table_HGL_JCTS,18,FALSE)))))</f>
        <v>#VALUE!</v>
      </c>
      <c r="G664" s="62">
        <f>VLOOKUP(C664,table_CIA_JCTS,18)</f>
        <v>30</v>
      </c>
      <c r="H664" s="60">
        <f>VLOOKUP(C664,table_CIA_JCTS,17)</f>
        <v>17.212585041599144</v>
      </c>
      <c r="I664" s="62">
        <f>VLOOKUP(C664,table_CIA_JCTS,21)</f>
        <v>665</v>
      </c>
      <c r="J664" s="61">
        <f>H664/((G664/12)^2*3.1416/4)</f>
        <v>3.5065108309853112</v>
      </c>
      <c r="K664" s="61">
        <f>(J664^2)/64.4</f>
        <v>0.19092574856859157</v>
      </c>
      <c r="L664" s="63">
        <f>(H664/((1.486/cell_NP)*((3.1416*(G664/12)^2)/4)*(G664/48)^(2/3)))^2</f>
        <v>1.7610003084189113E-3</v>
      </c>
      <c r="M664" s="61">
        <f>L664*I664</f>
        <v>1.1710652050985759</v>
      </c>
      <c r="N664" s="68" t="s">
        <v>10</v>
      </c>
      <c r="O664" s="72" t="s">
        <v>152</v>
      </c>
      <c r="P664" s="61">
        <f>IF(ISBLANK(O664)=FALSE,(VLOOKUP(O664,table_MINOR,2,FALSE))*(K664)," ")</f>
        <v>0.11455544914115494</v>
      </c>
      <c r="Q664" s="61">
        <f>SUM(P664:P665)</f>
        <v>0.11455544914115494</v>
      </c>
      <c r="R664" s="61">
        <f>Q664+M664</f>
        <v>1.2856206542397308</v>
      </c>
      <c r="S664" s="61" t="e" vm="2">
        <f>IF(O664="T-INTERSECTION",T664,(T664-K664))</f>
        <v>#VALUE!</v>
      </c>
      <c r="T664" s="61" t="e" vm="2">
        <f>IF(O664="T-INTERSECTION",(R664+F664-K664),(R664+F664))</f>
        <v>#VALUE!</v>
      </c>
      <c r="U664" s="61">
        <f>VLOOKUP(C664,table_CIA_JCTS,26)</f>
        <v>392.5</v>
      </c>
      <c r="V664" s="61" t="e" vm="2">
        <f>U664-0.5-S664</f>
        <v>#VALUE!</v>
      </c>
      <c r="W664" s="61" t="s">
        <v>10</v>
      </c>
      <c r="X664" s="69" t="str">
        <f>IF(B664&gt;0,VLOOKUP(B664,table_CIA_JCTS,28)," ")</f>
        <v xml:space="preserve"> </v>
      </c>
      <c r="Y664" s="1">
        <v>2.6552811026049881</v>
      </c>
    </row>
    <row r="665" spans="2:25" hidden="1" x14ac:dyDescent="0.2">
      <c r="B665" s="216" t="s">
        <v>10</v>
      </c>
      <c r="C665" s="217" t="s">
        <v>10</v>
      </c>
      <c r="D665" s="62" t="s">
        <v>10</v>
      </c>
      <c r="E665" s="61" t="s">
        <v>10</v>
      </c>
      <c r="F665" s="61" t="s">
        <v>10</v>
      </c>
      <c r="G665" s="62" t="s">
        <v>10</v>
      </c>
      <c r="H665" s="60" t="s">
        <v>10</v>
      </c>
      <c r="I665" s="62" t="s">
        <v>10</v>
      </c>
      <c r="J665" s="61" t="s">
        <v>10</v>
      </c>
      <c r="K665" s="68">
        <f>K664</f>
        <v>0.19092574856859157</v>
      </c>
      <c r="L665" s="63" t="s">
        <v>10</v>
      </c>
      <c r="M665" s="61" t="s">
        <v>10</v>
      </c>
      <c r="N665" s="68" t="s">
        <v>10</v>
      </c>
      <c r="O665" s="52" t="s">
        <v>10</v>
      </c>
      <c r="P665" s="257" t="s">
        <v>10</v>
      </c>
      <c r="Q665" s="61" t="s">
        <v>10</v>
      </c>
      <c r="R665" s="61" t="s">
        <v>10</v>
      </c>
      <c r="S665" s="61" t="s">
        <v>10</v>
      </c>
      <c r="T665" s="61" t="s">
        <v>10</v>
      </c>
      <c r="U665" s="61" t="s">
        <v>10</v>
      </c>
      <c r="V665" s="61" t="s">
        <v>10</v>
      </c>
      <c r="W665" s="61" t="s">
        <v>10</v>
      </c>
      <c r="X665" s="69" t="s">
        <v>10</v>
      </c>
      <c r="Y665" s="1" t="s">
        <v>10</v>
      </c>
    </row>
    <row r="666" spans="2:25" hidden="1" x14ac:dyDescent="0.2">
      <c r="B666" s="216">
        <v>159</v>
      </c>
      <c r="C666" s="217">
        <v>158</v>
      </c>
      <c r="D666" s="58" t="s">
        <v>10</v>
      </c>
      <c r="E666" s="61" t="e" vm="1">
        <f>IF(B666=0,cell_HGL,IF(VLOOKUP(B666,table_HGL_JCTS,17,FALSE)&lt;X666,X666,VLOOKUP(B666,table_HGL_JCTS,17,FALSE)))</f>
        <v>#VALUE!</v>
      </c>
      <c r="F666" s="61" t="e" vm="1">
        <f>IF(B666=0,(E666+K666),IF(VLOOKUP(B666,table_HGL_JCTS,13,FALSE)="T-INTERSECTION",(E666+K666),(IF(VLOOKUP(B666,table_HGL_JCTS,17,FALSE)&lt;X666,(E666+K666),VLOOKUP(B666,table_HGL_JCTS,18,FALSE)))))</f>
        <v>#VALUE!</v>
      </c>
      <c r="G666" s="62">
        <f>VLOOKUP(C666,table_CIA_JCTS,18)</f>
        <v>30</v>
      </c>
      <c r="H666" s="60">
        <f>VLOOKUP(C666,table_CIA_JCTS,17)</f>
        <v>11.291308052479847</v>
      </c>
      <c r="I666" s="62">
        <f>VLOOKUP(C666,table_CIA_JCTS,21)</f>
        <v>577</v>
      </c>
      <c r="J666" s="61">
        <f>H666/((G666/12)^2*3.1416/4)</f>
        <v>2.3002410089085505</v>
      </c>
      <c r="K666" s="61">
        <f>(J666^2)/64.4</f>
        <v>8.216007296684201E-2</v>
      </c>
      <c r="L666" s="63">
        <f>(H666/((1.486/cell_NP)*((3.1416*(G666/12)^2)/4)*(G666/48)^(2/3)))^2</f>
        <v>7.5780199852064605E-4</v>
      </c>
      <c r="M666" s="61">
        <f>L666*I666</f>
        <v>0.43725175314641279</v>
      </c>
      <c r="N666" s="68" t="s">
        <v>10</v>
      </c>
      <c r="O666" s="72" t="s">
        <v>130</v>
      </c>
      <c r="P666" s="61">
        <f>IF(ISBLANK(O666)=FALSE,(VLOOKUP(O666,table_MINOR,2,FALSE))*(K666)," ")</f>
        <v>2.4648021890052604E-2</v>
      </c>
      <c r="Q666" s="61">
        <f>SUM(P666:P667)</f>
        <v>2.4648021890052604E-2</v>
      </c>
      <c r="R666" s="61">
        <f>Q666+M666</f>
        <v>0.4618997750364654</v>
      </c>
      <c r="S666" s="61" t="e" vm="2">
        <f>IF(O666="T-INTERSECTION",T666,(T666-K666))</f>
        <v>#VALUE!</v>
      </c>
      <c r="T666" s="61" t="e" vm="2">
        <f>IF(O666="T-INTERSECTION",(R666+F666-K666),(R666+F666))</f>
        <v>#VALUE!</v>
      </c>
      <c r="U666" s="61">
        <f>VLOOKUP(C666,table_CIA_JCTS,26)</f>
        <v>392</v>
      </c>
      <c r="V666" s="61" t="e" vm="2">
        <f>U666-0.5-S666</f>
        <v>#VALUE!</v>
      </c>
      <c r="W666" s="61" t="s">
        <v>10</v>
      </c>
      <c r="X666" s="69" t="str">
        <f>IF(B666&gt;0,VLOOKUP(B666,table_CIA_JCTS,28)," ")</f>
        <v xml:space="preserve"> </v>
      </c>
      <c r="Y666" s="1">
        <v>1.5846156519667716</v>
      </c>
    </row>
    <row r="667" spans="2:25" hidden="1" x14ac:dyDescent="0.2">
      <c r="B667" s="216" t="s">
        <v>10</v>
      </c>
      <c r="C667" s="217" t="s">
        <v>10</v>
      </c>
      <c r="D667" s="62" t="s">
        <v>10</v>
      </c>
      <c r="E667" s="61" t="s">
        <v>10</v>
      </c>
      <c r="F667" s="61" t="s">
        <v>10</v>
      </c>
      <c r="G667" s="62" t="s">
        <v>10</v>
      </c>
      <c r="H667" s="60" t="s">
        <v>10</v>
      </c>
      <c r="I667" s="62" t="s">
        <v>10</v>
      </c>
      <c r="J667" s="61" t="s">
        <v>10</v>
      </c>
      <c r="K667" s="68">
        <f>K666</f>
        <v>8.216007296684201E-2</v>
      </c>
      <c r="L667" s="63" t="s">
        <v>10</v>
      </c>
      <c r="M667" s="61" t="s">
        <v>10</v>
      </c>
      <c r="N667" s="68" t="s">
        <v>10</v>
      </c>
      <c r="O667" s="52" t="s">
        <v>10</v>
      </c>
      <c r="P667" s="257" t="s">
        <v>10</v>
      </c>
      <c r="Q667" s="61" t="s">
        <v>10</v>
      </c>
      <c r="R667" s="61" t="s">
        <v>10</v>
      </c>
      <c r="S667" s="61" t="s">
        <v>10</v>
      </c>
      <c r="T667" s="61" t="s">
        <v>10</v>
      </c>
      <c r="U667" s="61" t="s">
        <v>10</v>
      </c>
      <c r="V667" s="61" t="s">
        <v>10</v>
      </c>
      <c r="W667" s="61" t="s">
        <v>10</v>
      </c>
      <c r="X667" s="69" t="s">
        <v>10</v>
      </c>
      <c r="Y667" s="1" t="s">
        <v>10</v>
      </c>
    </row>
    <row r="668" spans="2:25" hidden="1" x14ac:dyDescent="0.2">
      <c r="B668" s="216">
        <v>158</v>
      </c>
      <c r="C668" s="217">
        <v>157</v>
      </c>
      <c r="D668" s="58" t="s">
        <v>10</v>
      </c>
      <c r="E668" s="61" t="e" vm="1">
        <f>IF(B668=0,cell_HGL,IF(VLOOKUP(B668,table_HGL_JCTS,17,FALSE)&lt;X668,X668,VLOOKUP(B668,table_HGL_JCTS,17,FALSE)))</f>
        <v>#VALUE!</v>
      </c>
      <c r="F668" s="61" t="e" vm="1">
        <f>IF(B668=0,(E668+K668),IF(VLOOKUP(B668,table_HGL_JCTS,13,FALSE)="T-INTERSECTION",(E668+K668),(IF(VLOOKUP(B668,table_HGL_JCTS,17,FALSE)&lt;X668,(E668+K668),VLOOKUP(B668,table_HGL_JCTS,18,FALSE)))))</f>
        <v>#VALUE!</v>
      </c>
      <c r="G668" s="62">
        <f>VLOOKUP(C668,table_CIA_JCTS,18)</f>
        <v>24</v>
      </c>
      <c r="H668" s="60">
        <f>VLOOKUP(C668,table_CIA_JCTS,17)</f>
        <v>3.3412406413456757</v>
      </c>
      <c r="I668" s="62">
        <f>VLOOKUP(C668,table_CIA_JCTS,21)</f>
        <v>99</v>
      </c>
      <c r="J668" s="61">
        <f>H668/((G668/12)^2*3.1416/4)</f>
        <v>1.0635474412228405</v>
      </c>
      <c r="K668" s="61">
        <f>(J668^2)/64.4</f>
        <v>1.7564179498938685E-2</v>
      </c>
      <c r="L668" s="63">
        <f>(H668/((1.486/cell_NP)*((3.1416*(G668/12)^2)/4)*(G668/48)^(2/3)))^2</f>
        <v>2.1814042124197424E-4</v>
      </c>
      <c r="M668" s="61">
        <f>L668*I668</f>
        <v>2.1595901702955451E-2</v>
      </c>
      <c r="N668" s="68" t="s">
        <v>10</v>
      </c>
      <c r="O668" s="52" t="s">
        <v>10</v>
      </c>
      <c r="P668" s="257" t="s">
        <v>10</v>
      </c>
      <c r="Q668" s="61">
        <f>SUM(P668)</f>
        <v>0</v>
      </c>
      <c r="R668" s="61">
        <f>Q668+M668</f>
        <v>2.1595901702955451E-2</v>
      </c>
      <c r="S668" s="61" t="e" vm="2">
        <f>IF(O668="T-INTERSECTION",T668,(T668-K668))</f>
        <v>#VALUE!</v>
      </c>
      <c r="T668" s="61" t="e" vm="2">
        <f>IF(O668="T-INTERSECTION",(R668+F668-K668),(R668+F668))</f>
        <v>#VALUE!</v>
      </c>
      <c r="U668" s="61">
        <f>VLOOKUP(C668,table_CIA_JCTS,26)</f>
        <v>392</v>
      </c>
      <c r="V668" s="61" t="e" vm="2">
        <f>U668-0.5-S668</f>
        <v>#VALUE!</v>
      </c>
      <c r="W668" s="61" t="s">
        <v>10</v>
      </c>
      <c r="X668" s="69" t="str">
        <f>IF(B668&gt;0,VLOOKUP(B668,table_CIA_JCTS,28)," ")</f>
        <v xml:space="preserve"> </v>
      </c>
      <c r="Y668" s="1">
        <v>1.4984238567959665</v>
      </c>
    </row>
    <row r="669" spans="2:25" hidden="1" x14ac:dyDescent="0.2">
      <c r="B669" s="216" t="s">
        <v>10</v>
      </c>
      <c r="C669" s="217" t="s">
        <v>10</v>
      </c>
      <c r="D669" s="62" t="s">
        <v>10</v>
      </c>
      <c r="E669" s="61" t="s">
        <v>10</v>
      </c>
      <c r="F669" s="61" t="s">
        <v>10</v>
      </c>
      <c r="G669" s="62" t="s">
        <v>10</v>
      </c>
      <c r="H669" s="60" t="s">
        <v>10</v>
      </c>
      <c r="I669" s="62" t="s">
        <v>10</v>
      </c>
      <c r="J669" s="61" t="s">
        <v>10</v>
      </c>
      <c r="K669" s="68" t="s">
        <v>10</v>
      </c>
      <c r="L669" s="63" t="s">
        <v>10</v>
      </c>
      <c r="M669" s="61" t="s">
        <v>10</v>
      </c>
      <c r="N669" s="68" t="s">
        <v>10</v>
      </c>
      <c r="O669" s="52" t="s">
        <v>176</v>
      </c>
      <c r="P669" s="61" t="s">
        <v>10</v>
      </c>
      <c r="Q669" s="61" t="s">
        <v>10</v>
      </c>
      <c r="R669" s="61" t="s">
        <v>10</v>
      </c>
      <c r="S669" s="61" t="s">
        <v>10</v>
      </c>
      <c r="T669" s="61" t="s">
        <v>10</v>
      </c>
      <c r="U669" s="61" t="s">
        <v>10</v>
      </c>
      <c r="V669" s="61" t="s">
        <v>10</v>
      </c>
      <c r="W669" s="61" t="s">
        <v>10</v>
      </c>
      <c r="X669" s="69" t="s">
        <v>10</v>
      </c>
      <c r="Y669" s="1" t="s">
        <v>10</v>
      </c>
    </row>
    <row r="670" spans="2:25" hidden="1" x14ac:dyDescent="0.2">
      <c r="B670" s="216" t="s">
        <v>10</v>
      </c>
      <c r="C670" s="217" t="s">
        <v>10</v>
      </c>
      <c r="D670" s="62" t="s">
        <v>10</v>
      </c>
      <c r="E670" s="61" t="s">
        <v>10</v>
      </c>
      <c r="F670" s="61" t="s">
        <v>10</v>
      </c>
      <c r="G670" s="62" t="s">
        <v>10</v>
      </c>
      <c r="H670" s="60" t="s">
        <v>10</v>
      </c>
      <c r="I670" s="62" t="s">
        <v>10</v>
      </c>
      <c r="J670" s="61" t="s">
        <v>10</v>
      </c>
      <c r="K670" s="68" t="s">
        <v>10</v>
      </c>
      <c r="L670" s="63" t="s">
        <v>10</v>
      </c>
      <c r="M670" s="61" t="s">
        <v>10</v>
      </c>
      <c r="N670" s="68" t="s">
        <v>10</v>
      </c>
      <c r="O670" s="52" t="s">
        <v>176</v>
      </c>
      <c r="P670" s="61" t="s">
        <v>10</v>
      </c>
      <c r="Q670" s="61" t="s">
        <v>10</v>
      </c>
      <c r="R670" s="61" t="s">
        <v>10</v>
      </c>
      <c r="S670" s="61" t="s">
        <v>10</v>
      </c>
      <c r="T670" s="61" t="s">
        <v>10</v>
      </c>
      <c r="U670" s="61" t="s">
        <v>10</v>
      </c>
      <c r="V670" s="61" t="s">
        <v>10</v>
      </c>
      <c r="W670" s="61" t="s">
        <v>10</v>
      </c>
      <c r="X670" s="69" t="s">
        <v>10</v>
      </c>
      <c r="Y670" s="1" t="s">
        <v>10</v>
      </c>
    </row>
    <row r="671" spans="2:25" hidden="1" x14ac:dyDescent="0.2">
      <c r="B671" s="216">
        <v>184</v>
      </c>
      <c r="C671" s="217">
        <v>183</v>
      </c>
      <c r="D671" s="58" t="s">
        <v>10</v>
      </c>
      <c r="E671" s="61" t="e" vm="1">
        <f>IF(B671=0,cell_HGL,IF(VLOOKUP(B671,table_HGL_JCTS,17,FALSE)&lt;X671,X671,VLOOKUP(B671,table_HGL_JCTS,17,FALSE)))</f>
        <v>#VALUE!</v>
      </c>
      <c r="F671" s="61" t="e" vm="1">
        <f>IF(B671=0,(E671+K671),IF(VLOOKUP(B671,table_HGL_JCTS,13,FALSE)="T-INTERSECTION",(E671+K671),(IF(VLOOKUP(B671,table_HGL_JCTS,17,FALSE)&lt;X671,(E671+K671),VLOOKUP(B671,table_HGL_JCTS,18,FALSE)))))</f>
        <v>#VALUE!</v>
      </c>
      <c r="G671" s="62">
        <f>VLOOKUP(C671,table_CIA_JCTS,18)</f>
        <v>18</v>
      </c>
      <c r="H671" s="60">
        <f>VLOOKUP(C671,table_CIA_JCTS,17)</f>
        <v>3.1940467711037299</v>
      </c>
      <c r="I671" s="62">
        <f>VLOOKUP(C671,table_CIA_JCTS,21)</f>
        <v>180</v>
      </c>
      <c r="J671" s="61">
        <f>H671/((G671/12)^2*3.1416/4)</f>
        <v>1.8074565096928557</v>
      </c>
      <c r="K671" s="61">
        <f>(J671^2)/64.4</f>
        <v>5.0728245876259008E-2</v>
      </c>
      <c r="L671" s="63">
        <f>(H671/((1.486/cell_NP)*((3.1416*(G671/12)^2)/4)*(G671/48)^(2/3)))^2</f>
        <v>9.2457704763954053E-4</v>
      </c>
      <c r="M671" s="61">
        <f>L671*I671</f>
        <v>0.16642386857511729</v>
      </c>
      <c r="N671" s="68" t="s">
        <v>10</v>
      </c>
      <c r="O671" s="52" t="s">
        <v>10</v>
      </c>
      <c r="P671" s="257" t="s">
        <v>10</v>
      </c>
      <c r="Q671" s="61">
        <f>SUM(P671)</f>
        <v>0</v>
      </c>
      <c r="R671" s="61">
        <f>Q671+M671</f>
        <v>0.16642386857511729</v>
      </c>
      <c r="S671" s="61" t="e" vm="2">
        <f>IF(O671="T-INTERSECTION",T671,(T671-K671))</f>
        <v>#VALUE!</v>
      </c>
      <c r="T671" s="61" t="e" vm="2">
        <f>IF(O671="T-INTERSECTION",(R671+F671-K671),(R671+F671))</f>
        <v>#VALUE!</v>
      </c>
      <c r="U671" s="61">
        <f>VLOOKUP(C671,table_CIA_JCTS,26)</f>
        <v>393.05</v>
      </c>
      <c r="V671" s="61" t="e" vm="2">
        <f>U671-0.5-S671</f>
        <v>#VALUE!</v>
      </c>
      <c r="W671" s="61" t="s">
        <v>10</v>
      </c>
      <c r="X671" s="69" t="str">
        <f>IF(B671&gt;0,VLOOKUP(B671,table_CIA_JCTS,28)," ")</f>
        <v xml:space="preserve"> </v>
      </c>
      <c r="Y671" s="1">
        <v>9.1094387338593492</v>
      </c>
    </row>
    <row r="672" spans="2:25" hidden="1" x14ac:dyDescent="0.2">
      <c r="B672" s="216" t="s">
        <v>10</v>
      </c>
      <c r="C672" s="217" t="s">
        <v>10</v>
      </c>
      <c r="D672" s="62" t="s">
        <v>10</v>
      </c>
      <c r="E672" s="61" t="s">
        <v>10</v>
      </c>
      <c r="F672" s="61" t="s">
        <v>10</v>
      </c>
      <c r="G672" s="62" t="s">
        <v>10</v>
      </c>
      <c r="H672" s="60" t="s">
        <v>10</v>
      </c>
      <c r="I672" s="62" t="s">
        <v>10</v>
      </c>
      <c r="J672" s="61" t="s">
        <v>10</v>
      </c>
      <c r="K672" s="68" t="s">
        <v>10</v>
      </c>
      <c r="L672" s="63" t="s">
        <v>10</v>
      </c>
      <c r="M672" s="61" t="s">
        <v>10</v>
      </c>
      <c r="N672" s="68" t="s">
        <v>10</v>
      </c>
      <c r="O672" s="52" t="s">
        <v>176</v>
      </c>
      <c r="P672" s="61" t="s">
        <v>10</v>
      </c>
      <c r="Q672" s="61" t="s">
        <v>10</v>
      </c>
      <c r="R672" s="61" t="s">
        <v>10</v>
      </c>
      <c r="S672" s="61" t="s">
        <v>10</v>
      </c>
      <c r="T672" s="61" t="s">
        <v>10</v>
      </c>
      <c r="U672" s="61" t="s">
        <v>10</v>
      </c>
      <c r="V672" s="61" t="s">
        <v>10</v>
      </c>
      <c r="W672" s="61" t="s">
        <v>10</v>
      </c>
      <c r="X672" s="69" t="s">
        <v>10</v>
      </c>
      <c r="Y672" s="1" t="s">
        <v>10</v>
      </c>
    </row>
    <row r="673" spans="2:25" hidden="1" x14ac:dyDescent="0.2">
      <c r="B673" s="216" t="s">
        <v>10</v>
      </c>
      <c r="C673" s="217" t="s">
        <v>10</v>
      </c>
      <c r="D673" s="62" t="s">
        <v>10</v>
      </c>
      <c r="E673" s="61" t="s">
        <v>10</v>
      </c>
      <c r="F673" s="61" t="s">
        <v>10</v>
      </c>
      <c r="G673" s="62" t="s">
        <v>10</v>
      </c>
      <c r="H673" s="60" t="s">
        <v>10</v>
      </c>
      <c r="I673" s="62" t="s">
        <v>10</v>
      </c>
      <c r="J673" s="61" t="s">
        <v>10</v>
      </c>
      <c r="K673" s="68" t="s">
        <v>10</v>
      </c>
      <c r="L673" s="63" t="s">
        <v>10</v>
      </c>
      <c r="M673" s="61" t="s">
        <v>10</v>
      </c>
      <c r="N673" s="68" t="s">
        <v>10</v>
      </c>
      <c r="O673" s="52" t="s">
        <v>176</v>
      </c>
      <c r="P673" s="61" t="s">
        <v>10</v>
      </c>
      <c r="Q673" s="61" t="s">
        <v>10</v>
      </c>
      <c r="R673" s="61" t="s">
        <v>10</v>
      </c>
      <c r="S673" s="61" t="s">
        <v>10</v>
      </c>
      <c r="T673" s="61" t="s">
        <v>10</v>
      </c>
      <c r="U673" s="61" t="s">
        <v>10</v>
      </c>
      <c r="V673" s="61" t="s">
        <v>10</v>
      </c>
      <c r="W673" s="61" t="s">
        <v>10</v>
      </c>
      <c r="X673" s="69" t="s">
        <v>10</v>
      </c>
      <c r="Y673" s="1" t="s">
        <v>10</v>
      </c>
    </row>
    <row r="674" spans="2:25" hidden="1" x14ac:dyDescent="0.2">
      <c r="B674" s="216">
        <v>182.2</v>
      </c>
      <c r="C674" s="217">
        <v>181</v>
      </c>
      <c r="D674" s="58" t="s">
        <v>10</v>
      </c>
      <c r="E674" s="61" t="e" vm="1">
        <f>IF(B674=0,cell_HGL,IF(VLOOKUP(B674,table_HGL_JCTS,17,FALSE)&lt;X674,X674,VLOOKUP(B674,table_HGL_JCTS,17,FALSE)))</f>
        <v>#VALUE!</v>
      </c>
      <c r="F674" s="61" t="e" vm="1">
        <f>IF(B674=0,(E674+K674),IF(VLOOKUP(B674,table_HGL_JCTS,13,FALSE)="T-INTERSECTION",(E674+K674),(IF(VLOOKUP(B674,table_HGL_JCTS,17,FALSE)&lt;X674,(E674+K674),VLOOKUP(B674,table_HGL_JCTS,18,FALSE)))))</f>
        <v>#VALUE!</v>
      </c>
      <c r="G674" s="62">
        <f>VLOOKUP(C674,table_CIA_JCTS,18)</f>
        <v>24</v>
      </c>
      <c r="H674" s="60">
        <f>VLOOKUP(C674,table_CIA_JCTS,17)</f>
        <v>5.0160977626963739</v>
      </c>
      <c r="I674" s="62">
        <f>VLOOKUP(C674,table_CIA_JCTS,21)</f>
        <v>1162</v>
      </c>
      <c r="J674" s="61">
        <f>H674/((G674/12)^2*3.1416/4)</f>
        <v>1.5966697742221714</v>
      </c>
      <c r="K674" s="61">
        <f>(J674^2)/64.4</f>
        <v>3.9586247948985707E-2</v>
      </c>
      <c r="L674" s="63">
        <f>(H674/((1.486/cell_NP)*((3.1416*(G674/12)^2)/4)*(G674/48)^(2/3)))^2</f>
        <v>4.916461257699384E-4</v>
      </c>
      <c r="M674" s="61">
        <f>L674*I674</f>
        <v>0.57129279814466838</v>
      </c>
      <c r="N674" s="68" t="s">
        <v>10</v>
      </c>
      <c r="O674" s="72" t="s">
        <v>131</v>
      </c>
      <c r="P674" s="61">
        <f>IF(ISBLANK(O674)=FALSE,(VLOOKUP(O674,table_MINOR,2,FALSE))*(K674)," ")</f>
        <v>9.8965619872464269E-3</v>
      </c>
      <c r="Q674" s="61">
        <f>SUM(P674:P676)</f>
        <v>1.9793123974492854E-2</v>
      </c>
      <c r="R674" s="61">
        <f>Q674+M674</f>
        <v>0.59108592211916122</v>
      </c>
      <c r="S674" s="61" t="e" vm="2">
        <f>IF(O674="T-INTERSECTION",T674,(T674-K674))</f>
        <v>#VALUE!</v>
      </c>
      <c r="T674" s="61" t="e" vm="2">
        <f>IF(O674="T-INTERSECTION",(R674+F674-K674),(R674+F674))</f>
        <v>#VALUE!</v>
      </c>
      <c r="U674" s="61">
        <f>VLOOKUP(C674,table_CIA_JCTS,26)</f>
        <v>388.5</v>
      </c>
      <c r="V674" s="61" t="e" vm="2">
        <f>U674-0.5-S674</f>
        <v>#VALUE!</v>
      </c>
      <c r="W674" s="61" t="s">
        <v>10</v>
      </c>
      <c r="X674" s="69" t="str">
        <f>IF(B674&gt;0,VLOOKUP(B674,table_CIA_JCTS,28)," ")</f>
        <v xml:space="preserve"> </v>
      </c>
      <c r="Y674" s="1">
        <v>3.6596311111493378</v>
      </c>
    </row>
    <row r="675" spans="2:25" hidden="1" x14ac:dyDescent="0.2">
      <c r="B675" s="216" t="s">
        <v>10</v>
      </c>
      <c r="C675" s="217" t="s">
        <v>10</v>
      </c>
      <c r="D675" s="62" t="s">
        <v>10</v>
      </c>
      <c r="E675" s="61" t="s">
        <v>10</v>
      </c>
      <c r="F675" s="61" t="s">
        <v>10</v>
      </c>
      <c r="G675" s="62" t="s">
        <v>10</v>
      </c>
      <c r="H675" s="60" t="s">
        <v>10</v>
      </c>
      <c r="I675" s="62" t="s">
        <v>10</v>
      </c>
      <c r="J675" s="61" t="s">
        <v>10</v>
      </c>
      <c r="K675" s="68">
        <f>K674</f>
        <v>3.9586247948985707E-2</v>
      </c>
      <c r="L675" s="63" t="s">
        <v>10</v>
      </c>
      <c r="M675" s="61" t="s">
        <v>10</v>
      </c>
      <c r="N675" s="68" t="s">
        <v>10</v>
      </c>
      <c r="O675" s="52" t="s">
        <v>131</v>
      </c>
      <c r="P675" s="61">
        <f>IF(ISBLANK(O675)=FALSE,(VLOOKUP(O675,table_MINOR,2,FALSE))*(K675)," ")</f>
        <v>9.8965619872464269E-3</v>
      </c>
      <c r="Q675" s="61" t="s">
        <v>10</v>
      </c>
      <c r="R675" s="61" t="s">
        <v>10</v>
      </c>
      <c r="S675" s="61" t="s">
        <v>10</v>
      </c>
      <c r="T675" s="61" t="s">
        <v>10</v>
      </c>
      <c r="U675" s="61" t="s">
        <v>10</v>
      </c>
      <c r="V675" s="61" t="s">
        <v>10</v>
      </c>
      <c r="W675" s="61" t="s">
        <v>10</v>
      </c>
      <c r="X675" s="69" t="s">
        <v>10</v>
      </c>
      <c r="Y675" s="1" t="s">
        <v>10</v>
      </c>
    </row>
    <row r="676" spans="2:25" hidden="1" x14ac:dyDescent="0.2">
      <c r="B676" s="216" t="s">
        <v>10</v>
      </c>
      <c r="C676" s="217" t="s">
        <v>10</v>
      </c>
      <c r="D676" s="62" t="s">
        <v>10</v>
      </c>
      <c r="E676" s="61" t="s">
        <v>10</v>
      </c>
      <c r="F676" s="61" t="s">
        <v>10</v>
      </c>
      <c r="G676" s="62" t="s">
        <v>10</v>
      </c>
      <c r="H676" s="60" t="s">
        <v>10</v>
      </c>
      <c r="I676" s="62" t="s">
        <v>10</v>
      </c>
      <c r="J676" s="61" t="s">
        <v>10</v>
      </c>
      <c r="K676" s="68">
        <f>K675</f>
        <v>3.9586247948985707E-2</v>
      </c>
      <c r="L676" s="63" t="s">
        <v>10</v>
      </c>
      <c r="M676" s="61" t="s">
        <v>10</v>
      </c>
      <c r="N676" s="68" t="s">
        <v>10</v>
      </c>
      <c r="O676" s="52" t="s">
        <v>10</v>
      </c>
      <c r="P676" s="257" t="s">
        <v>10</v>
      </c>
      <c r="Q676" s="61" t="s">
        <v>10</v>
      </c>
      <c r="R676" s="61" t="s">
        <v>10</v>
      </c>
      <c r="S676" s="61" t="s">
        <v>10</v>
      </c>
      <c r="T676" s="61" t="s">
        <v>10</v>
      </c>
      <c r="U676" s="61" t="s">
        <v>10</v>
      </c>
      <c r="V676" s="61" t="s">
        <v>10</v>
      </c>
      <c r="W676" s="61" t="s">
        <v>10</v>
      </c>
      <c r="X676" s="69" t="s">
        <v>10</v>
      </c>
      <c r="Y676" s="1" t="s">
        <v>10</v>
      </c>
    </row>
    <row r="677" spans="2:25" hidden="1" x14ac:dyDescent="0.2">
      <c r="B677" s="216" t="s">
        <v>10</v>
      </c>
      <c r="C677" s="217" t="s">
        <v>10</v>
      </c>
      <c r="D677" s="62" t="s">
        <v>10</v>
      </c>
      <c r="E677" s="61" t="s">
        <v>10</v>
      </c>
      <c r="F677" s="61" t="s">
        <v>10</v>
      </c>
      <c r="G677" s="62" t="s">
        <v>10</v>
      </c>
      <c r="H677" s="60" t="s">
        <v>10</v>
      </c>
      <c r="I677" s="62" t="s">
        <v>10</v>
      </c>
      <c r="J677" s="61" t="s">
        <v>10</v>
      </c>
      <c r="K677" s="68" t="s">
        <v>10</v>
      </c>
      <c r="L677" s="63" t="s">
        <v>10</v>
      </c>
      <c r="M677" s="61" t="s">
        <v>10</v>
      </c>
      <c r="N677" s="68" t="s">
        <v>10</v>
      </c>
      <c r="O677" s="52" t="s">
        <v>176</v>
      </c>
      <c r="P677" s="61" t="s">
        <v>10</v>
      </c>
      <c r="Q677" s="61" t="s">
        <v>10</v>
      </c>
      <c r="R677" s="61" t="s">
        <v>10</v>
      </c>
      <c r="S677" s="61" t="s">
        <v>10</v>
      </c>
      <c r="T677" s="61" t="s">
        <v>10</v>
      </c>
      <c r="U677" s="61" t="s">
        <v>10</v>
      </c>
      <c r="V677" s="61" t="s">
        <v>10</v>
      </c>
      <c r="W677" s="61" t="s">
        <v>10</v>
      </c>
      <c r="X677" s="69" t="s">
        <v>10</v>
      </c>
      <c r="Y677" s="1" t="s">
        <v>10</v>
      </c>
    </row>
    <row r="678" spans="2:25" hidden="1" x14ac:dyDescent="0.2">
      <c r="B678" s="216">
        <v>180.2</v>
      </c>
      <c r="C678" s="217">
        <v>179</v>
      </c>
      <c r="D678" s="58" t="s">
        <v>10</v>
      </c>
      <c r="E678" s="61" t="e" vm="1">
        <f>IF(B678=0,cell_HGL,IF(VLOOKUP(B678,table_HGL_JCTS,17,FALSE)&lt;X678,X678,VLOOKUP(B678,table_HGL_JCTS,17,FALSE)))</f>
        <v>#VALUE!</v>
      </c>
      <c r="F678" s="61" t="e" vm="1">
        <f>IF(B678=0,(E678+K678),IF(VLOOKUP(B678,table_HGL_JCTS,13,FALSE)="T-INTERSECTION",(E678+K678),(IF(VLOOKUP(B678,table_HGL_JCTS,17,FALSE)&lt;X678,(E678+K678),VLOOKUP(B678,table_HGL_JCTS,18,FALSE)))))</f>
        <v>#VALUE!</v>
      </c>
      <c r="G678" s="62">
        <f>VLOOKUP(C678,table_CIA_JCTS,18)</f>
        <v>24</v>
      </c>
      <c r="H678" s="60">
        <f>VLOOKUP(C678,table_CIA_JCTS,17)</f>
        <v>6.5662721246581235</v>
      </c>
      <c r="I678" s="62">
        <f>VLOOKUP(C678,table_CIA_JCTS,21)</f>
        <v>245</v>
      </c>
      <c r="J678" s="61">
        <f>H678/((G678/12)^2*3.1416/4)</f>
        <v>2.0901044450783433</v>
      </c>
      <c r="K678" s="61">
        <f>(J678^2)/64.4</f>
        <v>6.7834419120128081E-2</v>
      </c>
      <c r="L678" s="63">
        <f>(H678/((1.486/cell_NP)*((3.1416*(G678/12)^2)/4)*(G678/48)^(2/3)))^2</f>
        <v>8.424776553020031E-4</v>
      </c>
      <c r="M678" s="61">
        <f>L678*I678</f>
        <v>0.20640702554899076</v>
      </c>
      <c r="N678" s="68" t="s">
        <v>10</v>
      </c>
      <c r="O678" s="52" t="s">
        <v>10</v>
      </c>
      <c r="P678" s="257" t="s">
        <v>10</v>
      </c>
      <c r="Q678" s="61">
        <f>SUM(P678)</f>
        <v>0</v>
      </c>
      <c r="R678" s="61">
        <f>Q678+M678</f>
        <v>0.20640702554899076</v>
      </c>
      <c r="S678" s="61" t="e" vm="2">
        <f>IF(O678="T-INTERSECTION",T678,(T678-K678))</f>
        <v>#VALUE!</v>
      </c>
      <c r="T678" s="61" t="e" vm="2">
        <f>IF(O678="T-INTERSECTION",(R678+F678-K678),(R678+F678))</f>
        <v>#VALUE!</v>
      </c>
      <c r="U678" s="61">
        <f>VLOOKUP(C678,table_CIA_JCTS,26)</f>
        <v>390.5</v>
      </c>
      <c r="V678" s="61" t="e" vm="2">
        <f>U678-0.5-S678</f>
        <v>#VALUE!</v>
      </c>
      <c r="W678" s="61" t="s">
        <v>10</v>
      </c>
      <c r="X678" s="69" t="str">
        <f>IF(B678&gt;0,VLOOKUP(B678,table_CIA_JCTS,28)," ")</f>
        <v xml:space="preserve"> </v>
      </c>
      <c r="Y678" s="1">
        <v>5.1640846218800789</v>
      </c>
    </row>
    <row r="679" spans="2:25" hidden="1" x14ac:dyDescent="0.2">
      <c r="B679" s="216" t="s">
        <v>10</v>
      </c>
      <c r="C679" s="217" t="s">
        <v>10</v>
      </c>
      <c r="D679" s="62" t="s">
        <v>10</v>
      </c>
      <c r="E679" s="61" t="s">
        <v>10</v>
      </c>
      <c r="F679" s="61" t="s">
        <v>10</v>
      </c>
      <c r="G679" s="62" t="s">
        <v>10</v>
      </c>
      <c r="H679" s="60" t="s">
        <v>10</v>
      </c>
      <c r="I679" s="62" t="s">
        <v>10</v>
      </c>
      <c r="J679" s="61" t="s">
        <v>10</v>
      </c>
      <c r="K679" s="68" t="s">
        <v>10</v>
      </c>
      <c r="L679" s="63" t="s">
        <v>10</v>
      </c>
      <c r="M679" s="61" t="s">
        <v>10</v>
      </c>
      <c r="N679" s="68" t="s">
        <v>10</v>
      </c>
      <c r="O679" s="52" t="s">
        <v>176</v>
      </c>
      <c r="P679" s="61" t="s">
        <v>10</v>
      </c>
      <c r="Q679" s="61" t="s">
        <v>10</v>
      </c>
      <c r="R679" s="61" t="s">
        <v>10</v>
      </c>
      <c r="S679" s="61" t="s">
        <v>10</v>
      </c>
      <c r="T679" s="61" t="s">
        <v>10</v>
      </c>
      <c r="U679" s="61" t="s">
        <v>10</v>
      </c>
      <c r="V679" s="61" t="s">
        <v>10</v>
      </c>
      <c r="W679" s="61" t="s">
        <v>10</v>
      </c>
      <c r="X679" s="69" t="s">
        <v>10</v>
      </c>
      <c r="Y679" s="1" t="s">
        <v>10</v>
      </c>
    </row>
    <row r="680" spans="2:25" hidden="1" x14ac:dyDescent="0.2">
      <c r="B680" s="216" t="s">
        <v>10</v>
      </c>
      <c r="C680" s="217" t="s">
        <v>10</v>
      </c>
      <c r="D680" s="62" t="s">
        <v>10</v>
      </c>
      <c r="E680" s="61" t="s">
        <v>10</v>
      </c>
      <c r="F680" s="61" t="s">
        <v>10</v>
      </c>
      <c r="G680" s="62" t="s">
        <v>10</v>
      </c>
      <c r="H680" s="60" t="s">
        <v>10</v>
      </c>
      <c r="I680" s="62" t="s">
        <v>10</v>
      </c>
      <c r="J680" s="61" t="s">
        <v>10</v>
      </c>
      <c r="K680" s="68" t="s">
        <v>10</v>
      </c>
      <c r="L680" s="63" t="s">
        <v>10</v>
      </c>
      <c r="M680" s="61" t="s">
        <v>10</v>
      </c>
      <c r="N680" s="68" t="s">
        <v>10</v>
      </c>
      <c r="O680" s="52" t="s">
        <v>176</v>
      </c>
      <c r="P680" s="61" t="s">
        <v>10</v>
      </c>
      <c r="Q680" s="61" t="s">
        <v>10</v>
      </c>
      <c r="R680" s="61" t="s">
        <v>10</v>
      </c>
      <c r="S680" s="61" t="s">
        <v>10</v>
      </c>
      <c r="T680" s="61" t="s">
        <v>10</v>
      </c>
      <c r="U680" s="61" t="s">
        <v>10</v>
      </c>
      <c r="V680" s="61" t="s">
        <v>10</v>
      </c>
      <c r="W680" s="61" t="s">
        <v>10</v>
      </c>
      <c r="X680" s="69" t="s">
        <v>10</v>
      </c>
      <c r="Y680" s="1" t="s">
        <v>10</v>
      </c>
    </row>
    <row r="681" spans="2:25" hidden="1" x14ac:dyDescent="0.2">
      <c r="B681" s="216">
        <v>0</v>
      </c>
      <c r="C681" s="217">
        <v>185</v>
      </c>
      <c r="D681" s="58" t="s">
        <v>10</v>
      </c>
      <c r="E681" s="61">
        <f>IF(B681=0,cell_HGL,IF(VLOOKUP(B681,table_HGL_JCTS,17,FALSE)&lt;X681,X681,VLOOKUP(B681,table_HGL_JCTS,17,FALSE)))</f>
        <v>382.27</v>
      </c>
      <c r="F681" s="61">
        <f>IF(B681=0,(E681+K681),IF(VLOOKUP(B681,table_HGL_JCTS,13,FALSE)="T-INTERSECTION",(E681+K681),(IF(VLOOKUP(B681,table_HGL_JCTS,17,FALSE)&lt;X681,(E681+K681),VLOOKUP(B681,table_HGL_JCTS,18,FALSE)))))</f>
        <v>382.27086239729965</v>
      </c>
      <c r="G681" s="62">
        <f>VLOOKUP(C681,table_CIA_JCTS,18)</f>
        <v>18</v>
      </c>
      <c r="H681" s="60">
        <f>VLOOKUP(C681,table_CIA_JCTS,17)</f>
        <v>0.41645688149574212</v>
      </c>
      <c r="I681" s="62">
        <f>VLOOKUP(C681,table_CIA_JCTS,21)</f>
        <v>200</v>
      </c>
      <c r="J681" s="61">
        <f>H681/((G681/12)^2*3.1416/4)</f>
        <v>0.23566583566519092</v>
      </c>
      <c r="K681" s="61">
        <f>(J681^2)/64.4</f>
        <v>8.6239729968591258E-4</v>
      </c>
      <c r="L681" s="63">
        <f>(H681/((1.486/cell_NP)*((3.1416*(G681/12)^2)/4)*(G681/48)^(2/3)))^2</f>
        <v>1.5718121836518634E-5</v>
      </c>
      <c r="M681" s="61">
        <f>L681*I681</f>
        <v>3.1436243673037267E-3</v>
      </c>
      <c r="N681" s="68" t="s">
        <v>10</v>
      </c>
      <c r="O681" s="72" t="s">
        <v>128</v>
      </c>
      <c r="P681" s="61">
        <f>IF(ISBLANK(O681)=FALSE,(VLOOKUP(O681,table_MINOR,2,FALSE))*(K681)," ")</f>
        <v>8.6239729968591258E-4</v>
      </c>
      <c r="Q681" s="61">
        <f>SUM(P681:P682)</f>
        <v>8.6239729968591258E-4</v>
      </c>
      <c r="R681" s="61">
        <f>Q681+M681</f>
        <v>4.0060216669896391E-3</v>
      </c>
      <c r="S681" s="61">
        <f>IF(O681="T-INTERSECTION",T681,(T681-K681))</f>
        <v>382.27400602166699</v>
      </c>
      <c r="T681" s="61">
        <f>IF(O681="T-INTERSECTION",(R681+F681-K681),(R681+F681))</f>
        <v>382.27486841896666</v>
      </c>
      <c r="U681" s="61">
        <f>VLOOKUP(C681,table_CIA_JCTS,26)</f>
        <v>390</v>
      </c>
      <c r="V681" s="61">
        <f>U681-0.5-S681</f>
        <v>7.2259939783330083</v>
      </c>
      <c r="W681" s="61" t="s">
        <v>10</v>
      </c>
      <c r="X681" s="69" t="str">
        <f>IF(B681&gt;0,VLOOKUP(B681,table_CIA_JCTS,28)," ")</f>
        <v xml:space="preserve"> </v>
      </c>
      <c r="Y681" s="1">
        <v>7.2259939783330083</v>
      </c>
    </row>
    <row r="682" spans="2:25" hidden="1" x14ac:dyDescent="0.2">
      <c r="B682" s="216" t="s">
        <v>10</v>
      </c>
      <c r="C682" s="217" t="s">
        <v>10</v>
      </c>
      <c r="D682" s="62" t="s">
        <v>10</v>
      </c>
      <c r="E682" s="61" t="s">
        <v>10</v>
      </c>
      <c r="F682" s="61" t="s">
        <v>10</v>
      </c>
      <c r="G682" s="62" t="s">
        <v>10</v>
      </c>
      <c r="H682" s="60" t="s">
        <v>10</v>
      </c>
      <c r="I682" s="62" t="s">
        <v>10</v>
      </c>
      <c r="J682" s="61" t="s">
        <v>10</v>
      </c>
      <c r="K682" s="68">
        <f>K681</f>
        <v>8.6239729968591258E-4</v>
      </c>
      <c r="L682" s="63" t="s">
        <v>10</v>
      </c>
      <c r="M682" s="61" t="s">
        <v>10</v>
      </c>
      <c r="N682" s="68" t="s">
        <v>10</v>
      </c>
      <c r="O682" s="52" t="s">
        <v>10</v>
      </c>
      <c r="P682" s="257" t="s">
        <v>10</v>
      </c>
      <c r="Q682" s="61" t="s">
        <v>10</v>
      </c>
      <c r="R682" s="61" t="s">
        <v>10</v>
      </c>
      <c r="S682" s="61" t="s">
        <v>10</v>
      </c>
      <c r="T682" s="61" t="s">
        <v>10</v>
      </c>
      <c r="U682" s="61" t="s">
        <v>10</v>
      </c>
      <c r="V682" s="61" t="s">
        <v>10</v>
      </c>
      <c r="W682" s="61" t="s">
        <v>10</v>
      </c>
      <c r="X682" s="69" t="s">
        <v>10</v>
      </c>
      <c r="Y682" s="1" t="s">
        <v>10</v>
      </c>
    </row>
    <row r="683" spans="2:25" hidden="1" x14ac:dyDescent="0.2">
      <c r="B683" s="216" t="s">
        <v>10</v>
      </c>
      <c r="C683" s="217" t="s">
        <v>10</v>
      </c>
      <c r="D683" s="62" t="s">
        <v>10</v>
      </c>
      <c r="E683" s="61" t="s">
        <v>10</v>
      </c>
      <c r="F683" s="61" t="s">
        <v>10</v>
      </c>
      <c r="G683" s="62" t="s">
        <v>10</v>
      </c>
      <c r="H683" s="60" t="s">
        <v>10</v>
      </c>
      <c r="I683" s="62" t="s">
        <v>10</v>
      </c>
      <c r="J683" s="61" t="s">
        <v>10</v>
      </c>
      <c r="K683" s="68" t="s">
        <v>10</v>
      </c>
      <c r="L683" s="63" t="s">
        <v>10</v>
      </c>
      <c r="M683" s="61" t="s">
        <v>10</v>
      </c>
      <c r="N683" s="68" t="s">
        <v>10</v>
      </c>
      <c r="O683" s="52" t="s">
        <v>176</v>
      </c>
      <c r="P683" s="61" t="s">
        <v>10</v>
      </c>
      <c r="Q683" s="61" t="s">
        <v>10</v>
      </c>
      <c r="R683" s="61" t="s">
        <v>10</v>
      </c>
      <c r="S683" s="61" t="s">
        <v>10</v>
      </c>
      <c r="T683" s="61" t="s">
        <v>10</v>
      </c>
      <c r="U683" s="61" t="s">
        <v>10</v>
      </c>
      <c r="V683" s="61" t="s">
        <v>10</v>
      </c>
      <c r="W683" s="61" t="s">
        <v>10</v>
      </c>
      <c r="X683" s="69" t="s">
        <v>10</v>
      </c>
      <c r="Y683" s="1" t="s">
        <v>10</v>
      </c>
    </row>
    <row r="684" spans="2:25" hidden="1" x14ac:dyDescent="0.2">
      <c r="B684" s="216">
        <v>0</v>
      </c>
      <c r="C684" s="217">
        <v>186</v>
      </c>
      <c r="D684" s="58" t="s">
        <v>10</v>
      </c>
      <c r="E684" s="61">
        <f>IF(B684=0,cell_HGL,IF(VLOOKUP(B684,table_HGL_JCTS,17,FALSE)&lt;X684,X684,VLOOKUP(B684,table_HGL_JCTS,17,FALSE)))</f>
        <v>382.27</v>
      </c>
      <c r="F684" s="61">
        <f>IF(B684=0,(E684+K684),IF(VLOOKUP(B684,table_HGL_JCTS,13,FALSE)="T-INTERSECTION",(E684+K684),(IF(VLOOKUP(B684,table_HGL_JCTS,17,FALSE)&lt;X684,(E684+K684),VLOOKUP(B684,table_HGL_JCTS,18,FALSE)))))</f>
        <v>382.27188638141058</v>
      </c>
      <c r="G684" s="62">
        <f>VLOOKUP(C684,table_CIA_JCTS,18)</f>
        <v>8</v>
      </c>
      <c r="H684" s="60">
        <f>VLOOKUP(C684,table_CIA_JCTS,17)</f>
        <v>0.12166511375169345</v>
      </c>
      <c r="I684" s="62">
        <f>VLOOKUP(C684,table_CIA_JCTS,21)</f>
        <v>133</v>
      </c>
      <c r="J684" s="61">
        <f>H684/((G684/12)^2*3.1416/4)</f>
        <v>0.34854406154992396</v>
      </c>
      <c r="K684" s="61">
        <f>(J684^2)/64.4</f>
        <v>1.8863814105856704E-3</v>
      </c>
      <c r="L684" s="63">
        <f>(H684/((1.486/cell_NP)*((3.1416*(G684/12)^2)/4)*(G684/48)^(2/3)))^2</f>
        <v>1.0136766943077386E-4</v>
      </c>
      <c r="M684" s="61">
        <f>L684*I684</f>
        <v>1.3481900034292922E-2</v>
      </c>
      <c r="N684" s="68" t="s">
        <v>10</v>
      </c>
      <c r="O684" s="72" t="s">
        <v>128</v>
      </c>
      <c r="P684" s="61">
        <f>IF(ISBLANK(O684)=FALSE,(VLOOKUP(O684,table_MINOR,2,FALSE))*(K684)," ")</f>
        <v>1.8863814105856704E-3</v>
      </c>
      <c r="Q684" s="61">
        <f>SUM(P684:P685)</f>
        <v>1.8863814105856704E-3</v>
      </c>
      <c r="R684" s="61">
        <f>Q684+M684</f>
        <v>1.5368281444878593E-2</v>
      </c>
      <c r="S684" s="61">
        <f>IF(O684="T-INTERSECTION",T684,(T684-K684))</f>
        <v>382.28536828144485</v>
      </c>
      <c r="T684" s="61">
        <f>IF(O684="T-INTERSECTION",(R684+F684-K684),(R684+F684))</f>
        <v>382.28725466285545</v>
      </c>
      <c r="U684" s="61">
        <f>VLOOKUP(C684,table_CIA_JCTS,26)</f>
        <v>388.94</v>
      </c>
      <c r="V684" s="61">
        <f>U684-0.5-S684</f>
        <v>6.1546317185551516</v>
      </c>
      <c r="W684" s="61" t="s">
        <v>10</v>
      </c>
      <c r="X684" s="69" t="str">
        <f>IF(B684&gt;0,VLOOKUP(B684,table_CIA_JCTS,28)," ")</f>
        <v xml:space="preserve"> </v>
      </c>
      <c r="Y684" s="1">
        <v>6.1546317185551516</v>
      </c>
    </row>
    <row r="685" spans="2:25" hidden="1" x14ac:dyDescent="0.2">
      <c r="B685" s="216" t="s">
        <v>10</v>
      </c>
      <c r="C685" s="217" t="s">
        <v>10</v>
      </c>
      <c r="D685" s="62" t="s">
        <v>10</v>
      </c>
      <c r="E685" s="61" t="s">
        <v>10</v>
      </c>
      <c r="F685" s="61" t="s">
        <v>10</v>
      </c>
      <c r="G685" s="62" t="s">
        <v>10</v>
      </c>
      <c r="H685" s="60" t="s">
        <v>10</v>
      </c>
      <c r="I685" s="62" t="s">
        <v>10</v>
      </c>
      <c r="J685" s="61" t="s">
        <v>10</v>
      </c>
      <c r="K685" s="68">
        <f>K684</f>
        <v>1.8863814105856704E-3</v>
      </c>
      <c r="L685" s="63" t="s">
        <v>10</v>
      </c>
      <c r="M685" s="61" t="s">
        <v>10</v>
      </c>
      <c r="N685" s="68" t="s">
        <v>10</v>
      </c>
      <c r="O685" s="52" t="s">
        <v>10</v>
      </c>
      <c r="P685" s="257" t="s">
        <v>10</v>
      </c>
      <c r="Q685" s="61" t="s">
        <v>10</v>
      </c>
      <c r="R685" s="61" t="s">
        <v>10</v>
      </c>
      <c r="S685" s="61" t="s">
        <v>10</v>
      </c>
      <c r="T685" s="61" t="s">
        <v>10</v>
      </c>
      <c r="U685" s="61" t="s">
        <v>10</v>
      </c>
      <c r="V685" s="61" t="s">
        <v>10</v>
      </c>
      <c r="W685" s="61" t="s">
        <v>10</v>
      </c>
      <c r="X685" s="69" t="s">
        <v>10</v>
      </c>
      <c r="Y685" s="1" t="s">
        <v>10</v>
      </c>
    </row>
    <row r="686" spans="2:25" hidden="1" x14ac:dyDescent="0.2">
      <c r="B686" s="216" t="s">
        <v>10</v>
      </c>
      <c r="C686" s="217" t="s">
        <v>10</v>
      </c>
      <c r="D686" s="62" t="s">
        <v>10</v>
      </c>
      <c r="E686" s="61" t="s">
        <v>10</v>
      </c>
      <c r="F686" s="61" t="s">
        <v>10</v>
      </c>
      <c r="G686" s="62" t="s">
        <v>10</v>
      </c>
      <c r="H686" s="60" t="s">
        <v>10</v>
      </c>
      <c r="I686" s="62" t="s">
        <v>10</v>
      </c>
      <c r="J686" s="61" t="s">
        <v>10</v>
      </c>
      <c r="K686" s="68" t="s">
        <v>10</v>
      </c>
      <c r="L686" s="63" t="s">
        <v>10</v>
      </c>
      <c r="M686" s="61" t="s">
        <v>10</v>
      </c>
      <c r="N686" s="68" t="s">
        <v>10</v>
      </c>
      <c r="O686" s="52" t="s">
        <v>176</v>
      </c>
      <c r="P686" s="61" t="s">
        <v>10</v>
      </c>
      <c r="Q686" s="61" t="s">
        <v>10</v>
      </c>
      <c r="R686" s="61" t="s">
        <v>10</v>
      </c>
      <c r="S686" s="61" t="s">
        <v>10</v>
      </c>
      <c r="T686" s="61" t="s">
        <v>10</v>
      </c>
      <c r="U686" s="61" t="s">
        <v>10</v>
      </c>
      <c r="V686" s="61" t="s">
        <v>10</v>
      </c>
      <c r="W686" s="61" t="s">
        <v>10</v>
      </c>
      <c r="X686" s="69" t="s">
        <v>10</v>
      </c>
      <c r="Y686" s="1" t="s">
        <v>10</v>
      </c>
    </row>
    <row r="687" spans="2:25" hidden="1" x14ac:dyDescent="0.2">
      <c r="B687" s="216">
        <v>0</v>
      </c>
      <c r="C687" s="217">
        <v>187</v>
      </c>
      <c r="D687" s="58" t="s">
        <v>10</v>
      </c>
      <c r="E687" s="61">
        <f>IF(B687=0,cell_HGL,IF(VLOOKUP(B687,table_HGL_JCTS,17,FALSE)&lt;X687,X687,VLOOKUP(B687,table_HGL_JCTS,17,FALSE)))</f>
        <v>382.27</v>
      </c>
      <c r="F687" s="61">
        <f>IF(B687=0,(E687+K687),IF(VLOOKUP(B687,table_HGL_JCTS,13,FALSE)="T-INTERSECTION",(E687+K687),(IF(VLOOKUP(B687,table_HGL_JCTS,17,FALSE)&lt;X687,(E687+K687),VLOOKUP(B687,table_HGL_JCTS,18,FALSE)))))</f>
        <v>382.27081675823615</v>
      </c>
      <c r="G687" s="62">
        <f>VLOOKUP(C687,table_CIA_JCTS,18)</f>
        <v>8</v>
      </c>
      <c r="H687" s="60">
        <f>VLOOKUP(C687,table_CIA_JCTS,17)</f>
        <v>8.0056771821623685E-2</v>
      </c>
      <c r="I687" s="62">
        <f>VLOOKUP(C687,table_CIA_JCTS,21)</f>
        <v>185</v>
      </c>
      <c r="J687" s="61">
        <f>H687/((G687/12)^2*3.1416/4)</f>
        <v>0.22934522103215343</v>
      </c>
      <c r="K687" s="61">
        <f>(J687^2)/64.4</f>
        <v>8.1675823618458556E-4</v>
      </c>
      <c r="L687" s="63">
        <f>(H687/((1.486/cell_NP)*((3.1416*(G687/12)^2)/4)*(G687/48)^(2/3)))^2</f>
        <v>4.3889787306966745E-5</v>
      </c>
      <c r="M687" s="61">
        <f>L687*I687</f>
        <v>8.1196106517888479E-3</v>
      </c>
      <c r="N687" s="68" t="s">
        <v>10</v>
      </c>
      <c r="O687" s="52" t="s">
        <v>10</v>
      </c>
      <c r="P687" s="257" t="s">
        <v>10</v>
      </c>
      <c r="Q687" s="61">
        <f>SUM(P687)</f>
        <v>0</v>
      </c>
      <c r="R687" s="61">
        <f>Q687+M687</f>
        <v>8.1196106517888479E-3</v>
      </c>
      <c r="S687" s="61">
        <f>IF(O687="T-INTERSECTION",T687,(T687-K687))</f>
        <v>382.27811961065174</v>
      </c>
      <c r="T687" s="61">
        <f>IF(O687="T-INTERSECTION",(R687+F687-K687),(R687+F687))</f>
        <v>382.27893636888791</v>
      </c>
      <c r="U687" s="61">
        <f>VLOOKUP(C687,table_CIA_JCTS,26)</f>
        <v>389.4</v>
      </c>
      <c r="V687" s="61">
        <f>U687-0.5-S687</f>
        <v>6.6218803893482345</v>
      </c>
      <c r="W687" s="61" t="s">
        <v>10</v>
      </c>
      <c r="X687" s="69" t="str">
        <f>IF(B687&gt;0,VLOOKUP(B687,table_CIA_JCTS,28)," ")</f>
        <v xml:space="preserve"> </v>
      </c>
      <c r="Y687" s="1">
        <v>6.6218803893482345</v>
      </c>
    </row>
    <row r="688" spans="2:25" hidden="1" x14ac:dyDescent="0.2">
      <c r="B688" s="216" t="s">
        <v>10</v>
      </c>
      <c r="C688" s="217" t="s">
        <v>10</v>
      </c>
      <c r="D688" s="62" t="s">
        <v>10</v>
      </c>
      <c r="E688" s="61" t="s">
        <v>10</v>
      </c>
      <c r="F688" s="61" t="s">
        <v>10</v>
      </c>
      <c r="G688" s="62" t="s">
        <v>10</v>
      </c>
      <c r="H688" s="60" t="s">
        <v>10</v>
      </c>
      <c r="I688" s="62" t="s">
        <v>10</v>
      </c>
      <c r="J688" s="61" t="s">
        <v>10</v>
      </c>
      <c r="K688" s="68" t="s">
        <v>10</v>
      </c>
      <c r="L688" s="63" t="s">
        <v>10</v>
      </c>
      <c r="M688" s="61" t="s">
        <v>10</v>
      </c>
      <c r="N688" s="68" t="s">
        <v>10</v>
      </c>
      <c r="O688" s="52" t="s">
        <v>176</v>
      </c>
      <c r="P688" s="61" t="s">
        <v>10</v>
      </c>
      <c r="Q688" s="61" t="s">
        <v>10</v>
      </c>
      <c r="R688" s="61" t="s">
        <v>10</v>
      </c>
      <c r="S688" s="61" t="s">
        <v>10</v>
      </c>
      <c r="T688" s="61" t="s">
        <v>10</v>
      </c>
      <c r="U688" s="61" t="s">
        <v>10</v>
      </c>
      <c r="V688" s="61" t="s">
        <v>10</v>
      </c>
      <c r="W688" s="61" t="s">
        <v>10</v>
      </c>
      <c r="X688" s="69" t="s">
        <v>10</v>
      </c>
      <c r="Y688" s="1" t="s">
        <v>10</v>
      </c>
    </row>
    <row r="689" spans="2:25" x14ac:dyDescent="0.2">
      <c r="B689" s="216"/>
      <c r="C689" s="217"/>
      <c r="D689" s="58"/>
      <c r="E689" s="61"/>
      <c r="F689" s="61"/>
      <c r="G689" s="62"/>
      <c r="H689" s="60"/>
      <c r="I689" s="62"/>
      <c r="J689" s="61"/>
      <c r="K689" s="61"/>
      <c r="L689" s="63"/>
      <c r="M689" s="61"/>
      <c r="N689" s="68"/>
      <c r="O689" s="72"/>
      <c r="P689" s="61"/>
      <c r="Q689" s="61"/>
      <c r="R689" s="61"/>
      <c r="S689" s="61"/>
      <c r="T689" s="61"/>
      <c r="U689" s="61"/>
      <c r="V689" s="61"/>
      <c r="W689" s="61"/>
      <c r="X689" s="69"/>
      <c r="Y689" s="1"/>
    </row>
    <row r="690" spans="2:25" x14ac:dyDescent="0.2">
      <c r="B690" s="216"/>
      <c r="C690" s="217"/>
      <c r="D690" s="62"/>
      <c r="E690" s="61"/>
      <c r="F690" s="61"/>
      <c r="G690" s="62"/>
      <c r="H690" s="60"/>
      <c r="I690" s="62"/>
      <c r="J690" s="61"/>
      <c r="K690" s="68"/>
      <c r="L690" s="63"/>
      <c r="M690" s="61"/>
      <c r="N690" s="68"/>
      <c r="O690" s="52"/>
      <c r="P690" s="257"/>
      <c r="Q690" s="61"/>
      <c r="R690" s="61"/>
      <c r="S690" s="61"/>
      <c r="T690" s="61"/>
      <c r="U690" s="61"/>
      <c r="V690" s="61"/>
      <c r="W690" s="61"/>
      <c r="X690" s="69"/>
      <c r="Y690" s="1"/>
    </row>
  </sheetData>
  <mergeCells count="1">
    <mergeCell ref="U4:V4"/>
  </mergeCells>
  <phoneticPr fontId="0" type="noConversion"/>
  <conditionalFormatting sqref="U1:V10 U199:V201 U206:V221 U16:V23 U26:V196 U496:V498 U505:V513 U501:V502 U710:V1048576 U518:V690 U310:V491 U228:V307">
    <cfRule type="cellIs" dxfId="7" priority="13" stopIfTrue="1" operator="between">
      <formula>-0.0000001</formula>
      <formula>-100</formula>
    </cfRule>
    <cfRule type="cellIs" dxfId="6" priority="14" stopIfTrue="1" operator="between">
      <formula>0.0000001</formula>
      <formula>$X$4</formula>
    </cfRule>
  </conditionalFormatting>
  <conditionalFormatting sqref="J1:J5 J199:J201 J206:J221 J16:J23 J26:J196 J7:J10 J496:J498 J505:J513 J501:J502 J710:J1048576 J518:J690 J310:J491 J228:J307">
    <cfRule type="cellIs" dxfId="5" priority="15" stopIfTrue="1" operator="between">
      <formula>0.0001</formula>
      <formula>$T$3</formula>
    </cfRule>
    <cfRule type="cellIs" dxfId="4" priority="16" stopIfTrue="1" operator="between">
      <formula>$T$4</formula>
      <formula>20</formula>
    </cfRule>
  </conditionalFormatting>
  <conditionalFormatting sqref="U13:V15">
    <cfRule type="cellIs" dxfId="3" priority="1" stopIfTrue="1" operator="between">
      <formula>-0.0000001</formula>
      <formula>-100</formula>
    </cfRule>
    <cfRule type="cellIs" dxfId="2" priority="2" stopIfTrue="1" operator="between">
      <formula>0.0000001</formula>
      <formula>$X$4</formula>
    </cfRule>
  </conditionalFormatting>
  <conditionalFormatting sqref="J13:J15">
    <cfRule type="cellIs" dxfId="1" priority="3" stopIfTrue="1" operator="between">
      <formula>0.0001</formula>
      <formula>$T$3</formula>
    </cfRule>
    <cfRule type="cellIs" dxfId="0" priority="4" stopIfTrue="1" operator="between">
      <formula>$T$4</formula>
      <formula>20</formula>
    </cfRule>
  </conditionalFormatting>
  <pageMargins left="0.5" right="0" top="0.5" bottom="0.75" header="0.5" footer="0.5"/>
  <pageSetup paperSize="5" scale="47" orientation="landscape" horizontalDpi="4294967292" r:id="rId1"/>
  <headerFooter alignWithMargins="0">
    <oddFooter>&amp;L&amp;F&amp;RPAGE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D23:L24"/>
  <sheetViews>
    <sheetView showGridLines="0" zoomScale="75" workbookViewId="0"/>
  </sheetViews>
  <sheetFormatPr defaultColWidth="8.88671875" defaultRowHeight="15" x14ac:dyDescent="0.2"/>
  <cols>
    <col min="1" max="16384" width="8.88671875" style="50"/>
  </cols>
  <sheetData>
    <row r="23" spans="4:12" x14ac:dyDescent="0.2">
      <c r="D23" s="21"/>
      <c r="E23" s="21"/>
      <c r="F23" s="21"/>
      <c r="G23" s="21"/>
      <c r="H23" s="21"/>
      <c r="I23" s="21"/>
      <c r="J23" s="21"/>
      <c r="K23" s="21"/>
      <c r="L23" s="21"/>
    </row>
    <row r="24" spans="4:12" x14ac:dyDescent="0.2">
      <c r="D24" s="21"/>
      <c r="E24" s="21"/>
      <c r="F24" s="21"/>
      <c r="G24" s="21"/>
      <c r="H24" s="21"/>
      <c r="I24" s="21"/>
      <c r="J24" s="21"/>
      <c r="K24" s="21"/>
      <c r="L24" s="21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B2:P92"/>
  <sheetViews>
    <sheetView showGridLines="0" showRowColHeaders="0" zoomScale="75" workbookViewId="0">
      <selection activeCell="I58" sqref="I58"/>
    </sheetView>
  </sheetViews>
  <sheetFormatPr defaultRowHeight="15" x14ac:dyDescent="0.2"/>
  <cols>
    <col min="1" max="1" width="6.21875" customWidth="1"/>
    <col min="2" max="2" width="4.21875" customWidth="1"/>
    <col min="3" max="3" width="14.77734375" customWidth="1"/>
    <col min="4" max="4" width="16.5546875" customWidth="1"/>
    <col min="5" max="5" width="11.77734375" customWidth="1"/>
    <col min="6" max="6" width="2.21875" customWidth="1"/>
    <col min="10" max="10" width="8.77734375" customWidth="1"/>
    <col min="11" max="11" width="8.109375" customWidth="1"/>
    <col min="12" max="12" width="9.109375" customWidth="1"/>
    <col min="14" max="14" width="17.109375" customWidth="1"/>
  </cols>
  <sheetData>
    <row r="2" spans="2:16" ht="20.25" x14ac:dyDescent="0.3">
      <c r="B2" s="114" t="s">
        <v>132</v>
      </c>
      <c r="C2" s="4"/>
    </row>
    <row r="3" spans="2:16" ht="20.25" x14ac:dyDescent="0.3">
      <c r="C3" s="36" t="s">
        <v>140</v>
      </c>
      <c r="D3" s="36" t="s">
        <v>137</v>
      </c>
      <c r="E3" s="36" t="s">
        <v>133</v>
      </c>
      <c r="F3" s="36"/>
      <c r="G3" s="6" t="s">
        <v>134</v>
      </c>
      <c r="M3" s="114" t="s">
        <v>142</v>
      </c>
    </row>
    <row r="4" spans="2:16" x14ac:dyDescent="0.2">
      <c r="D4" s="35"/>
      <c r="F4" s="35"/>
    </row>
    <row r="5" spans="2:16" x14ac:dyDescent="0.2">
      <c r="C5" t="s">
        <v>135</v>
      </c>
      <c r="D5" s="99"/>
      <c r="F5" s="35"/>
      <c r="N5" s="15" t="s">
        <v>8</v>
      </c>
    </row>
    <row r="6" spans="2:16" ht="15.75" x14ac:dyDescent="0.25">
      <c r="D6" s="100" t="s">
        <v>240</v>
      </c>
      <c r="E6" s="37" t="s">
        <v>230</v>
      </c>
      <c r="F6" s="35"/>
      <c r="G6" s="40" t="s">
        <v>172</v>
      </c>
      <c r="N6" s="15" t="s">
        <v>14</v>
      </c>
      <c r="P6" s="35"/>
    </row>
    <row r="7" spans="2:16" ht="15.75" x14ac:dyDescent="0.25">
      <c r="D7" s="102" t="s">
        <v>167</v>
      </c>
      <c r="E7" s="37" t="s">
        <v>169</v>
      </c>
      <c r="F7" s="35"/>
      <c r="G7" s="40" t="s">
        <v>197</v>
      </c>
      <c r="N7" s="15" t="s">
        <v>21</v>
      </c>
    </row>
    <row r="8" spans="2:16" x14ac:dyDescent="0.2">
      <c r="D8" s="99"/>
      <c r="E8" s="35"/>
      <c r="F8" s="35"/>
      <c r="G8" s="22"/>
      <c r="N8" s="15" t="s">
        <v>22</v>
      </c>
    </row>
    <row r="9" spans="2:16" x14ac:dyDescent="0.2">
      <c r="C9" t="s">
        <v>136</v>
      </c>
      <c r="D9" s="99"/>
      <c r="E9" s="35"/>
      <c r="F9" s="35"/>
      <c r="G9" s="22"/>
      <c r="K9" s="41"/>
      <c r="L9" s="41"/>
      <c r="N9" s="15" t="s">
        <v>65</v>
      </c>
    </row>
    <row r="10" spans="2:16" ht="15.75" x14ac:dyDescent="0.25">
      <c r="D10" s="100" t="s">
        <v>150</v>
      </c>
      <c r="E10" s="37" t="s">
        <v>168</v>
      </c>
      <c r="F10" s="35"/>
      <c r="G10" s="40" t="s">
        <v>147</v>
      </c>
      <c r="N10" s="15" t="s">
        <v>87</v>
      </c>
    </row>
    <row r="11" spans="2:16" ht="15.75" x14ac:dyDescent="0.25">
      <c r="D11" s="101" t="s">
        <v>174</v>
      </c>
      <c r="E11" s="37" t="s">
        <v>170</v>
      </c>
      <c r="F11" s="35"/>
      <c r="G11" s="40" t="s">
        <v>148</v>
      </c>
      <c r="N11" s="15" t="s">
        <v>88</v>
      </c>
    </row>
    <row r="12" spans="2:16" ht="15.75" x14ac:dyDescent="0.25">
      <c r="D12" s="100" t="s">
        <v>151</v>
      </c>
      <c r="E12" s="37" t="s">
        <v>171</v>
      </c>
      <c r="F12" s="35"/>
      <c r="G12" s="40" t="s">
        <v>149</v>
      </c>
      <c r="N12" s="15" t="s">
        <v>89</v>
      </c>
    </row>
    <row r="13" spans="2:16" ht="15.75" x14ac:dyDescent="0.25">
      <c r="D13" s="100" t="s">
        <v>185</v>
      </c>
      <c r="E13" s="35" t="s">
        <v>186</v>
      </c>
      <c r="F13" s="35"/>
      <c r="G13" s="40" t="s">
        <v>187</v>
      </c>
      <c r="N13" s="15" t="s">
        <v>90</v>
      </c>
    </row>
    <row r="14" spans="2:16" x14ac:dyDescent="0.2">
      <c r="D14" s="99"/>
      <c r="E14" s="35"/>
      <c r="F14" s="35"/>
      <c r="G14" s="22"/>
      <c r="N14" s="15" t="s">
        <v>91</v>
      </c>
    </row>
    <row r="15" spans="2:16" x14ac:dyDescent="0.2">
      <c r="C15" t="s">
        <v>138</v>
      </c>
      <c r="D15" s="99"/>
      <c r="G15" s="22"/>
      <c r="N15" s="15" t="s">
        <v>92</v>
      </c>
    </row>
    <row r="16" spans="2:16" ht="15.75" x14ac:dyDescent="0.25">
      <c r="D16" s="102" t="s">
        <v>242</v>
      </c>
      <c r="E16" s="37" t="s">
        <v>170</v>
      </c>
      <c r="F16" s="35"/>
      <c r="G16" s="22" t="s">
        <v>139</v>
      </c>
      <c r="N16" s="15" t="s">
        <v>93</v>
      </c>
    </row>
    <row r="17" spans="3:15" x14ac:dyDescent="0.2">
      <c r="D17" s="102"/>
      <c r="E17" s="37"/>
      <c r="F17" s="35"/>
      <c r="G17" s="22"/>
      <c r="N17" s="15" t="s">
        <v>94</v>
      </c>
    </row>
    <row r="18" spans="3:15" ht="15.75" x14ac:dyDescent="0.25">
      <c r="C18" s="41" t="s">
        <v>190</v>
      </c>
      <c r="D18" s="100" t="s">
        <v>175</v>
      </c>
      <c r="E18" s="37" t="s">
        <v>173</v>
      </c>
      <c r="F18" s="35"/>
      <c r="G18" t="s">
        <v>188</v>
      </c>
      <c r="N18" s="15" t="s">
        <v>95</v>
      </c>
    </row>
    <row r="19" spans="3:15" ht="15.75" x14ac:dyDescent="0.25">
      <c r="D19" s="100"/>
      <c r="E19" s="37"/>
      <c r="F19" s="35"/>
      <c r="N19" s="15" t="s">
        <v>96</v>
      </c>
    </row>
    <row r="20" spans="3:15" ht="15.75" x14ac:dyDescent="0.25">
      <c r="C20" s="41" t="s">
        <v>190</v>
      </c>
      <c r="D20" s="100" t="s">
        <v>189</v>
      </c>
      <c r="E20" s="37" t="s">
        <v>196</v>
      </c>
      <c r="F20" s="35"/>
      <c r="G20" t="s">
        <v>191</v>
      </c>
    </row>
    <row r="21" spans="3:15" ht="15.75" x14ac:dyDescent="0.25">
      <c r="C21" s="41"/>
      <c r="D21" s="100"/>
      <c r="E21" s="37"/>
      <c r="F21" s="35"/>
    </row>
    <row r="22" spans="3:15" ht="15.75" x14ac:dyDescent="0.25">
      <c r="C22" t="s">
        <v>136</v>
      </c>
      <c r="D22" s="100" t="s">
        <v>193</v>
      </c>
      <c r="E22" s="37" t="s">
        <v>194</v>
      </c>
      <c r="F22" s="35"/>
      <c r="G22" s="41" t="s">
        <v>199</v>
      </c>
    </row>
    <row r="23" spans="3:15" ht="20.25" x14ac:dyDescent="0.3">
      <c r="C23" s="41"/>
      <c r="D23" s="100"/>
      <c r="E23" s="37"/>
      <c r="F23" s="35"/>
      <c r="M23" s="114" t="s">
        <v>154</v>
      </c>
    </row>
    <row r="24" spans="3:15" ht="15.75" x14ac:dyDescent="0.25">
      <c r="C24" t="s">
        <v>136</v>
      </c>
      <c r="D24" s="100" t="s">
        <v>192</v>
      </c>
      <c r="E24" s="37" t="s">
        <v>195</v>
      </c>
      <c r="F24" s="35"/>
      <c r="G24" s="41" t="s">
        <v>200</v>
      </c>
      <c r="M24" s="41" t="s">
        <v>155</v>
      </c>
    </row>
    <row r="25" spans="3:15" x14ac:dyDescent="0.2">
      <c r="D25" s="35"/>
      <c r="E25" s="35"/>
      <c r="F25" s="35"/>
    </row>
    <row r="26" spans="3:15" ht="15.75" x14ac:dyDescent="0.25">
      <c r="C26" t="s">
        <v>136</v>
      </c>
      <c r="D26" s="100" t="s">
        <v>203</v>
      </c>
      <c r="E26" s="37" t="s">
        <v>198</v>
      </c>
      <c r="F26" s="35"/>
      <c r="G26" s="41" t="s">
        <v>201</v>
      </c>
      <c r="N26" s="36" t="s">
        <v>157</v>
      </c>
      <c r="O26" s="38" t="s">
        <v>158</v>
      </c>
    </row>
    <row r="27" spans="3:15" ht="15.75" x14ac:dyDescent="0.25">
      <c r="C27" s="41"/>
      <c r="D27" s="100"/>
      <c r="E27" s="37"/>
      <c r="F27" s="35"/>
    </row>
    <row r="28" spans="3:15" ht="15.75" x14ac:dyDescent="0.25">
      <c r="C28" t="s">
        <v>136</v>
      </c>
      <c r="D28" s="100" t="s">
        <v>206</v>
      </c>
      <c r="E28" s="37" t="s">
        <v>207</v>
      </c>
      <c r="F28" s="35"/>
      <c r="G28" s="41" t="s">
        <v>202</v>
      </c>
      <c r="N28" t="s">
        <v>128</v>
      </c>
      <c r="O28" s="43" t="s">
        <v>160</v>
      </c>
    </row>
    <row r="29" spans="3:15" x14ac:dyDescent="0.2">
      <c r="E29" s="35"/>
      <c r="F29" s="35"/>
    </row>
    <row r="30" spans="3:15" x14ac:dyDescent="0.2">
      <c r="N30" t="s">
        <v>129</v>
      </c>
      <c r="O30" s="43" t="s">
        <v>166</v>
      </c>
    </row>
    <row r="31" spans="3:15" x14ac:dyDescent="0.2">
      <c r="O31" s="44"/>
    </row>
    <row r="32" spans="3:15" x14ac:dyDescent="0.2">
      <c r="N32" t="s">
        <v>130</v>
      </c>
      <c r="O32" s="43" t="s">
        <v>161</v>
      </c>
    </row>
    <row r="33" spans="2:15" x14ac:dyDescent="0.2">
      <c r="O33" s="44"/>
    </row>
    <row r="34" spans="2:15" x14ac:dyDescent="0.2">
      <c r="N34" t="s">
        <v>156</v>
      </c>
      <c r="O34" s="43" t="s">
        <v>162</v>
      </c>
    </row>
    <row r="35" spans="2:15" ht="20.25" x14ac:dyDescent="0.3">
      <c r="B35" s="236" t="s">
        <v>250</v>
      </c>
      <c r="C35" s="1"/>
      <c r="O35" s="44"/>
    </row>
    <row r="36" spans="2:15" x14ac:dyDescent="0.2">
      <c r="B36" s="50"/>
      <c r="N36" t="s">
        <v>152</v>
      </c>
      <c r="O36" s="43" t="s">
        <v>163</v>
      </c>
    </row>
    <row r="37" spans="2:15" ht="15.75" x14ac:dyDescent="0.25">
      <c r="C37" s="50" t="s">
        <v>251</v>
      </c>
      <c r="O37" s="44"/>
    </row>
    <row r="38" spans="2:15" ht="15.75" x14ac:dyDescent="0.25">
      <c r="C38" s="50" t="s">
        <v>252</v>
      </c>
      <c r="N38" t="s">
        <v>131</v>
      </c>
      <c r="O38" s="43" t="s">
        <v>164</v>
      </c>
    </row>
    <row r="39" spans="2:15" ht="15.75" x14ac:dyDescent="0.25">
      <c r="C39" s="50" t="s">
        <v>253</v>
      </c>
      <c r="O39" s="44"/>
    </row>
    <row r="40" spans="2:15" x14ac:dyDescent="0.2">
      <c r="N40" t="s">
        <v>153</v>
      </c>
      <c r="O40" s="43" t="s">
        <v>165</v>
      </c>
    </row>
    <row r="44" spans="2:15" x14ac:dyDescent="0.2">
      <c r="M44" s="15"/>
      <c r="N44" s="15"/>
      <c r="O44" s="2"/>
    </row>
    <row r="48" spans="2:15" x14ac:dyDescent="0.2">
      <c r="I48" s="1"/>
      <c r="J48" s="15"/>
      <c r="K48" s="1"/>
      <c r="L48" s="1"/>
    </row>
    <row r="49" spans="9:12" x14ac:dyDescent="0.2">
      <c r="I49" s="1"/>
      <c r="J49" s="15"/>
      <c r="K49" s="1"/>
      <c r="L49" s="1"/>
    </row>
    <row r="83" spans="9:12" x14ac:dyDescent="0.2">
      <c r="I83" s="25"/>
      <c r="J83" s="15"/>
      <c r="K83" s="1"/>
      <c r="L83" s="1"/>
    </row>
    <row r="84" spans="9:12" x14ac:dyDescent="0.2">
      <c r="I84" s="1"/>
      <c r="J84" s="15"/>
      <c r="K84" s="1"/>
      <c r="L84" s="1"/>
    </row>
    <row r="85" spans="9:12" x14ac:dyDescent="0.2">
      <c r="I85" s="1"/>
      <c r="J85" s="15"/>
      <c r="K85" s="1"/>
      <c r="L85" s="1"/>
    </row>
    <row r="86" spans="9:12" x14ac:dyDescent="0.2">
      <c r="I86" s="1"/>
      <c r="J86" s="15"/>
      <c r="K86" s="1"/>
      <c r="L86" s="1"/>
    </row>
    <row r="87" spans="9:12" x14ac:dyDescent="0.2">
      <c r="I87" s="26"/>
      <c r="J87" s="26"/>
      <c r="K87" s="26"/>
      <c r="L87" s="26"/>
    </row>
    <row r="88" spans="9:12" x14ac:dyDescent="0.2">
      <c r="I88" s="26"/>
      <c r="J88" s="26"/>
      <c r="K88" s="26"/>
      <c r="L88" s="26"/>
    </row>
    <row r="89" spans="9:12" x14ac:dyDescent="0.2">
      <c r="I89" s="15"/>
      <c r="J89" s="15"/>
      <c r="K89" s="1"/>
      <c r="L89" s="1"/>
    </row>
    <row r="90" spans="9:12" x14ac:dyDescent="0.2">
      <c r="I90" s="1"/>
      <c r="J90" s="15"/>
      <c r="K90" s="1"/>
      <c r="L90" s="1"/>
    </row>
    <row r="91" spans="9:12" x14ac:dyDescent="0.2">
      <c r="I91" s="1"/>
      <c r="J91" s="15"/>
      <c r="K91" s="1"/>
      <c r="L91" s="1"/>
    </row>
    <row r="92" spans="9:12" x14ac:dyDescent="0.2">
      <c r="I92" s="1"/>
      <c r="J92" s="15"/>
      <c r="K92" s="1"/>
      <c r="L92" s="1"/>
    </row>
  </sheetData>
  <phoneticPr fontId="0" type="noConversion"/>
  <pageMargins left="0.75" right="0.5" top="1" bottom="1" header="0.5" footer="0.5"/>
  <pageSetup scale="69" orientation="landscape" horizontalDpi="4294967292" r:id="rId1"/>
  <headerFooter alignWithMargins="0">
    <oddFooter>&amp;L&amp;F&amp;CBLAIR, CHURCH &amp;&amp; FLYNN ENGINEERING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B1:AU213"/>
  <sheetViews>
    <sheetView showGridLines="0" zoomScale="75" workbookViewId="0"/>
  </sheetViews>
  <sheetFormatPr defaultRowHeight="15" x14ac:dyDescent="0.2"/>
  <cols>
    <col min="2" max="2" width="10.21875" customWidth="1"/>
  </cols>
  <sheetData>
    <row r="1" spans="2:14" x14ac:dyDescent="0.2">
      <c r="D1" s="22"/>
    </row>
    <row r="2" spans="2:14" ht="15.75" thickBot="1" x14ac:dyDescent="0.25">
      <c r="D2" s="22"/>
    </row>
    <row r="3" spans="2:14" ht="18" x14ac:dyDescent="0.25">
      <c r="B3" s="4" t="s">
        <v>146</v>
      </c>
      <c r="D3" s="108" t="s">
        <v>204</v>
      </c>
      <c r="E3" s="109"/>
      <c r="F3" s="109"/>
      <c r="G3" s="109"/>
      <c r="H3" s="109"/>
      <c r="I3" s="109"/>
      <c r="J3" s="109"/>
      <c r="K3" s="110"/>
    </row>
    <row r="4" spans="2:14" ht="18.75" thickBot="1" x14ac:dyDescent="0.3">
      <c r="D4" s="111" t="s">
        <v>205</v>
      </c>
      <c r="E4" s="112"/>
      <c r="F4" s="112"/>
      <c r="G4" s="112"/>
      <c r="H4" s="112"/>
      <c r="I4" s="112"/>
      <c r="J4" s="112"/>
      <c r="K4" s="113"/>
    </row>
    <row r="6" spans="2:14" ht="18" x14ac:dyDescent="0.25">
      <c r="B6" s="36" t="s">
        <v>141</v>
      </c>
      <c r="D6" s="39" t="s">
        <v>143</v>
      </c>
    </row>
    <row r="8" spans="2:14" x14ac:dyDescent="0.2">
      <c r="D8" s="23" t="s">
        <v>24</v>
      </c>
      <c r="E8" s="23" t="s">
        <v>47</v>
      </c>
      <c r="F8" s="23" t="s">
        <v>27</v>
      </c>
      <c r="G8" s="23" t="s">
        <v>48</v>
      </c>
      <c r="H8" s="23" t="s">
        <v>26</v>
      </c>
      <c r="I8" s="23" t="s">
        <v>97</v>
      </c>
      <c r="J8" s="15" t="s">
        <v>98</v>
      </c>
      <c r="K8" s="23" t="s">
        <v>39</v>
      </c>
      <c r="L8" s="23" t="s">
        <v>29</v>
      </c>
      <c r="M8" s="23" t="s">
        <v>32</v>
      </c>
      <c r="N8" s="23" t="s">
        <v>34</v>
      </c>
    </row>
    <row r="9" spans="2:14" x14ac:dyDescent="0.2">
      <c r="D9" s="23" t="s">
        <v>66</v>
      </c>
      <c r="E9" s="23" t="s">
        <v>99</v>
      </c>
      <c r="F9" s="23" t="s">
        <v>67</v>
      </c>
      <c r="G9" s="23" t="s">
        <v>67</v>
      </c>
      <c r="H9" s="1"/>
      <c r="I9" s="23" t="s">
        <v>100</v>
      </c>
      <c r="J9" s="23" t="s">
        <v>100</v>
      </c>
      <c r="K9" s="23" t="s">
        <v>101</v>
      </c>
      <c r="L9" s="23" t="s">
        <v>102</v>
      </c>
      <c r="M9" s="23" t="s">
        <v>103</v>
      </c>
      <c r="N9" s="23" t="s">
        <v>103</v>
      </c>
    </row>
    <row r="10" spans="2:14" x14ac:dyDescent="0.2"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</row>
    <row r="11" spans="2:14" ht="15.75" x14ac:dyDescent="0.25">
      <c r="B11" s="6" t="s">
        <v>177</v>
      </c>
      <c r="D11" s="59">
        <f>D10+1</f>
        <v>1</v>
      </c>
      <c r="E11" s="60" t="s">
        <v>47</v>
      </c>
      <c r="F11" s="60" t="s">
        <v>104</v>
      </c>
      <c r="G11" s="60" t="s">
        <v>105</v>
      </c>
      <c r="H11" s="61" t="e">
        <f>G11/E11</f>
        <v>#VALUE!</v>
      </c>
      <c r="I11" s="61" t="s">
        <v>76</v>
      </c>
      <c r="J11" s="61" t="s">
        <v>76</v>
      </c>
      <c r="K11" s="62" t="s">
        <v>39</v>
      </c>
      <c r="L11" s="63" t="e">
        <f>(I11-J11)/K11</f>
        <v>#VALUE!</v>
      </c>
      <c r="M11" s="62" t="s">
        <v>106</v>
      </c>
      <c r="N11" s="64" t="e">
        <f>(K11)/((0.84*(L11^0.5)*(cell_GUTDEP^0.6666)/cell_NRD)*60)+M11</f>
        <v>#VALUE!</v>
      </c>
    </row>
    <row r="13" spans="2:14" ht="15.75" x14ac:dyDescent="0.25">
      <c r="B13" s="6" t="s">
        <v>178</v>
      </c>
      <c r="D13" s="59" t="s">
        <v>10</v>
      </c>
      <c r="E13" s="60" t="s">
        <v>10</v>
      </c>
      <c r="F13" s="60" t="s">
        <v>10</v>
      </c>
      <c r="G13" s="60" t="s">
        <v>10</v>
      </c>
      <c r="H13" s="61" t="s">
        <v>10</v>
      </c>
      <c r="I13" s="61" t="s">
        <v>10</v>
      </c>
      <c r="J13" s="61" t="s">
        <v>10</v>
      </c>
      <c r="K13" s="62" t="s">
        <v>10</v>
      </c>
      <c r="L13" s="63" t="s">
        <v>10</v>
      </c>
      <c r="M13" s="62" t="s">
        <v>10</v>
      </c>
      <c r="N13" s="64" t="s">
        <v>10</v>
      </c>
    </row>
    <row r="16" spans="2:14" ht="18" x14ac:dyDescent="0.25">
      <c r="C16" s="38"/>
      <c r="D16" s="65" t="s">
        <v>144</v>
      </c>
    </row>
    <row r="18" spans="2:47" x14ac:dyDescent="0.2">
      <c r="D18" s="1" t="s">
        <v>23</v>
      </c>
      <c r="E18" s="1" t="s">
        <v>24</v>
      </c>
      <c r="F18" s="1" t="s">
        <v>47</v>
      </c>
      <c r="G18" s="1" t="s">
        <v>107</v>
      </c>
      <c r="H18" s="1" t="s">
        <v>26</v>
      </c>
      <c r="I18" s="1" t="s">
        <v>104</v>
      </c>
      <c r="J18" s="1" t="s">
        <v>27</v>
      </c>
      <c r="K18" s="1" t="s">
        <v>108</v>
      </c>
      <c r="L18" s="1" t="s">
        <v>108</v>
      </c>
      <c r="M18" s="1" t="s">
        <v>29</v>
      </c>
      <c r="N18" s="1" t="s">
        <v>30</v>
      </c>
      <c r="O18" s="1" t="s">
        <v>31</v>
      </c>
      <c r="P18" s="1" t="s">
        <v>32</v>
      </c>
      <c r="Q18" s="1" t="s">
        <v>33</v>
      </c>
      <c r="R18" s="1" t="s">
        <v>34</v>
      </c>
      <c r="S18" s="1" t="s">
        <v>109</v>
      </c>
      <c r="T18" s="1" t="s">
        <v>36</v>
      </c>
      <c r="U18" s="1" t="s">
        <v>37</v>
      </c>
      <c r="V18" s="1" t="s">
        <v>31</v>
      </c>
      <c r="W18" s="1" t="s">
        <v>38</v>
      </c>
      <c r="X18" s="1" t="s">
        <v>39</v>
      </c>
      <c r="Y18" s="1" t="s">
        <v>40</v>
      </c>
      <c r="Z18" s="1" t="s">
        <v>41</v>
      </c>
      <c r="AA18" s="1" t="s">
        <v>110</v>
      </c>
      <c r="AB18" s="1" t="s">
        <v>43</v>
      </c>
      <c r="AC18" s="1" t="s">
        <v>44</v>
      </c>
      <c r="AD18" s="1" t="s">
        <v>45</v>
      </c>
      <c r="AE18" s="1" t="s">
        <v>98</v>
      </c>
    </row>
    <row r="19" spans="2:47" x14ac:dyDescent="0.2">
      <c r="D19" s="1" t="s">
        <v>66</v>
      </c>
      <c r="E19" s="1" t="s">
        <v>66</v>
      </c>
      <c r="F19" s="1" t="s">
        <v>99</v>
      </c>
      <c r="G19" s="1" t="s">
        <v>99</v>
      </c>
      <c r="H19" s="1"/>
      <c r="I19" s="1"/>
      <c r="J19" s="1" t="s">
        <v>68</v>
      </c>
      <c r="K19" s="1"/>
      <c r="L19" s="1" t="s">
        <v>68</v>
      </c>
      <c r="M19" s="1" t="s">
        <v>102</v>
      </c>
      <c r="N19" s="1" t="s">
        <v>101</v>
      </c>
      <c r="O19" s="1" t="s">
        <v>111</v>
      </c>
      <c r="P19" s="1" t="s">
        <v>103</v>
      </c>
      <c r="Q19" s="1" t="s">
        <v>103</v>
      </c>
      <c r="R19" s="1" t="s">
        <v>103</v>
      </c>
      <c r="S19" s="1" t="s">
        <v>112</v>
      </c>
      <c r="T19" s="1" t="s">
        <v>113</v>
      </c>
      <c r="U19" s="1" t="s">
        <v>114</v>
      </c>
      <c r="V19" s="1" t="s">
        <v>111</v>
      </c>
      <c r="W19" s="1" t="s">
        <v>102</v>
      </c>
      <c r="X19" s="1" t="s">
        <v>101</v>
      </c>
      <c r="Y19" s="1" t="s">
        <v>103</v>
      </c>
      <c r="Z19" s="1" t="s">
        <v>103</v>
      </c>
      <c r="AA19" s="1" t="s">
        <v>101</v>
      </c>
      <c r="AB19" s="1" t="s">
        <v>100</v>
      </c>
      <c r="AC19" s="1" t="s">
        <v>100</v>
      </c>
      <c r="AD19" s="1" t="s">
        <v>101</v>
      </c>
      <c r="AE19" s="1" t="s">
        <v>46</v>
      </c>
    </row>
    <row r="20" spans="2:47" x14ac:dyDescent="0.2"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2:47" ht="15.75" x14ac:dyDescent="0.25">
      <c r="B21" s="6" t="s">
        <v>179</v>
      </c>
      <c r="C21" s="6"/>
      <c r="D21" s="216" t="s">
        <v>10</v>
      </c>
      <c r="E21" s="215">
        <v>1</v>
      </c>
      <c r="F21" s="54">
        <f>VLOOKUP(E21,table_DI,2)</f>
        <v>14.7</v>
      </c>
      <c r="G21" s="54" t="s">
        <v>10</v>
      </c>
      <c r="H21" s="55">
        <f>VLOOKUP(E21,table_DI,5)</f>
        <v>0.65</v>
      </c>
      <c r="I21" s="54">
        <f>VLOOKUP(E21,table_DI,3)</f>
        <v>9.5549999999999997</v>
      </c>
      <c r="J21" s="54" t="s">
        <v>10</v>
      </c>
      <c r="K21" s="54">
        <f>VLOOKUP(E21,table_DI,4)</f>
        <v>9.5549999999999997</v>
      </c>
      <c r="L21" s="54" t="s">
        <v>10</v>
      </c>
      <c r="M21" s="56" t="str">
        <f>VLOOKUP(E21,table_DI,9)</f>
        <v>N/A</v>
      </c>
      <c r="N21" s="53" t="str">
        <f>VLOOKUP(E21,table_DI,8)</f>
        <v>N/A</v>
      </c>
      <c r="O21" s="55" t="e">
        <f>(0.84*(M21^0.5)*(cell_GUTDEP^0.6666)/cell_NRD)</f>
        <v>#VALUE!</v>
      </c>
      <c r="P21" s="53">
        <f>VLOOKUP(E21,table_DI,10)</f>
        <v>10</v>
      </c>
      <c r="Q21" s="53" t="e">
        <f>(N21/(O21*60))</f>
        <v>#VALUE!</v>
      </c>
      <c r="R21" s="53" t="e">
        <f>P21+Q21</f>
        <v>#VALUE!</v>
      </c>
      <c r="S21" s="55" t="e">
        <f>cell_P*(R21^cell_E)</f>
        <v>#VALUE!</v>
      </c>
      <c r="T21" s="54" t="e">
        <f>S21*K21</f>
        <v>#VALUE!</v>
      </c>
      <c r="U21" s="53" t="s">
        <v>10</v>
      </c>
      <c r="V21" s="55" t="s">
        <v>10</v>
      </c>
      <c r="W21" s="56" t="s">
        <v>10</v>
      </c>
      <c r="X21" s="53" t="s">
        <v>10</v>
      </c>
      <c r="Y21" s="53" t="s">
        <v>10</v>
      </c>
      <c r="Z21" s="53" t="s">
        <v>10</v>
      </c>
      <c r="AA21" s="55" t="s">
        <v>10</v>
      </c>
      <c r="AB21" s="55" t="s">
        <v>10</v>
      </c>
      <c r="AC21" s="55" t="s">
        <v>10</v>
      </c>
      <c r="AD21" s="55" t="s">
        <v>10</v>
      </c>
      <c r="AE21" s="57" t="s">
        <v>10</v>
      </c>
      <c r="AF21" t="s">
        <v>10</v>
      </c>
    </row>
    <row r="22" spans="2:47" x14ac:dyDescent="0.2">
      <c r="D22" s="2"/>
      <c r="E22" s="2"/>
      <c r="F22" s="66"/>
      <c r="G22" s="66"/>
      <c r="H22" s="1"/>
      <c r="I22" s="66"/>
      <c r="J22" s="66"/>
      <c r="K22" s="66"/>
      <c r="L22" s="66"/>
      <c r="M22" s="67"/>
      <c r="N22" s="2"/>
      <c r="O22" s="1"/>
      <c r="P22" s="2"/>
      <c r="Q22" s="2"/>
      <c r="R22" s="2"/>
      <c r="S22" s="1"/>
      <c r="T22" s="66"/>
      <c r="U22" s="2"/>
      <c r="V22" s="1"/>
      <c r="W22" s="67"/>
      <c r="X22" s="2"/>
      <c r="Y22" s="2"/>
      <c r="Z22" s="2"/>
      <c r="AA22" s="1"/>
      <c r="AB22" s="1"/>
      <c r="AC22" s="1"/>
      <c r="AD22" s="1"/>
      <c r="AE22" s="1"/>
      <c r="AU22" t="s">
        <v>176</v>
      </c>
    </row>
    <row r="23" spans="2:47" ht="15.75" x14ac:dyDescent="0.25">
      <c r="B23" s="13" t="s">
        <v>180</v>
      </c>
      <c r="C23" s="6"/>
      <c r="D23" s="216" t="s">
        <v>10</v>
      </c>
      <c r="E23" s="217" t="s">
        <v>10</v>
      </c>
      <c r="F23" s="54" t="s">
        <v>10</v>
      </c>
      <c r="G23" s="54" t="s">
        <v>115</v>
      </c>
      <c r="H23" s="55" t="s">
        <v>10</v>
      </c>
      <c r="I23" s="54" t="s">
        <v>10</v>
      </c>
      <c r="J23" s="54" t="s">
        <v>115</v>
      </c>
      <c r="K23" s="54" t="s">
        <v>10</v>
      </c>
      <c r="L23" s="54" t="s">
        <v>115</v>
      </c>
      <c r="M23" s="56" t="s">
        <v>10</v>
      </c>
      <c r="N23" s="53" t="s">
        <v>10</v>
      </c>
      <c r="O23" s="55" t="s">
        <v>10</v>
      </c>
      <c r="P23" s="53" t="s">
        <v>10</v>
      </c>
      <c r="Q23" s="53" t="s">
        <v>10</v>
      </c>
      <c r="R23" s="53" t="s">
        <v>116</v>
      </c>
      <c r="S23" s="55" t="e">
        <f>cell_P*(R23^cell_E)</f>
        <v>#VALUE!</v>
      </c>
      <c r="T23" s="54" t="e">
        <f>L23*S23</f>
        <v>#VALUE!</v>
      </c>
      <c r="U23" s="53" t="s">
        <v>37</v>
      </c>
      <c r="V23" s="55" t="e">
        <f>(4*T23)/(3.14159*(U23/12)^2)</f>
        <v>#VALUE!</v>
      </c>
      <c r="W23" s="56" t="e">
        <f>((T23/((0.463135/cell_NP)*((U23/12)^(8/3))))^2)*cell_FF</f>
        <v>#VALUE!</v>
      </c>
      <c r="X23" s="53" t="s">
        <v>39</v>
      </c>
      <c r="Y23" s="53" t="e">
        <f>X23/(V23*60)</f>
        <v>#VALUE!</v>
      </c>
      <c r="Z23" s="53" t="e">
        <f>Y23+R23</f>
        <v>#VALUE!</v>
      </c>
      <c r="AA23" s="55" t="e">
        <f>W23*X23</f>
        <v>#VALUE!</v>
      </c>
      <c r="AB23" s="55" t="s">
        <v>115</v>
      </c>
      <c r="AC23" s="55" t="s">
        <v>76</v>
      </c>
      <c r="AD23" s="55" t="e">
        <f>(AC23-0.5)-AB23</f>
        <v>#VALUE!</v>
      </c>
      <c r="AE23" s="57" t="s">
        <v>10</v>
      </c>
      <c r="AF23" t="s">
        <v>10</v>
      </c>
      <c r="AU23" t="s">
        <v>176</v>
      </c>
    </row>
    <row r="25" spans="2:47" ht="15.75" x14ac:dyDescent="0.25">
      <c r="B25" s="13" t="s">
        <v>181</v>
      </c>
      <c r="D25" s="216" t="s">
        <v>10</v>
      </c>
      <c r="E25" s="217" t="s">
        <v>10</v>
      </c>
      <c r="F25" s="54" t="s">
        <v>10</v>
      </c>
      <c r="G25" s="54" t="s">
        <v>10</v>
      </c>
      <c r="H25" s="55" t="s">
        <v>10</v>
      </c>
      <c r="I25" s="54" t="s">
        <v>10</v>
      </c>
      <c r="J25" s="54" t="s">
        <v>10</v>
      </c>
      <c r="K25" s="54" t="s">
        <v>10</v>
      </c>
      <c r="L25" s="54" t="s">
        <v>10</v>
      </c>
      <c r="M25" s="56" t="s">
        <v>10</v>
      </c>
      <c r="N25" s="53" t="s">
        <v>10</v>
      </c>
      <c r="O25" s="55" t="s">
        <v>10</v>
      </c>
      <c r="P25" s="53" t="s">
        <v>10</v>
      </c>
      <c r="Q25" s="53" t="s">
        <v>10</v>
      </c>
      <c r="R25" s="53" t="s">
        <v>10</v>
      </c>
      <c r="S25" s="55" t="s">
        <v>10</v>
      </c>
      <c r="T25" s="54" t="s">
        <v>10</v>
      </c>
      <c r="U25" s="53" t="s">
        <v>10</v>
      </c>
      <c r="V25" s="55" t="s">
        <v>10</v>
      </c>
      <c r="W25" s="56" t="s">
        <v>10</v>
      </c>
      <c r="X25" s="53" t="s">
        <v>10</v>
      </c>
      <c r="Y25" s="53" t="s">
        <v>10</v>
      </c>
      <c r="Z25" s="53" t="s">
        <v>10</v>
      </c>
      <c r="AA25" s="55" t="s">
        <v>10</v>
      </c>
      <c r="AB25" s="55" t="s">
        <v>10</v>
      </c>
      <c r="AC25" s="55" t="s">
        <v>10</v>
      </c>
      <c r="AD25" s="55" t="s">
        <v>10</v>
      </c>
      <c r="AE25" s="57" t="s">
        <v>10</v>
      </c>
      <c r="AF25" t="s">
        <v>10</v>
      </c>
    </row>
    <row r="28" spans="2:47" ht="18" x14ac:dyDescent="0.25">
      <c r="D28" s="4" t="s">
        <v>145</v>
      </c>
    </row>
    <row r="30" spans="2:47" x14ac:dyDescent="0.2">
      <c r="D30" s="1" t="s">
        <v>117</v>
      </c>
      <c r="E30" s="1" t="s">
        <v>118</v>
      </c>
      <c r="F30" s="1"/>
      <c r="G30" s="1" t="s">
        <v>119</v>
      </c>
      <c r="H30" s="1" t="s">
        <v>120</v>
      </c>
      <c r="I30" s="1" t="s">
        <v>54</v>
      </c>
      <c r="J30" s="1" t="s">
        <v>36</v>
      </c>
      <c r="K30" s="1" t="s">
        <v>55</v>
      </c>
      <c r="L30" s="1" t="s">
        <v>56</v>
      </c>
      <c r="M30" s="1" t="s">
        <v>57</v>
      </c>
      <c r="N30" s="1" t="s">
        <v>58</v>
      </c>
      <c r="O30" s="1" t="s">
        <v>121</v>
      </c>
      <c r="P30" s="1"/>
      <c r="Q30" s="1" t="s">
        <v>122</v>
      </c>
      <c r="R30" s="1"/>
      <c r="S30" s="1" t="s">
        <v>62</v>
      </c>
      <c r="T30" s="1" t="s">
        <v>62</v>
      </c>
      <c r="U30" s="1" t="s">
        <v>123</v>
      </c>
      <c r="V30" s="1" t="s">
        <v>124</v>
      </c>
      <c r="W30" s="1" t="s">
        <v>44</v>
      </c>
      <c r="X30" s="1" t="s">
        <v>125</v>
      </c>
      <c r="Y30" s="1"/>
      <c r="Z30" s="1" t="s">
        <v>98</v>
      </c>
      <c r="AA30" s="1"/>
    </row>
    <row r="31" spans="2:47" x14ac:dyDescent="0.2">
      <c r="D31" s="1"/>
      <c r="E31" s="1"/>
      <c r="F31" s="1"/>
      <c r="G31" s="1" t="s">
        <v>100</v>
      </c>
      <c r="H31" s="1" t="s">
        <v>100</v>
      </c>
      <c r="I31" s="1" t="s">
        <v>114</v>
      </c>
      <c r="J31" s="1" t="s">
        <v>113</v>
      </c>
      <c r="K31" s="1" t="s">
        <v>101</v>
      </c>
      <c r="L31" s="1" t="s">
        <v>111</v>
      </c>
      <c r="M31" s="1" t="s">
        <v>101</v>
      </c>
      <c r="N31" s="1" t="s">
        <v>102</v>
      </c>
      <c r="O31" s="1" t="s">
        <v>42</v>
      </c>
      <c r="P31" s="1"/>
      <c r="Q31" s="1" t="s">
        <v>83</v>
      </c>
      <c r="R31" s="1"/>
      <c r="S31" s="1" t="s">
        <v>126</v>
      </c>
      <c r="T31" s="1" t="s">
        <v>84</v>
      </c>
      <c r="U31" s="1" t="s">
        <v>100</v>
      </c>
      <c r="V31" s="1" t="s">
        <v>100</v>
      </c>
      <c r="W31" s="1" t="s">
        <v>100</v>
      </c>
      <c r="X31" s="1" t="s">
        <v>127</v>
      </c>
      <c r="Y31" s="1"/>
      <c r="Z31" s="1" t="s">
        <v>46</v>
      </c>
      <c r="AA31" s="1"/>
    </row>
    <row r="32" spans="2:47" x14ac:dyDescent="0.2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15.75" x14ac:dyDescent="0.25">
      <c r="B33" s="13" t="s">
        <v>182</v>
      </c>
      <c r="D33" s="216">
        <v>4</v>
      </c>
      <c r="E33" s="217">
        <v>1</v>
      </c>
      <c r="F33" s="58" t="s">
        <v>10</v>
      </c>
      <c r="G33" s="61">
        <f>IF(D33=0,cell_HGL,IF(VLOOKUP(D33,table_HGL_JCTS,17,FALSE)&lt;Z33,Z33,VLOOKUP(D33,table_HGL_JCTS,17,FALSE)))</f>
        <v>419.4304446105545</v>
      </c>
      <c r="H33" s="61">
        <f>IF(D33=0,(G33+M33),IF(VLOOKUP(D33,table_HGL_JCTS,13,FALSE)="T-INTERSECTION",(G33+M33),(IF(VLOOKUP(D33,table_HGL_JCTS,17,FALSE)&lt;Z33,(G33+M33),VLOOKUP(D33,table_HGL_JCTS,18,FALSE)))))</f>
        <v>419.46159659900729</v>
      </c>
      <c r="I33" s="62">
        <f>VLOOKUP(E33,table_CIA_JCTS,18)</f>
        <v>24</v>
      </c>
      <c r="J33" s="60">
        <f>VLOOKUP(E33,table_CIA_JCTS,17)</f>
        <v>7.9783215791673898</v>
      </c>
      <c r="K33" s="62">
        <f>VLOOKUP(E33,table_CIA_JCTS,21)</f>
        <v>176</v>
      </c>
      <c r="L33" s="61">
        <f>J33/((I33/12)^2*3.1416/4)</f>
        <v>2.5395726951767856</v>
      </c>
      <c r="M33" s="61">
        <f>(L33^2)/64.4</f>
        <v>0.10014642040508513</v>
      </c>
      <c r="N33" s="63">
        <f>(J33/((1.486/cell_NP)*((3.1416*(I33/12)^2)/4)*(I33/48)^(2/3)))^2</f>
        <v>1.2437804074116388E-3</v>
      </c>
      <c r="O33" s="61">
        <f>N33*K33</f>
        <v>0.21890535170444844</v>
      </c>
      <c r="P33" s="68" t="s">
        <v>10</v>
      </c>
      <c r="Q33" s="72" t="s">
        <v>10</v>
      </c>
      <c r="R33" s="61" t="e">
        <f>IF(ISBLANK(Q33)=FALSE,(VLOOKUP(Q33,table_MINOR,2,FALSE))*(M33)," ")</f>
        <v>#N/A</v>
      </c>
      <c r="S33" s="61" t="e">
        <f>SUM(R33)</f>
        <v>#N/A</v>
      </c>
      <c r="T33" s="61" t="e">
        <f>S33+O33</f>
        <v>#N/A</v>
      </c>
      <c r="U33" s="61" t="e">
        <f>IF(Q33="T-INTERSECTION",V33,(V33-M33))</f>
        <v>#N/A</v>
      </c>
      <c r="V33" s="61" t="e">
        <f>IF(Q33="T-INTERSECTION",(T33+H33-M33),(T33+H33))</f>
        <v>#N/A</v>
      </c>
      <c r="W33" s="61">
        <f>VLOOKUP(E33,table_CIA_JCTS,26)</f>
        <v>427.61</v>
      </c>
      <c r="X33" s="61" t="e">
        <f>W33-0.5-U33</f>
        <v>#N/A</v>
      </c>
      <c r="Y33" s="61" t="s">
        <v>10</v>
      </c>
      <c r="Z33" s="69">
        <f>IF(D33&gt;0,VLOOKUP(D33,table_CIA_JCTS,28)," ")</f>
        <v>419.06</v>
      </c>
      <c r="AA33" s="70"/>
    </row>
    <row r="34" spans="2:27" ht="15.75" x14ac:dyDescent="0.25">
      <c r="B34" s="13"/>
      <c r="D34" s="2"/>
      <c r="E34" s="2"/>
      <c r="F34" s="2"/>
      <c r="G34" s="1"/>
      <c r="H34" s="1"/>
      <c r="I34" s="2"/>
      <c r="J34" s="66"/>
      <c r="K34" s="2"/>
      <c r="L34" s="1"/>
      <c r="M34" s="1"/>
      <c r="N34" s="67"/>
      <c r="O34" s="1"/>
      <c r="P34" s="7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15.75" x14ac:dyDescent="0.25">
      <c r="B35" s="13" t="s">
        <v>184</v>
      </c>
      <c r="D35" s="216" t="s">
        <v>10</v>
      </c>
      <c r="E35" s="217" t="s">
        <v>10</v>
      </c>
      <c r="F35" s="62" t="s">
        <v>10</v>
      </c>
      <c r="G35" s="61" t="s">
        <v>10</v>
      </c>
      <c r="H35" s="61" t="s">
        <v>10</v>
      </c>
      <c r="I35" s="62" t="s">
        <v>10</v>
      </c>
      <c r="J35" s="60" t="s">
        <v>10</v>
      </c>
      <c r="K35" s="62" t="s">
        <v>10</v>
      </c>
      <c r="L35" s="61" t="s">
        <v>10</v>
      </c>
      <c r="M35" s="68" t="s">
        <v>10</v>
      </c>
      <c r="N35" s="63" t="s">
        <v>10</v>
      </c>
      <c r="O35" s="61" t="s">
        <v>10</v>
      </c>
      <c r="P35" s="68" t="s">
        <v>10</v>
      </c>
      <c r="Q35" s="52" t="s">
        <v>176</v>
      </c>
      <c r="R35" s="61" t="s">
        <v>10</v>
      </c>
      <c r="S35" s="61" t="s">
        <v>10</v>
      </c>
      <c r="T35" s="61" t="s">
        <v>10</v>
      </c>
      <c r="U35" s="61" t="s">
        <v>10</v>
      </c>
      <c r="V35" s="61" t="s">
        <v>10</v>
      </c>
      <c r="W35" s="61" t="s">
        <v>10</v>
      </c>
      <c r="X35" s="61" t="s">
        <v>10</v>
      </c>
      <c r="Y35" s="61" t="s">
        <v>10</v>
      </c>
      <c r="Z35" s="69" t="s">
        <v>10</v>
      </c>
      <c r="AA35" s="1"/>
    </row>
    <row r="37" spans="2:27" x14ac:dyDescent="0.2">
      <c r="I37" s="1"/>
    </row>
    <row r="38" spans="2:27" x14ac:dyDescent="0.2">
      <c r="D38" s="26"/>
      <c r="E38" s="26"/>
      <c r="F38" s="26"/>
      <c r="G38" s="26"/>
      <c r="H38" s="26"/>
      <c r="I38" s="26"/>
    </row>
    <row r="39" spans="2:27" x14ac:dyDescent="0.2">
      <c r="D39" s="15"/>
    </row>
    <row r="42" spans="2:27" ht="15.75" x14ac:dyDescent="0.25">
      <c r="C42" s="82"/>
      <c r="D42" s="83" t="s">
        <v>159</v>
      </c>
      <c r="E42" s="47"/>
      <c r="F42" s="48"/>
    </row>
    <row r="43" spans="2:27" x14ac:dyDescent="0.2">
      <c r="C43" s="84"/>
      <c r="F43" s="49"/>
      <c r="J43" s="41"/>
    </row>
    <row r="44" spans="2:27" ht="15.75" x14ac:dyDescent="0.25">
      <c r="C44" s="85" t="s">
        <v>183</v>
      </c>
      <c r="E44" t="s">
        <v>128</v>
      </c>
      <c r="F44" s="86">
        <v>1</v>
      </c>
      <c r="J44" s="41"/>
    </row>
    <row r="45" spans="2:27" x14ac:dyDescent="0.2">
      <c r="C45" s="84"/>
      <c r="E45" t="s">
        <v>129</v>
      </c>
      <c r="F45" s="86">
        <v>0.5</v>
      </c>
      <c r="J45" s="41"/>
    </row>
    <row r="46" spans="2:27" x14ac:dyDescent="0.2">
      <c r="C46" s="84"/>
      <c r="E46" t="s">
        <v>130</v>
      </c>
      <c r="F46" s="86">
        <v>0.3</v>
      </c>
      <c r="G46" s="42"/>
      <c r="J46" s="41"/>
    </row>
    <row r="47" spans="2:27" x14ac:dyDescent="0.2">
      <c r="C47" s="84"/>
      <c r="E47" t="s">
        <v>156</v>
      </c>
      <c r="F47" s="86">
        <v>0.75</v>
      </c>
      <c r="I47" s="41"/>
      <c r="J47" s="41"/>
    </row>
    <row r="48" spans="2:27" x14ac:dyDescent="0.2">
      <c r="C48" s="84"/>
      <c r="E48" t="s">
        <v>152</v>
      </c>
      <c r="F48" s="86">
        <v>0.6</v>
      </c>
      <c r="G48" s="42"/>
      <c r="J48" s="41"/>
    </row>
    <row r="49" spans="3:8" x14ac:dyDescent="0.2">
      <c r="C49" s="84"/>
      <c r="E49" t="s">
        <v>131</v>
      </c>
      <c r="F49" s="86">
        <v>0.25</v>
      </c>
    </row>
    <row r="50" spans="3:8" x14ac:dyDescent="0.2">
      <c r="C50" s="84"/>
      <c r="E50" t="s">
        <v>153</v>
      </c>
      <c r="F50" s="86">
        <v>1.5</v>
      </c>
      <c r="H50" s="41"/>
    </row>
    <row r="51" spans="3:8" x14ac:dyDescent="0.2">
      <c r="C51" s="87"/>
      <c r="D51" s="45"/>
      <c r="E51" s="45"/>
      <c r="F51" s="46"/>
    </row>
    <row r="143" spans="12:19" x14ac:dyDescent="0.2">
      <c r="L143" s="1"/>
      <c r="M143" s="1"/>
      <c r="N143" s="1"/>
      <c r="O143" s="1"/>
      <c r="P143" s="1"/>
      <c r="Q143" s="1"/>
      <c r="R143" s="1"/>
      <c r="S143" s="1"/>
    </row>
    <row r="144" spans="12:19" x14ac:dyDescent="0.2">
      <c r="L144" s="26"/>
      <c r="M144" s="26"/>
      <c r="N144" s="26"/>
      <c r="O144" s="26"/>
      <c r="P144" s="26"/>
      <c r="Q144" s="26"/>
      <c r="R144" s="26"/>
      <c r="S144" s="26"/>
    </row>
    <row r="145" spans="12:19" x14ac:dyDescent="0.2">
      <c r="L145" s="1"/>
      <c r="M145" s="1"/>
      <c r="N145" s="1"/>
      <c r="O145" s="1"/>
      <c r="P145" s="1"/>
      <c r="Q145" s="1"/>
      <c r="R145" s="1"/>
      <c r="S145" s="1"/>
    </row>
    <row r="146" spans="12:19" x14ac:dyDescent="0.2">
      <c r="L146" s="1"/>
      <c r="M146" s="1"/>
      <c r="N146" s="1"/>
      <c r="O146" s="1"/>
      <c r="P146" s="1"/>
      <c r="Q146" s="1"/>
      <c r="R146" s="1"/>
      <c r="S146" s="1"/>
    </row>
    <row r="147" spans="12:19" x14ac:dyDescent="0.2">
      <c r="L147" s="26"/>
      <c r="M147" s="26"/>
      <c r="N147" s="26"/>
      <c r="O147" s="26"/>
      <c r="P147" s="26"/>
      <c r="Q147" s="26"/>
      <c r="R147" s="26"/>
      <c r="S147" s="26"/>
    </row>
    <row r="148" spans="12:19" x14ac:dyDescent="0.2">
      <c r="L148" s="1"/>
      <c r="M148" s="1"/>
      <c r="N148" s="1"/>
      <c r="O148" s="1"/>
      <c r="P148" s="1"/>
      <c r="Q148" s="1"/>
      <c r="R148" s="1"/>
      <c r="S148" s="1"/>
    </row>
    <row r="149" spans="12:19" x14ac:dyDescent="0.2">
      <c r="L149" s="26"/>
      <c r="M149" s="26"/>
      <c r="N149" s="26"/>
      <c r="O149" s="26"/>
      <c r="P149" s="26"/>
      <c r="Q149" s="26"/>
      <c r="R149" s="26"/>
      <c r="S149" s="26"/>
    </row>
    <row r="150" spans="12:19" x14ac:dyDescent="0.2">
      <c r="L150" s="1"/>
      <c r="M150" s="1"/>
      <c r="N150" s="1"/>
      <c r="O150" s="1"/>
      <c r="P150" s="1"/>
      <c r="Q150" s="1"/>
      <c r="R150" s="1"/>
      <c r="S150" s="1"/>
    </row>
    <row r="151" spans="12:19" x14ac:dyDescent="0.2">
      <c r="L151" s="1"/>
      <c r="M151" s="1"/>
      <c r="N151" s="1"/>
      <c r="O151" s="1"/>
      <c r="P151" s="1"/>
      <c r="Q151" s="1"/>
      <c r="R151" s="1"/>
      <c r="S151" s="1"/>
    </row>
    <row r="152" spans="12:19" x14ac:dyDescent="0.2">
      <c r="L152" s="1"/>
      <c r="M152" s="1"/>
      <c r="N152" s="1"/>
      <c r="O152" s="1"/>
      <c r="P152" s="1"/>
      <c r="Q152" s="1"/>
      <c r="R152" s="1"/>
      <c r="S152" s="1"/>
    </row>
    <row r="153" spans="12:19" x14ac:dyDescent="0.2">
      <c r="L153" s="1"/>
      <c r="M153" s="1"/>
      <c r="N153" s="1"/>
      <c r="O153" s="1"/>
      <c r="P153" s="1"/>
      <c r="Q153" s="1"/>
      <c r="R153" s="1"/>
      <c r="S153" s="1"/>
    </row>
    <row r="154" spans="12:19" x14ac:dyDescent="0.2">
      <c r="L154" s="1"/>
      <c r="M154" s="1"/>
      <c r="N154" s="1"/>
      <c r="O154" s="1"/>
      <c r="P154" s="1"/>
      <c r="Q154" s="1"/>
      <c r="R154" s="1"/>
      <c r="S154" s="1"/>
    </row>
    <row r="155" spans="12:19" x14ac:dyDescent="0.2">
      <c r="L155" s="1"/>
      <c r="M155" s="1"/>
      <c r="N155" s="1"/>
      <c r="O155" s="1"/>
      <c r="P155" s="1"/>
      <c r="Q155" s="1"/>
      <c r="R155" s="1"/>
      <c r="S155" s="1"/>
    </row>
    <row r="156" spans="12:19" x14ac:dyDescent="0.2">
      <c r="L156" s="1"/>
      <c r="M156" s="1"/>
      <c r="N156" s="1"/>
      <c r="O156" s="1"/>
      <c r="P156" s="1"/>
      <c r="Q156" s="1"/>
      <c r="R156" s="1"/>
      <c r="S156" s="1"/>
    </row>
    <row r="157" spans="12:19" x14ac:dyDescent="0.2">
      <c r="L157" s="1"/>
      <c r="M157" s="1"/>
      <c r="N157" s="1"/>
      <c r="O157" s="1"/>
      <c r="P157" s="1"/>
      <c r="Q157" s="1"/>
      <c r="R157" s="1"/>
      <c r="S157" s="1"/>
    </row>
    <row r="158" spans="12:19" x14ac:dyDescent="0.2">
      <c r="L158" s="1"/>
      <c r="M158" s="1"/>
      <c r="N158" s="1"/>
      <c r="O158" s="1"/>
      <c r="P158" s="1"/>
      <c r="Q158" s="1"/>
      <c r="R158" s="1"/>
      <c r="S158" s="1"/>
    </row>
    <row r="159" spans="12:19" x14ac:dyDescent="0.2">
      <c r="L159" s="26"/>
      <c r="M159" s="26"/>
      <c r="N159" s="26"/>
      <c r="O159" s="26"/>
      <c r="P159" s="26"/>
      <c r="Q159" s="26"/>
      <c r="R159" s="26"/>
      <c r="S159" s="26"/>
    </row>
    <row r="160" spans="12:19" x14ac:dyDescent="0.2">
      <c r="L160" s="1"/>
      <c r="M160" s="1"/>
      <c r="N160" s="1"/>
      <c r="O160" s="1"/>
      <c r="P160" s="1"/>
      <c r="Q160" s="1"/>
      <c r="R160" s="1"/>
      <c r="S160" s="1"/>
    </row>
    <row r="161" spans="12:19" x14ac:dyDescent="0.2">
      <c r="L161" s="1"/>
      <c r="M161" s="1"/>
      <c r="N161" s="1"/>
      <c r="O161" s="1"/>
      <c r="P161" s="1"/>
      <c r="Q161" s="1"/>
      <c r="R161" s="1"/>
      <c r="S161" s="1"/>
    </row>
    <row r="162" spans="12:19" x14ac:dyDescent="0.2">
      <c r="L162" s="1"/>
      <c r="M162" s="1"/>
      <c r="N162" s="1"/>
      <c r="O162" s="1"/>
      <c r="P162" s="1"/>
      <c r="Q162" s="1"/>
      <c r="R162" s="1"/>
      <c r="S162" s="1"/>
    </row>
    <row r="163" spans="12:19" x14ac:dyDescent="0.2">
      <c r="L163" s="1"/>
      <c r="M163" s="1"/>
      <c r="N163" s="1"/>
      <c r="O163" s="1"/>
      <c r="P163" s="1"/>
      <c r="Q163" s="1"/>
      <c r="R163" s="1"/>
      <c r="S163" s="1"/>
    </row>
    <row r="164" spans="12:19" x14ac:dyDescent="0.2">
      <c r="L164" s="1"/>
      <c r="M164" s="1"/>
      <c r="N164" s="1"/>
      <c r="O164" s="1"/>
      <c r="P164" s="1"/>
      <c r="Q164" s="1"/>
      <c r="R164" s="1"/>
      <c r="S164" s="1"/>
    </row>
    <row r="165" spans="12:19" x14ac:dyDescent="0.2">
      <c r="L165" s="1"/>
      <c r="M165" s="1"/>
      <c r="N165" s="1"/>
      <c r="O165" s="1"/>
      <c r="P165" s="1"/>
      <c r="Q165" s="1"/>
      <c r="R165" s="1"/>
      <c r="S165" s="1"/>
    </row>
    <row r="166" spans="12:19" x14ac:dyDescent="0.2">
      <c r="L166" s="1"/>
      <c r="M166" s="1"/>
      <c r="N166" s="1"/>
      <c r="O166" s="1"/>
      <c r="P166" s="1"/>
      <c r="Q166" s="1"/>
      <c r="R166" s="1"/>
      <c r="S166" s="1"/>
    </row>
    <row r="167" spans="12:19" x14ac:dyDescent="0.2">
      <c r="L167" s="1"/>
      <c r="M167" s="1"/>
      <c r="N167" s="1"/>
      <c r="O167" s="1"/>
      <c r="P167" s="1"/>
      <c r="Q167" s="1"/>
      <c r="R167" s="1"/>
      <c r="S167" s="1"/>
    </row>
    <row r="168" spans="12:19" x14ac:dyDescent="0.2">
      <c r="L168" s="1"/>
      <c r="M168" s="1"/>
      <c r="N168" s="1"/>
      <c r="O168" s="1"/>
      <c r="P168" s="1"/>
      <c r="Q168" s="1"/>
      <c r="R168" s="1"/>
      <c r="S168" s="1"/>
    </row>
    <row r="169" spans="12:19" x14ac:dyDescent="0.2">
      <c r="L169" s="1"/>
      <c r="M169" s="1"/>
      <c r="N169" s="1"/>
      <c r="O169" s="1"/>
      <c r="P169" s="1"/>
      <c r="Q169" s="1"/>
      <c r="R169" s="1"/>
      <c r="S169" s="1"/>
    </row>
    <row r="170" spans="12:19" x14ac:dyDescent="0.2">
      <c r="L170" s="1"/>
      <c r="M170" s="1"/>
      <c r="N170" s="1"/>
      <c r="O170" s="1"/>
      <c r="P170" s="1"/>
      <c r="Q170" s="1"/>
      <c r="R170" s="1"/>
      <c r="S170" s="1"/>
    </row>
    <row r="171" spans="12:19" x14ac:dyDescent="0.2">
      <c r="L171" s="1"/>
      <c r="M171" s="1"/>
      <c r="N171" s="1"/>
      <c r="O171" s="1"/>
      <c r="P171" s="1"/>
      <c r="Q171" s="1"/>
      <c r="R171" s="1"/>
      <c r="S171" s="1"/>
    </row>
    <row r="172" spans="12:19" x14ac:dyDescent="0.2">
      <c r="L172" s="1"/>
      <c r="M172" s="1"/>
      <c r="N172" s="1"/>
      <c r="O172" s="1"/>
      <c r="P172" s="1"/>
      <c r="Q172" s="1"/>
      <c r="R172" s="1"/>
      <c r="S172" s="1"/>
    </row>
    <row r="173" spans="12:19" x14ac:dyDescent="0.2">
      <c r="L173" s="1"/>
      <c r="M173" s="1"/>
      <c r="N173" s="1"/>
      <c r="O173" s="1"/>
      <c r="P173" s="1"/>
      <c r="Q173" s="1"/>
      <c r="R173" s="1"/>
      <c r="S173" s="1"/>
    </row>
    <row r="174" spans="12:19" x14ac:dyDescent="0.2">
      <c r="L174" s="1"/>
      <c r="M174" s="1"/>
      <c r="N174" s="1"/>
      <c r="O174" s="1"/>
      <c r="P174" s="1"/>
      <c r="Q174" s="1"/>
      <c r="R174" s="1"/>
      <c r="S174" s="1"/>
    </row>
    <row r="175" spans="12:19" x14ac:dyDescent="0.2">
      <c r="L175" s="1"/>
      <c r="M175" s="1"/>
      <c r="N175" s="1"/>
      <c r="O175" s="1"/>
      <c r="P175" s="1"/>
      <c r="Q175" s="1"/>
      <c r="R175" s="1"/>
      <c r="S175" s="1"/>
    </row>
    <row r="176" spans="12:19" x14ac:dyDescent="0.2">
      <c r="L176" s="1"/>
      <c r="M176" s="1"/>
      <c r="N176" s="1"/>
      <c r="O176" s="1"/>
      <c r="P176" s="1"/>
      <c r="Q176" s="1"/>
      <c r="R176" s="1"/>
      <c r="S176" s="1"/>
    </row>
    <row r="177" spans="12:19" x14ac:dyDescent="0.2">
      <c r="L177" s="1"/>
      <c r="M177" s="1"/>
      <c r="N177" s="1"/>
      <c r="O177" s="1"/>
      <c r="P177" s="1"/>
      <c r="Q177" s="1"/>
      <c r="R177" s="1"/>
      <c r="S177" s="1"/>
    </row>
    <row r="178" spans="12:19" x14ac:dyDescent="0.2">
      <c r="L178" s="1"/>
      <c r="M178" s="1"/>
      <c r="N178" s="1"/>
      <c r="O178" s="1"/>
      <c r="P178" s="1"/>
      <c r="Q178" s="1"/>
      <c r="R178" s="1"/>
      <c r="S178" s="1"/>
    </row>
    <row r="179" spans="12:19" x14ac:dyDescent="0.2">
      <c r="L179" s="1"/>
      <c r="M179" s="1"/>
      <c r="N179" s="1"/>
      <c r="O179" s="1"/>
      <c r="P179" s="1"/>
      <c r="Q179" s="1"/>
      <c r="R179" s="1"/>
      <c r="S179" s="1"/>
    </row>
    <row r="180" spans="12:19" x14ac:dyDescent="0.2">
      <c r="L180" s="1"/>
      <c r="M180" s="1"/>
      <c r="N180" s="1"/>
      <c r="O180" s="1"/>
      <c r="P180" s="1"/>
      <c r="Q180" s="1"/>
      <c r="R180" s="1"/>
      <c r="S180" s="1"/>
    </row>
    <row r="181" spans="12:19" x14ac:dyDescent="0.2">
      <c r="L181" s="1"/>
      <c r="M181" s="1"/>
      <c r="N181" s="1"/>
      <c r="O181" s="1"/>
      <c r="P181" s="1"/>
      <c r="Q181" s="1"/>
      <c r="R181" s="1"/>
      <c r="S181" s="1"/>
    </row>
    <row r="182" spans="12:19" x14ac:dyDescent="0.2">
      <c r="L182" s="26"/>
      <c r="M182" s="26"/>
      <c r="N182" s="26"/>
      <c r="O182" s="26"/>
      <c r="P182" s="26"/>
      <c r="Q182" s="26"/>
      <c r="R182" s="26"/>
      <c r="S182" s="26"/>
    </row>
    <row r="183" spans="12:19" x14ac:dyDescent="0.2">
      <c r="L183" s="1"/>
      <c r="M183" s="1"/>
      <c r="N183" s="1"/>
      <c r="O183" s="1"/>
      <c r="P183" s="1"/>
      <c r="Q183" s="1"/>
      <c r="R183" s="1"/>
      <c r="S183" s="1"/>
    </row>
    <row r="184" spans="12:19" x14ac:dyDescent="0.2">
      <c r="L184" s="26"/>
      <c r="M184" s="26"/>
      <c r="N184" s="26"/>
      <c r="O184" s="26"/>
      <c r="P184" s="26"/>
      <c r="Q184" s="26"/>
      <c r="R184" s="26"/>
      <c r="S184" s="26"/>
    </row>
    <row r="185" spans="12:19" x14ac:dyDescent="0.2">
      <c r="L185" s="1"/>
      <c r="M185" s="1"/>
      <c r="N185" s="1"/>
      <c r="O185" s="1"/>
      <c r="P185" s="1"/>
      <c r="Q185" s="1"/>
      <c r="R185" s="1"/>
      <c r="S185" s="1"/>
    </row>
    <row r="186" spans="12:19" x14ac:dyDescent="0.2">
      <c r="L186" s="26"/>
      <c r="M186" s="26"/>
      <c r="N186" s="26"/>
      <c r="O186" s="26"/>
      <c r="P186" s="26"/>
      <c r="Q186" s="26"/>
      <c r="R186" s="26"/>
      <c r="S186" s="26"/>
    </row>
    <row r="187" spans="12:19" x14ac:dyDescent="0.2">
      <c r="L187" s="1"/>
      <c r="M187" s="1"/>
      <c r="N187" s="1"/>
      <c r="O187" s="1"/>
      <c r="P187" s="1"/>
      <c r="Q187" s="1"/>
      <c r="R187" s="1"/>
      <c r="S187" s="1"/>
    </row>
    <row r="188" spans="12:19" x14ac:dyDescent="0.2">
      <c r="L188" s="26"/>
      <c r="M188" s="26"/>
      <c r="N188" s="26"/>
      <c r="O188" s="26"/>
      <c r="P188" s="26"/>
      <c r="Q188" s="26"/>
      <c r="R188" s="26"/>
      <c r="S188" s="26"/>
    </row>
    <row r="189" spans="12:19" x14ac:dyDescent="0.2">
      <c r="L189" s="26"/>
      <c r="M189" s="26"/>
      <c r="N189" s="26"/>
      <c r="O189" s="26"/>
      <c r="P189" s="26"/>
      <c r="Q189" s="26"/>
      <c r="R189" s="26"/>
      <c r="S189" s="26"/>
    </row>
    <row r="190" spans="12:19" x14ac:dyDescent="0.2">
      <c r="L190" s="26"/>
      <c r="M190" s="26"/>
      <c r="N190" s="26"/>
      <c r="O190" s="26"/>
      <c r="P190" s="26"/>
      <c r="Q190" s="26"/>
      <c r="R190" s="26"/>
      <c r="S190" s="26"/>
    </row>
    <row r="191" spans="12:19" x14ac:dyDescent="0.2">
      <c r="L191" s="26"/>
      <c r="M191" s="26"/>
      <c r="N191" s="26"/>
      <c r="O191" s="26"/>
      <c r="P191" s="26"/>
      <c r="Q191" s="26"/>
      <c r="R191" s="26"/>
      <c r="S191" s="26"/>
    </row>
    <row r="192" spans="12:19" x14ac:dyDescent="0.2">
      <c r="L192" s="1"/>
      <c r="M192" s="1"/>
      <c r="N192" s="1"/>
      <c r="O192" s="1"/>
      <c r="P192" s="1"/>
      <c r="Q192" s="1"/>
      <c r="R192" s="1"/>
      <c r="S192" s="1"/>
    </row>
    <row r="193" spans="12:19" x14ac:dyDescent="0.2">
      <c r="L193" s="26"/>
      <c r="M193" s="26"/>
      <c r="N193" s="26"/>
      <c r="O193" s="26"/>
      <c r="P193" s="26"/>
      <c r="Q193" s="26"/>
      <c r="R193" s="26"/>
      <c r="S193" s="26"/>
    </row>
    <row r="194" spans="12:19" x14ac:dyDescent="0.2">
      <c r="L194" s="1"/>
      <c r="M194" s="1"/>
      <c r="N194" s="1"/>
      <c r="O194" s="1"/>
      <c r="P194" s="1"/>
      <c r="Q194" s="1"/>
      <c r="R194" s="1"/>
      <c r="S194" s="1"/>
    </row>
    <row r="195" spans="12:19" x14ac:dyDescent="0.2">
      <c r="L195" s="1"/>
      <c r="M195" s="1"/>
      <c r="N195" s="1"/>
      <c r="O195" s="1"/>
      <c r="P195" s="1"/>
      <c r="Q195" s="1"/>
      <c r="R195" s="1"/>
      <c r="S195" s="1"/>
    </row>
    <row r="196" spans="12:19" x14ac:dyDescent="0.2">
      <c r="L196" s="1"/>
      <c r="M196" s="1"/>
      <c r="N196" s="1"/>
      <c r="O196" s="1"/>
      <c r="P196" s="1"/>
      <c r="Q196" s="1"/>
      <c r="R196" s="1"/>
      <c r="S196" s="1"/>
    </row>
    <row r="197" spans="12:19" x14ac:dyDescent="0.2">
      <c r="L197" s="1"/>
      <c r="M197" s="1"/>
      <c r="N197" s="1"/>
      <c r="O197" s="1"/>
      <c r="P197" s="1"/>
      <c r="Q197" s="1"/>
      <c r="R197" s="1"/>
      <c r="S197" s="1"/>
    </row>
    <row r="198" spans="12:19" x14ac:dyDescent="0.2">
      <c r="L198" s="1"/>
      <c r="M198" s="1"/>
      <c r="N198" s="1"/>
      <c r="O198" s="1"/>
      <c r="P198" s="1"/>
      <c r="Q198" s="1"/>
      <c r="R198" s="1"/>
      <c r="S198" s="1"/>
    </row>
    <row r="199" spans="12:19" x14ac:dyDescent="0.2">
      <c r="L199" s="1"/>
      <c r="M199" s="1"/>
      <c r="N199" s="1"/>
      <c r="O199" s="1"/>
      <c r="P199" s="1"/>
      <c r="Q199" s="1"/>
      <c r="R199" s="1"/>
      <c r="S199" s="1"/>
    </row>
    <row r="200" spans="12:19" x14ac:dyDescent="0.2">
      <c r="L200" s="1"/>
      <c r="M200" s="1"/>
      <c r="N200" s="1"/>
      <c r="O200" s="1"/>
      <c r="P200" s="1"/>
      <c r="Q200" s="1"/>
      <c r="R200" s="1"/>
      <c r="S200" s="1"/>
    </row>
    <row r="201" spans="12:19" x14ac:dyDescent="0.2">
      <c r="L201" s="1"/>
      <c r="M201" s="1"/>
      <c r="N201" s="1"/>
      <c r="O201" s="1"/>
      <c r="P201" s="1"/>
      <c r="Q201" s="1"/>
      <c r="R201" s="1"/>
      <c r="S201" s="1"/>
    </row>
    <row r="202" spans="12:19" x14ac:dyDescent="0.2">
      <c r="L202" s="1"/>
      <c r="M202" s="1"/>
      <c r="N202" s="1"/>
      <c r="O202" s="1"/>
      <c r="P202" s="1"/>
      <c r="Q202" s="1"/>
      <c r="R202" s="1"/>
      <c r="S202" s="1"/>
    </row>
    <row r="203" spans="12:19" x14ac:dyDescent="0.2">
      <c r="L203" s="1"/>
      <c r="M203" s="1"/>
      <c r="N203" s="1"/>
      <c r="O203" s="1"/>
      <c r="P203" s="1"/>
      <c r="Q203" s="1"/>
      <c r="R203" s="1"/>
      <c r="S203" s="1"/>
    </row>
    <row r="204" spans="12:19" x14ac:dyDescent="0.2">
      <c r="L204" s="1"/>
      <c r="M204" s="1"/>
      <c r="N204" s="1"/>
      <c r="O204" s="1"/>
      <c r="P204" s="1"/>
      <c r="Q204" s="1"/>
      <c r="R204" s="1"/>
      <c r="S204" s="1"/>
    </row>
    <row r="205" spans="12:19" x14ac:dyDescent="0.2">
      <c r="L205" s="1"/>
      <c r="M205" s="1"/>
      <c r="N205" s="1"/>
      <c r="O205" s="1"/>
      <c r="P205" s="1"/>
      <c r="Q205" s="1"/>
      <c r="R205" s="1"/>
      <c r="S205" s="1"/>
    </row>
    <row r="206" spans="12:19" x14ac:dyDescent="0.2">
      <c r="L206" s="1"/>
      <c r="M206" s="1"/>
      <c r="N206" s="1"/>
      <c r="O206" s="1"/>
      <c r="P206" s="1"/>
      <c r="Q206" s="1"/>
      <c r="R206" s="1"/>
      <c r="S206" s="1"/>
    </row>
    <row r="207" spans="12:19" x14ac:dyDescent="0.2">
      <c r="L207" s="26"/>
      <c r="M207" s="26"/>
      <c r="N207" s="26"/>
      <c r="O207" s="26"/>
      <c r="P207" s="26"/>
      <c r="Q207" s="26"/>
      <c r="R207" s="26"/>
      <c r="S207" s="26"/>
    </row>
    <row r="208" spans="12:19" x14ac:dyDescent="0.2">
      <c r="L208" s="1"/>
      <c r="M208" s="1"/>
      <c r="N208" s="1"/>
      <c r="O208" s="1"/>
      <c r="P208" s="1"/>
      <c r="Q208" s="1"/>
      <c r="R208" s="1"/>
      <c r="S208" s="1"/>
    </row>
    <row r="209" spans="12:19" x14ac:dyDescent="0.2">
      <c r="L209" s="1"/>
      <c r="M209" s="1"/>
      <c r="N209" s="1"/>
      <c r="O209" s="1"/>
      <c r="P209" s="1"/>
      <c r="Q209" s="1"/>
      <c r="R209" s="1"/>
      <c r="S209" s="1"/>
    </row>
    <row r="210" spans="12:19" x14ac:dyDescent="0.2">
      <c r="L210" s="1"/>
      <c r="M210" s="1"/>
      <c r="N210" s="1"/>
      <c r="O210" s="1"/>
      <c r="P210" s="1"/>
      <c r="Q210" s="1"/>
      <c r="R210" s="1"/>
      <c r="S210" s="1"/>
    </row>
    <row r="211" spans="12:19" x14ac:dyDescent="0.2">
      <c r="L211" s="1"/>
      <c r="M211" s="1"/>
      <c r="N211" s="1"/>
      <c r="O211" s="1"/>
      <c r="P211" s="1"/>
      <c r="Q211" s="1"/>
      <c r="R211" s="1"/>
      <c r="S211" s="1"/>
    </row>
    <row r="212" spans="12:19" x14ac:dyDescent="0.2">
      <c r="L212" s="26"/>
      <c r="M212" s="26"/>
      <c r="N212" s="26"/>
      <c r="O212" s="26"/>
      <c r="P212" s="26"/>
      <c r="Q212" s="26"/>
      <c r="R212" s="26"/>
      <c r="S212" s="26"/>
    </row>
    <row r="213" spans="12:19" x14ac:dyDescent="0.2">
      <c r="L213" s="1"/>
      <c r="M213" s="1"/>
      <c r="N213" s="1"/>
      <c r="O213" s="1"/>
      <c r="P213" s="1"/>
      <c r="Q213" s="1"/>
      <c r="R213" s="1"/>
      <c r="S213" s="1"/>
    </row>
  </sheetData>
  <phoneticPr fontId="0" type="noConversion"/>
  <pageMargins left="0.75" right="0.25" top="1" bottom="1" header="0.5" footer="0.5"/>
  <pageSetup scale="26" orientation="landscape" horizontalDpi="4294967292" r:id="rId1"/>
  <headerFooter alignWithMargins="0">
    <oddFooter>&amp;L&amp;F&amp;CBLAIR, CHURCH &amp;&amp; FLYNN ENGINEERING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2:L34"/>
  <sheetViews>
    <sheetView showGridLines="0" zoomScale="80" workbookViewId="0"/>
  </sheetViews>
  <sheetFormatPr defaultColWidth="8.88671875" defaultRowHeight="15" x14ac:dyDescent="0.2"/>
  <cols>
    <col min="1" max="1" width="8.88671875" style="116"/>
    <col min="2" max="2" width="15.77734375" style="116" customWidth="1"/>
    <col min="3" max="3" width="23.21875" style="116" customWidth="1"/>
    <col min="4" max="4" width="8.88671875" style="116"/>
    <col min="5" max="5" width="2.77734375" style="116" customWidth="1"/>
    <col min="6" max="8" width="9.88671875" style="116" customWidth="1"/>
    <col min="9" max="10" width="8.88671875" style="116"/>
    <col min="11" max="11" width="2.77734375" style="116" customWidth="1"/>
    <col min="12" max="16384" width="8.88671875" style="116"/>
  </cols>
  <sheetData>
    <row r="2" spans="1:12" ht="18" x14ac:dyDescent="0.25">
      <c r="A2" s="115" t="s">
        <v>208</v>
      </c>
      <c r="I2" s="117"/>
    </row>
    <row r="4" spans="1:12" ht="18" x14ac:dyDescent="0.25">
      <c r="A4" s="115"/>
      <c r="B4" s="115"/>
    </row>
    <row r="5" spans="1:12" ht="15.75" x14ac:dyDescent="0.25">
      <c r="B5" s="118" t="s">
        <v>140</v>
      </c>
      <c r="C5" s="118" t="s">
        <v>209</v>
      </c>
      <c r="D5" s="118" t="s">
        <v>133</v>
      </c>
      <c r="E5" s="118"/>
      <c r="F5" s="119" t="s">
        <v>134</v>
      </c>
      <c r="I5" s="118" t="s">
        <v>210</v>
      </c>
      <c r="J5" s="120" t="s">
        <v>211</v>
      </c>
    </row>
    <row r="6" spans="1:12" x14ac:dyDescent="0.2">
      <c r="C6" s="121"/>
      <c r="E6" s="121"/>
      <c r="I6" s="121"/>
      <c r="J6" s="121"/>
    </row>
    <row r="7" spans="1:12" ht="15.75" thickBot="1" x14ac:dyDescent="0.25">
      <c r="C7" s="121"/>
      <c r="E7" s="121"/>
      <c r="I7" s="121"/>
      <c r="J7" s="121"/>
    </row>
    <row r="8" spans="1:12" ht="15.75" x14ac:dyDescent="0.25">
      <c r="B8" s="116" t="s">
        <v>135</v>
      </c>
      <c r="C8" s="122" t="s">
        <v>240</v>
      </c>
      <c r="D8" s="204" t="s">
        <v>230</v>
      </c>
      <c r="E8" s="123"/>
      <c r="F8" s="124" t="s">
        <v>172</v>
      </c>
      <c r="G8" s="125"/>
      <c r="H8" s="126"/>
      <c r="I8" s="127">
        <v>1</v>
      </c>
      <c r="J8" s="128"/>
      <c r="L8" s="129"/>
    </row>
    <row r="9" spans="1:12" x14ac:dyDescent="0.2">
      <c r="C9" s="130" t="s">
        <v>212</v>
      </c>
      <c r="D9" s="131"/>
      <c r="E9" s="132"/>
      <c r="F9" s="133"/>
      <c r="H9" s="134"/>
      <c r="I9" s="135"/>
      <c r="J9" s="136">
        <v>2</v>
      </c>
      <c r="L9" s="137"/>
    </row>
    <row r="10" spans="1:12" x14ac:dyDescent="0.2">
      <c r="C10" s="138" t="s">
        <v>213</v>
      </c>
      <c r="D10" s="139"/>
      <c r="E10" s="140"/>
      <c r="F10" s="141"/>
      <c r="G10" s="142"/>
      <c r="H10" s="143"/>
      <c r="I10" s="144"/>
      <c r="J10" s="145">
        <v>3</v>
      </c>
      <c r="L10" s="137"/>
    </row>
    <row r="11" spans="1:12" ht="16.5" thickBot="1" x14ac:dyDescent="0.3">
      <c r="C11" s="146" t="s">
        <v>231</v>
      </c>
      <c r="D11" s="147" t="s">
        <v>169</v>
      </c>
      <c r="E11" s="148"/>
      <c r="F11" s="149" t="s">
        <v>214</v>
      </c>
      <c r="G11" s="150"/>
      <c r="H11" s="151"/>
      <c r="I11" s="152">
        <v>2</v>
      </c>
      <c r="J11" s="153"/>
      <c r="L11" s="129"/>
    </row>
    <row r="12" spans="1:12" ht="15.75" x14ac:dyDescent="0.25">
      <c r="B12" s="116" t="s">
        <v>136</v>
      </c>
      <c r="C12" s="154" t="s">
        <v>232</v>
      </c>
      <c r="D12" s="131" t="s">
        <v>168</v>
      </c>
      <c r="E12" s="132"/>
      <c r="F12" s="133" t="s">
        <v>147</v>
      </c>
      <c r="H12" s="134"/>
      <c r="I12" s="135">
        <v>3</v>
      </c>
      <c r="J12" s="136"/>
      <c r="L12" s="129"/>
    </row>
    <row r="13" spans="1:12" x14ac:dyDescent="0.2">
      <c r="C13" s="138" t="s">
        <v>215</v>
      </c>
      <c r="D13" s="139"/>
      <c r="E13" s="140"/>
      <c r="F13" s="141"/>
      <c r="G13" s="142"/>
      <c r="H13" s="143"/>
      <c r="I13" s="144"/>
      <c r="J13" s="145">
        <v>4</v>
      </c>
      <c r="L13" s="137"/>
    </row>
    <row r="14" spans="1:12" ht="15.75" x14ac:dyDescent="0.25">
      <c r="C14" s="155" t="s">
        <v>233</v>
      </c>
      <c r="D14" s="156" t="s">
        <v>170</v>
      </c>
      <c r="E14" s="157"/>
      <c r="F14" s="158" t="s">
        <v>148</v>
      </c>
      <c r="G14" s="159"/>
      <c r="H14" s="160"/>
      <c r="I14" s="161">
        <v>4</v>
      </c>
      <c r="J14" s="162"/>
      <c r="L14" s="129"/>
    </row>
    <row r="15" spans="1:12" x14ac:dyDescent="0.2">
      <c r="C15" s="163" t="s">
        <v>216</v>
      </c>
      <c r="D15" s="131"/>
      <c r="E15" s="132"/>
      <c r="F15" s="133"/>
      <c r="H15" s="134"/>
      <c r="I15" s="135"/>
      <c r="J15" s="136">
        <v>8</v>
      </c>
      <c r="L15" s="137"/>
    </row>
    <row r="16" spans="1:12" x14ac:dyDescent="0.2">
      <c r="C16" s="163" t="s">
        <v>217</v>
      </c>
      <c r="D16" s="131"/>
      <c r="E16" s="132"/>
      <c r="F16" s="133"/>
      <c r="H16" s="134"/>
      <c r="I16" s="135"/>
      <c r="J16" s="136"/>
      <c r="L16" s="137"/>
    </row>
    <row r="17" spans="2:12" x14ac:dyDescent="0.2">
      <c r="C17" s="130" t="s">
        <v>218</v>
      </c>
      <c r="D17" s="131"/>
      <c r="E17" s="132"/>
      <c r="F17" s="133"/>
      <c r="H17" s="134"/>
      <c r="I17" s="135"/>
      <c r="J17" s="136"/>
      <c r="L17" s="137"/>
    </row>
    <row r="18" spans="2:12" x14ac:dyDescent="0.2">
      <c r="C18" s="130" t="s">
        <v>219</v>
      </c>
      <c r="D18" s="131"/>
      <c r="E18" s="132"/>
      <c r="F18" s="133"/>
      <c r="H18" s="134"/>
      <c r="I18" s="135"/>
      <c r="J18" s="136"/>
      <c r="L18" s="137"/>
    </row>
    <row r="19" spans="2:12" x14ac:dyDescent="0.2">
      <c r="C19" s="130" t="s">
        <v>220</v>
      </c>
      <c r="D19" s="131"/>
      <c r="E19" s="132"/>
      <c r="F19" s="133"/>
      <c r="H19" s="134"/>
      <c r="I19" s="135"/>
      <c r="J19" s="136"/>
      <c r="L19" s="137"/>
    </row>
    <row r="20" spans="2:12" x14ac:dyDescent="0.2">
      <c r="C20" s="130" t="s">
        <v>221</v>
      </c>
      <c r="D20" s="131"/>
      <c r="E20" s="132"/>
      <c r="F20" s="133"/>
      <c r="H20" s="134"/>
      <c r="I20" s="135"/>
      <c r="J20" s="136"/>
      <c r="L20" s="137"/>
    </row>
    <row r="21" spans="2:12" x14ac:dyDescent="0.2">
      <c r="C21" s="130" t="s">
        <v>222</v>
      </c>
      <c r="D21" s="131"/>
      <c r="E21" s="132"/>
      <c r="F21" s="133"/>
      <c r="H21" s="134"/>
      <c r="I21" s="135"/>
      <c r="J21" s="136"/>
      <c r="L21" s="137"/>
    </row>
    <row r="22" spans="2:12" x14ac:dyDescent="0.2">
      <c r="C22" s="138" t="s">
        <v>223</v>
      </c>
      <c r="D22" s="139"/>
      <c r="E22" s="140"/>
      <c r="F22" s="141"/>
      <c r="G22" s="142"/>
      <c r="H22" s="143"/>
      <c r="I22" s="144"/>
      <c r="J22" s="145"/>
      <c r="L22" s="137"/>
    </row>
    <row r="23" spans="2:12" ht="15.75" x14ac:dyDescent="0.25">
      <c r="C23" s="164" t="s">
        <v>234</v>
      </c>
      <c r="D23" s="165" t="s">
        <v>171</v>
      </c>
      <c r="E23" s="166"/>
      <c r="F23" s="167" t="s">
        <v>149</v>
      </c>
      <c r="G23" s="168"/>
      <c r="H23" s="169"/>
      <c r="I23" s="170">
        <v>5</v>
      </c>
      <c r="J23" s="171"/>
      <c r="L23" s="129"/>
    </row>
    <row r="24" spans="2:12" ht="16.5" thickBot="1" x14ac:dyDescent="0.3">
      <c r="C24" s="172" t="s">
        <v>235</v>
      </c>
      <c r="D24" s="147" t="s">
        <v>186</v>
      </c>
      <c r="E24" s="148"/>
      <c r="F24" s="149" t="s">
        <v>224</v>
      </c>
      <c r="G24" s="150"/>
      <c r="H24" s="151"/>
      <c r="I24" s="152">
        <v>6</v>
      </c>
      <c r="J24" s="153">
        <v>5</v>
      </c>
      <c r="L24" s="129"/>
    </row>
    <row r="25" spans="2:12" ht="16.5" thickBot="1" x14ac:dyDescent="0.3">
      <c r="B25" s="116" t="s">
        <v>138</v>
      </c>
      <c r="C25" s="205" t="s">
        <v>241</v>
      </c>
      <c r="D25" s="173" t="s">
        <v>170</v>
      </c>
      <c r="E25" s="174"/>
      <c r="F25" s="175" t="s">
        <v>139</v>
      </c>
      <c r="G25" s="175"/>
      <c r="H25" s="176"/>
      <c r="I25" s="177">
        <v>4</v>
      </c>
      <c r="J25" s="178">
        <v>10</v>
      </c>
      <c r="L25" s="129"/>
    </row>
    <row r="26" spans="2:12" ht="16.5" thickBot="1" x14ac:dyDescent="0.3">
      <c r="C26" s="179"/>
      <c r="D26" s="180"/>
      <c r="E26" s="121"/>
      <c r="I26" s="181"/>
      <c r="J26" s="181"/>
      <c r="L26" s="129"/>
    </row>
    <row r="27" spans="2:12" ht="16.5" thickBot="1" x14ac:dyDescent="0.3">
      <c r="B27" s="133" t="s">
        <v>190</v>
      </c>
      <c r="C27" s="182" t="s">
        <v>236</v>
      </c>
      <c r="D27" s="173" t="s">
        <v>173</v>
      </c>
      <c r="E27" s="174"/>
      <c r="F27" s="183" t="s">
        <v>225</v>
      </c>
      <c r="G27" s="175"/>
      <c r="H27" s="176"/>
      <c r="I27" s="177">
        <v>10</v>
      </c>
      <c r="J27" s="178"/>
      <c r="L27" s="129"/>
    </row>
    <row r="28" spans="2:12" ht="16.5" thickBot="1" x14ac:dyDescent="0.3">
      <c r="B28" s="133"/>
      <c r="C28" s="184"/>
      <c r="D28" s="180"/>
      <c r="E28" s="121"/>
      <c r="F28" s="117"/>
      <c r="I28" s="181"/>
      <c r="J28" s="181"/>
      <c r="L28" s="129"/>
    </row>
    <row r="29" spans="2:12" ht="16.5" thickBot="1" x14ac:dyDescent="0.3">
      <c r="B29" s="133" t="s">
        <v>190</v>
      </c>
      <c r="C29" s="185" t="s">
        <v>226</v>
      </c>
      <c r="D29" s="173" t="s">
        <v>237</v>
      </c>
      <c r="E29" s="174"/>
      <c r="F29" s="183" t="s">
        <v>191</v>
      </c>
      <c r="G29" s="175"/>
      <c r="H29" s="176"/>
      <c r="I29" s="177">
        <v>7</v>
      </c>
      <c r="J29" s="178">
        <v>1</v>
      </c>
      <c r="L29" s="129"/>
    </row>
    <row r="30" spans="2:12" ht="15.75" thickBot="1" x14ac:dyDescent="0.25"/>
    <row r="31" spans="2:12" ht="15.75" x14ac:dyDescent="0.25">
      <c r="B31" s="116" t="s">
        <v>136</v>
      </c>
      <c r="C31" s="186" t="s">
        <v>193</v>
      </c>
      <c r="D31" s="187" t="s">
        <v>194</v>
      </c>
      <c r="E31" s="188"/>
      <c r="F31" s="189" t="s">
        <v>227</v>
      </c>
      <c r="G31" s="190"/>
      <c r="H31" s="191"/>
      <c r="I31" s="192">
        <v>11</v>
      </c>
      <c r="J31" s="193"/>
      <c r="L31" s="137"/>
    </row>
    <row r="32" spans="2:12" ht="16.5" thickBot="1" x14ac:dyDescent="0.3">
      <c r="C32" s="194" t="s">
        <v>192</v>
      </c>
      <c r="D32" s="195" t="s">
        <v>195</v>
      </c>
      <c r="E32" s="196"/>
      <c r="F32" s="197" t="s">
        <v>228</v>
      </c>
      <c r="G32" s="198"/>
      <c r="H32" s="199"/>
      <c r="I32" s="200">
        <v>12</v>
      </c>
      <c r="J32" s="201"/>
      <c r="L32" s="137"/>
    </row>
    <row r="33" spans="3:12" ht="15.75" x14ac:dyDescent="0.25">
      <c r="C33" s="202" t="s">
        <v>238</v>
      </c>
      <c r="D33" s="187" t="s">
        <v>198</v>
      </c>
      <c r="E33" s="188"/>
      <c r="F33" s="203" t="s">
        <v>229</v>
      </c>
      <c r="G33" s="190"/>
      <c r="H33" s="191"/>
      <c r="I33" s="192">
        <v>13</v>
      </c>
      <c r="J33" s="193"/>
      <c r="L33" s="137"/>
    </row>
    <row r="34" spans="3:12" ht="16.5" thickBot="1" x14ac:dyDescent="0.3">
      <c r="C34" s="194" t="s">
        <v>239</v>
      </c>
      <c r="D34" s="195" t="s">
        <v>207</v>
      </c>
      <c r="E34" s="196"/>
      <c r="F34" s="197" t="s">
        <v>228</v>
      </c>
      <c r="G34" s="198"/>
      <c r="H34" s="199"/>
      <c r="I34" s="200">
        <v>14</v>
      </c>
      <c r="J34" s="201"/>
      <c r="L34" s="137"/>
    </row>
  </sheetData>
  <phoneticPr fontId="2" type="noConversion"/>
  <pageMargins left="0.75" right="0.75" top="1" bottom="1" header="0.5" footer="0.5"/>
  <pageSetup scale="88" orientation="landscape" r:id="rId1"/>
  <headerFooter alignWithMargins="0">
    <oddFooter>&amp;L&amp;F&amp;CBLAIR, CHURCH &amp;&amp; FLYNN ENGINEERING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HYDROLOGY</vt:lpstr>
      <vt:lpstr>DI TABLE</vt:lpstr>
      <vt:lpstr>HYDRAULICS</vt:lpstr>
      <vt:lpstr> </vt:lpstr>
      <vt:lpstr>Reference</vt:lpstr>
      <vt:lpstr>Formluas</vt:lpstr>
      <vt:lpstr>VBA reference</vt:lpstr>
      <vt:lpstr>cell_ALT</vt:lpstr>
      <vt:lpstr>cell_BASIN</vt:lpstr>
      <vt:lpstr>cell_DA</vt:lpstr>
      <vt:lpstr>cell_DATE</vt:lpstr>
      <vt:lpstr>cell_E</vt:lpstr>
      <vt:lpstr>cell_FF</vt:lpstr>
      <vt:lpstr>cell_GUTDEP</vt:lpstr>
      <vt:lpstr>cell_HGL</vt:lpstr>
      <vt:lpstr>cell_MINOR</vt:lpstr>
      <vt:lpstr>cell_NAME</vt:lpstr>
      <vt:lpstr>cell_NP</vt:lpstr>
      <vt:lpstr>cell_NRD</vt:lpstr>
      <vt:lpstr>cell_P</vt:lpstr>
      <vt:lpstr>col_CIA_INLETS</vt:lpstr>
      <vt:lpstr>col_CIA_JCTS</vt:lpstr>
      <vt:lpstr>col_DI_A</vt:lpstr>
      <vt:lpstr>col_DI_CA</vt:lpstr>
      <vt:lpstr>col_DI_MCA</vt:lpstr>
      <vt:lpstr>hold_cell_DI</vt:lpstr>
      <vt:lpstr>hold_cell_TOT</vt:lpstr>
      <vt:lpstr>line_CIA_BLANK</vt:lpstr>
      <vt:lpstr>line_CIA_INLET</vt:lpstr>
      <vt:lpstr>line_CIA_JCT</vt:lpstr>
      <vt:lpstr>line_DI</vt:lpstr>
      <vt:lpstr>line_DI_BLANK</vt:lpstr>
      <vt:lpstr>line_HGL_BLANK</vt:lpstr>
      <vt:lpstr>line_HGL_JCT</vt:lpstr>
      <vt:lpstr>'DI TABLE'!Print_Area</vt:lpstr>
      <vt:lpstr>HYDRAULICS!Print_Area</vt:lpstr>
      <vt:lpstr>HYDROLOGY!Print_Area</vt:lpstr>
      <vt:lpstr>print_HGL</vt:lpstr>
      <vt:lpstr>'DI TABLE'!Print_Titles</vt:lpstr>
      <vt:lpstr>HYDRAULICS!Print_Titles</vt:lpstr>
      <vt:lpstr>HYDROLOGY!Print_Titles</vt:lpstr>
      <vt:lpstr>table_CIA_INLETS</vt:lpstr>
      <vt:lpstr>table_CIA_JCTS</vt:lpstr>
      <vt:lpstr>table_DI</vt:lpstr>
      <vt:lpstr>table_HGL_JCTS</vt:lpstr>
      <vt:lpstr>table_MINOR</vt:lpstr>
      <vt:lpstr>temp_col_MINOR</vt:lpstr>
    </vt:vector>
  </TitlesOfParts>
  <Company>Blair, Church and Flynn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 V. Pham</dc:creator>
  <cp:lastModifiedBy>Brendan Parsa</cp:lastModifiedBy>
  <cp:lastPrinted>2025-11-13T16:21:07Z</cp:lastPrinted>
  <dcterms:created xsi:type="dcterms:W3CDTF">2000-04-06T23:17:03Z</dcterms:created>
  <dcterms:modified xsi:type="dcterms:W3CDTF">2026-02-18T17:52:13Z</dcterms:modified>
</cp:coreProperties>
</file>